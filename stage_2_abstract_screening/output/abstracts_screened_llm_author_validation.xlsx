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output\"/>
    </mc:Choice>
  </mc:AlternateContent>
  <xr:revisionPtr revIDLastSave="0" documentId="13_ncr:1_{057E2D1F-50BD-45B6-BA7D-74FEF337FB05}" xr6:coauthVersionLast="47" xr6:coauthVersionMax="47" xr10:uidLastSave="{00000000-0000-0000-0000-000000000000}"/>
  <bookViews>
    <workbookView xWindow="-110" yWindow="-110" windowWidth="19420" windowHeight="10300" activeTab="1" xr2:uid="{00000000-000D-0000-FFFF-FFFF00000000}"/>
  </bookViews>
  <sheets>
    <sheet name="Validation_Sample_With_LLM" sheetId="1" r:id="rId1"/>
    <sheet name="Manual_Coding_Template" sheetId="2" r:id="rId2"/>
    <sheet name="Sampling_Summary" sheetId="3" r:id="rId3"/>
    <sheet name="Manual_Review_Needed" sheetId="4" r:id="rId4"/>
    <sheet name="Decision_Disagreements" sheetId="5" r:id="rId5"/>
    <sheet name="Potential_Duplicates_During_Abs" sheetId="6" r:id="rId6"/>
  </sheets>
  <externalReferences>
    <externalReference r:id="rId7"/>
  </externalReferences>
  <definedNames>
    <definedName name="_xlnm._FilterDatabase" localSheetId="4" hidden="1">Decision_Disagreements!$A$1:$I$31</definedName>
    <definedName name="_xlnm._FilterDatabase" localSheetId="1" hidden="1">Manual_Coding_Template!$A$1:$I$146</definedName>
    <definedName name="_xlnm._FilterDatabase" localSheetId="3" hidden="1">Manual_Review_Needed!$A$1:$R$20</definedName>
    <definedName name="_xlnm._FilterDatabase" localSheetId="5" hidden="1">Potential_Duplicates_During_Abs!$A$1:$Y$59</definedName>
    <definedName name="_xlnm._FilterDatabase" localSheetId="2" hidden="1">Sampling_Summary!$A$1:$C$7</definedName>
    <definedName name="_xlnm._FilterDatabase" localSheetId="0" hidden="1">Validation_Sample_With_LLM!$A$1:$AL$146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1" i="2" l="1"/>
  <c r="E98" i="2"/>
  <c r="H146" i="2"/>
  <c r="H4" i="2"/>
  <c r="H6" i="2"/>
  <c r="H7" i="2"/>
  <c r="H12" i="2"/>
  <c r="H15" i="2"/>
  <c r="H18" i="2"/>
  <c r="H20" i="2"/>
  <c r="H21" i="2"/>
  <c r="H22" i="2"/>
  <c r="H23" i="2"/>
  <c r="H24" i="2"/>
  <c r="H25" i="2"/>
  <c r="H26" i="2"/>
  <c r="H27" i="2"/>
  <c r="H30" i="2"/>
  <c r="H32" i="2"/>
  <c r="H33" i="2"/>
  <c r="H34" i="2"/>
  <c r="H35" i="2"/>
  <c r="H36" i="2"/>
  <c r="H37" i="2"/>
  <c r="H38" i="2"/>
  <c r="H39" i="2"/>
  <c r="H40" i="2"/>
  <c r="H41" i="2"/>
  <c r="H43" i="2"/>
  <c r="H44" i="2"/>
  <c r="H45" i="2"/>
  <c r="H46" i="2"/>
  <c r="H47" i="2"/>
  <c r="H49" i="2"/>
  <c r="H50" i="2"/>
  <c r="H51" i="2"/>
  <c r="H52" i="2"/>
  <c r="H54" i="2"/>
  <c r="H55" i="2"/>
  <c r="H56" i="2"/>
  <c r="H57" i="2"/>
  <c r="H58" i="2"/>
  <c r="H59" i="2"/>
  <c r="H61" i="2"/>
  <c r="H62" i="2"/>
  <c r="H63" i="2"/>
  <c r="H64" i="2"/>
  <c r="H65" i="2"/>
  <c r="H66" i="2"/>
  <c r="H67" i="2"/>
  <c r="H68" i="2"/>
  <c r="H69" i="2"/>
  <c r="H70" i="2"/>
  <c r="H71" i="2"/>
  <c r="H72" i="2"/>
  <c r="H73" i="2"/>
  <c r="H74" i="2"/>
  <c r="H75" i="2"/>
  <c r="H76" i="2"/>
  <c r="H77" i="2"/>
  <c r="H78" i="2"/>
  <c r="H79" i="2"/>
  <c r="H80" i="2"/>
  <c r="H81" i="2"/>
  <c r="H82" i="2"/>
  <c r="H83" i="2"/>
  <c r="H85" i="2"/>
  <c r="H86" i="2"/>
  <c r="H87" i="2"/>
  <c r="H88" i="2"/>
  <c r="H89" i="2"/>
  <c r="H90" i="2"/>
  <c r="H91" i="2"/>
  <c r="H92" i="2"/>
  <c r="H93" i="2"/>
  <c r="H94" i="2"/>
  <c r="H95" i="2"/>
  <c r="H98"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G146" i="2"/>
  <c r="G4" i="2"/>
  <c r="G6" i="2"/>
  <c r="G7" i="2"/>
  <c r="G12" i="2"/>
  <c r="G18" i="2"/>
  <c r="G19" i="2"/>
  <c r="G21" i="2"/>
  <c r="G26" i="2"/>
  <c r="G27" i="2"/>
  <c r="G30" i="2"/>
  <c r="G35" i="2"/>
  <c r="G36" i="2"/>
  <c r="G46" i="2"/>
  <c r="G47" i="2"/>
  <c r="G49" i="2"/>
  <c r="G50" i="2"/>
  <c r="G55" i="2"/>
  <c r="G56" i="2"/>
  <c r="G57" i="2"/>
  <c r="G58" i="2"/>
  <c r="G59" i="2"/>
  <c r="G61" i="2"/>
  <c r="G65" i="2"/>
  <c r="G75" i="2"/>
  <c r="G76" i="2"/>
  <c r="G80" i="2"/>
  <c r="G87" i="2"/>
  <c r="G94" i="2"/>
  <c r="G95" i="2"/>
  <c r="G98" i="2"/>
  <c r="G101" i="2"/>
  <c r="G102" i="2"/>
  <c r="G103" i="2"/>
  <c r="G104" i="2"/>
  <c r="G105" i="2"/>
  <c r="G106" i="2"/>
  <c r="G107" i="2"/>
  <c r="G108" i="2"/>
  <c r="G109" i="2"/>
  <c r="G110"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F4" i="2"/>
  <c r="F6" i="2"/>
  <c r="F7" i="2"/>
  <c r="F12" i="2"/>
  <c r="F17" i="2"/>
  <c r="F18" i="2"/>
  <c r="F19" i="2"/>
  <c r="F21" i="2"/>
  <c r="F26" i="2"/>
  <c r="F27" i="2"/>
  <c r="F30" i="2"/>
  <c r="F35" i="2"/>
  <c r="F36" i="2"/>
  <c r="F42" i="2"/>
  <c r="F46" i="2"/>
  <c r="F47" i="2"/>
  <c r="F49" i="2"/>
  <c r="F50" i="2"/>
  <c r="F55" i="2"/>
  <c r="F56" i="2"/>
  <c r="F57" i="2"/>
  <c r="F58" i="2"/>
  <c r="F59" i="2"/>
  <c r="F61" i="2"/>
  <c r="F65" i="2"/>
  <c r="F71" i="2"/>
  <c r="F75" i="2"/>
  <c r="F76" i="2"/>
  <c r="F80" i="2"/>
  <c r="F87" i="2"/>
  <c r="F94" i="2"/>
  <c r="F95" i="2"/>
  <c r="F98" i="2"/>
  <c r="F101" i="2"/>
  <c r="F102" i="2"/>
  <c r="F103" i="2"/>
  <c r="F104" i="2"/>
  <c r="F105" i="2"/>
  <c r="F106" i="2"/>
  <c r="F107" i="2"/>
  <c r="F108" i="2"/>
  <c r="F109" i="2"/>
  <c r="F110"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E4" i="2"/>
  <c r="E6" i="2"/>
  <c r="E7" i="2"/>
  <c r="E12" i="2"/>
  <c r="E18" i="2"/>
  <c r="E21" i="2"/>
  <c r="E26" i="2"/>
  <c r="E27" i="2"/>
  <c r="E30" i="2"/>
  <c r="E35" i="2"/>
  <c r="E36" i="2"/>
  <c r="E46" i="2"/>
  <c r="E47" i="2"/>
  <c r="E49" i="2"/>
  <c r="E50" i="2"/>
  <c r="E55" i="2"/>
  <c r="E56" i="2"/>
  <c r="E57" i="2"/>
  <c r="E58" i="2"/>
  <c r="E59" i="2"/>
  <c r="E61" i="2"/>
  <c r="E65" i="2"/>
  <c r="E71" i="2"/>
  <c r="E75" i="2"/>
  <c r="E76" i="2"/>
  <c r="E80" i="2"/>
  <c r="E87" i="2"/>
  <c r="E94" i="2"/>
  <c r="E95" i="2"/>
  <c r="E101" i="2"/>
  <c r="E102" i="2"/>
  <c r="E103" i="2"/>
  <c r="E104" i="2"/>
  <c r="E105" i="2"/>
  <c r="E106" i="2"/>
  <c r="E107" i="2"/>
  <c r="E108" i="2"/>
  <c r="E109" i="2"/>
  <c r="E110"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I2" i="2"/>
  <c r="H2" i="2"/>
  <c r="G2" i="2"/>
  <c r="F2" i="2"/>
  <c r="E2" i="2"/>
  <c r="D146" i="2"/>
  <c r="D145" i="2"/>
  <c r="D144" i="2"/>
  <c r="D143" i="2"/>
  <c r="D142" i="2"/>
  <c r="D141" i="2"/>
  <c r="D140" i="2"/>
  <c r="D102" i="2"/>
  <c r="D103" i="2"/>
  <c r="D104" i="2"/>
  <c r="D105" i="2"/>
  <c r="D106" i="2"/>
  <c r="D107" i="2"/>
  <c r="D108" i="2"/>
  <c r="D109" i="2"/>
  <c r="D110"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95" i="2"/>
  <c r="D98" i="2"/>
  <c r="D36" i="2"/>
  <c r="D42" i="2"/>
  <c r="D46" i="2"/>
  <c r="D47" i="2"/>
  <c r="D50" i="2"/>
  <c r="D55" i="2"/>
  <c r="D56" i="2"/>
  <c r="D57" i="2"/>
  <c r="D58" i="2"/>
  <c r="D59" i="2"/>
  <c r="D61" i="2"/>
  <c r="D65" i="2"/>
  <c r="D71" i="2"/>
  <c r="D75" i="2"/>
  <c r="D76" i="2"/>
  <c r="D80" i="2"/>
  <c r="D87" i="2"/>
  <c r="D94" i="2"/>
  <c r="D4" i="2"/>
  <c r="D6" i="2"/>
  <c r="D7" i="2"/>
  <c r="D12" i="2"/>
  <c r="D17" i="2"/>
  <c r="D18" i="2"/>
  <c r="D19" i="2"/>
  <c r="D21" i="2"/>
  <c r="D26" i="2"/>
  <c r="D27" i="2"/>
  <c r="D30" i="2"/>
  <c r="D35" i="2"/>
  <c r="D2" i="2"/>
</calcChain>
</file>

<file path=xl/sharedStrings.xml><?xml version="1.0" encoding="utf-8"?>
<sst xmlns="http://schemas.openxmlformats.org/spreadsheetml/2006/main" count="6775" uniqueCount="885">
  <si>
    <t>Paper</t>
  </si>
  <si>
    <t>Abstract</t>
  </si>
  <si>
    <t>Validation_Group</t>
  </si>
  <si>
    <t>Abstract_Quality_Note</t>
  </si>
  <si>
    <t>Final_Filter_Decision</t>
  </si>
  <si>
    <t>Agreement_Status</t>
  </si>
  <si>
    <t>Final_Publication_Type_Flag</t>
  </si>
  <si>
    <t>Included_Count</t>
  </si>
  <si>
    <t>Excluded_Count</t>
  </si>
  <si>
    <t>Undetermined_Count</t>
  </si>
  <si>
    <t>Other_Count</t>
  </si>
  <si>
    <t>Run_1_q1</t>
  </si>
  <si>
    <t>Run_1_q2</t>
  </si>
  <si>
    <t>Run_1_q3</t>
  </si>
  <si>
    <t>Run_1_decision</t>
  </si>
  <si>
    <t>Run_1_confidence</t>
  </si>
  <si>
    <t>Run_1_manualCheckNeeded</t>
  </si>
  <si>
    <t>Run_1_manualCheckReason</t>
  </si>
  <si>
    <t>Run_1_publicationTypeFlag</t>
  </si>
  <si>
    <t>Run_1_reason</t>
  </si>
  <si>
    <t>Run_2_q1</t>
  </si>
  <si>
    <t>Run_2_q2</t>
  </si>
  <si>
    <t>Run_2_q3</t>
  </si>
  <si>
    <t>Run_2_decision</t>
  </si>
  <si>
    <t>Run_2_confidence</t>
  </si>
  <si>
    <t>Run_2_manualCheckNeeded</t>
  </si>
  <si>
    <t>Run_2_manualCheckReason</t>
  </si>
  <si>
    <t>Run_2_publicationTypeFlag</t>
  </si>
  <si>
    <t>Run_2_reason</t>
  </si>
  <si>
    <t>Run_3_q1</t>
  </si>
  <si>
    <t>Run_3_q2</t>
  </si>
  <si>
    <t>Run_3_q3</t>
  </si>
  <si>
    <t>Run_3_decision</t>
  </si>
  <si>
    <t>Run_3_confidence</t>
  </si>
  <si>
    <t>Run_3_manualCheckNeeded</t>
  </si>
  <si>
    <t>Run_3_manualCheckReason</t>
  </si>
  <si>
    <t>Run_3_publicationTypeFlag</t>
  </si>
  <si>
    <t>Run_3_reason</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</si>
  <si>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</si>
  <si>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</si>
  <si>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Included</t>
  </si>
  <si>
    <t>Full inclusion agreement</t>
  </si>
  <si>
    <t>Not specified</t>
  </si>
  <si>
    <t>Yes</t>
  </si>
  <si>
    <t>High</t>
  </si>
  <si>
    <t>No</t>
  </si>
  <si>
    <t>Not applicable</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</si>
  <si>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</si>
  <si>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Full paper</t>
  </si>
  <si>
    <t>The abstract positions computational thinking (CT) as a central topic, focusing on CT development and application in elementary students. It explicitly operationalizes CT through identifiable CT elements such as sequence, repetition, conditionals, and decomposition, connected to problem-solving activities. The study is situated in an educational context involving CT instruction integrated with mathematics, implying a programming-related computational context through CT concept areas.</t>
  </si>
  <si>
    <t>The abstract positions computational thinking (CT) as a central topic, focusing on CT development and application in elementary students. It explicitly operationalizes CT through learning trajectories involving CT concept areas such as sequence, repetition, conditionals, and decomposition, which are connected to programming-related constructs. The study is situated in an educational context integrating math and CT, with clear programming-related CT elements assessed.</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</si>
  <si>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</si>
  <si>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</si>
  <si>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Partially</t>
  </si>
  <si>
    <t>Medium</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</si>
  <si>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</si>
  <si>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abstract positions computational thinking (CT) as a central topic focused on assessment in primary education. It involves programming experience as a factor influencing CT skills, indicating a programming context. However, the operationalization of CT is only partially explicit, as it mentions a multidimensional assessment system but does not detail specific CT elements or frameworks explicitly connected to programming.</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</si>
  <si>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</si>
  <si>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</si>
  <si>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</si>
  <si>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</si>
  <si>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The abstract positions computational thinking (CT) as a central topic focused on developing CT skills in Nigerian K-12 students using co-design pedagogy and Scratch. It explicitly connects CT learning with programming activities in Scratch, though the operationalization of CT elements or frameworks is only partially detailed. The study is clearly situated in a programming education context.</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</si>
  <si>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</si>
  <si>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</si>
  <si>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</si>
  <si>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abstract positions computational thinking (CT) as a central topic focused on assessing fundamental CT competencies such as data collection, algorithmic thinking, and abstraction. It explicitly operationalizes CT through a digital platform (PhysGramming) that allows first and second grade students to create digital games, linking CT elements to programming activities. The study is clearly situated in a programming and computing education context for young students.</t>
  </si>
  <si>
    <t>The abstract positions computational thinking (CT) as a central topic focused on assessing fundamental CT competencies such as data collection, algorithmic thinking, and abstraction. It explicitly operationalizes CT through an assessment tool connected to programming-related activities (creating digital games) suitable for early primary students. The study is situated in a programming and computing education context using the PhysGramming platform.</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</si>
  <si>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</si>
  <si>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</si>
  <si>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situated in a programming education context involving coding instruction for first and second graders.</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</si>
  <si>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</si>
  <si>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</si>
  <si>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</si>
  <si>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The abstract positions computational thinking (CT) as a central topic, focusing on assessing CT development in student-designed Scratch games. It explicitly uses Dr. Scratch metrics to operationalize CT through identifiable CT dimensions connected to programming activities. The study is clearly situated in a programming context involving Scratch game design.</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</si>
  <si>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</si>
  <si>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</si>
  <si>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</si>
  <si>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</si>
  <si>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</si>
  <si>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</si>
  <si>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The abstract positions computational thinking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</si>
  <si>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</si>
  <si>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</si>
  <si>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</si>
  <si>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</si>
  <si>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abstract positions computational thinking (CT) as a central topic focused on developing CT skills through digital game programming for adolescents with autism spectrum disorder (ASD). It explicitly connects CT to programming activities via a game building workshop. However, the CT operationalization is only partially explicit, as it mentions CT skills related to programming but does not detail specific CT elements or frameworks. The study is clearly situated in a programming context.</t>
  </si>
  <si>
    <t>The abstract positions computational thinking (CT) as a central topic focused on developing CT skills through digital game programming. It explicitly connects CT to programming activities in a workshop context for adolescents with autism spectrum disorder (ASD). However, the CT operationalization is only partially explicit, as it mentions CT skills related to programming but does not detail specific CT elements or frameworks.</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</si>
  <si>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</si>
  <si>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</si>
  <si>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</si>
  <si>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using the Robotito robot and simulator. The study is clearly situated in a programming and computing education context involving early childhood robotics.</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</si>
  <si>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</si>
  <si>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</si>
  <si>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</si>
  <si>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abstract positions computational thinking (CT) as a central topic focused on debugging, a key CT component. It explicitly operationalizes CT through the CT element of debugging connected to programming activities using a programmable robot. The study is situated in a programming context involving coding and debugging with the robot Photon.</t>
  </si>
  <si>
    <t>The abstract positions computational thinking (CT) as a central topic, focusing on debugging as a key CT component. It explicitly operationalizes CT through the element of debugging connected to programming activities with a programmable robot. The study is situated in a programming context involving coding and debugging with the robot Photon.</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</si>
  <si>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</si>
  <si>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</si>
  <si>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The abstract positions computational thinking (CT) as a central topic by exploring CT through physical play combined with coding activities. It explicitly connects CT concepts and practices to coding with the BBC micro:bit, indicating a programming context. However, the CT operationalization is only partially explicit, as it discusses engagement with various CT concepts and practices without detailing a specific framework or constructs.</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</si>
  <si>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</si>
  <si>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</si>
  <si>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</si>
  <si>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</si>
  <si>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abstract positions computational thinking (CT) as a central topic, focusing on scaffolding strategies to develop CT abilities in novice programmers. It explicitly connects CT dimensions and behaviors to programming activities in an online pair programming context, indicating a clear operationalization of CT linked to programming. The study is situated in a programming education environment involving college students.</t>
  </si>
  <si>
    <t>The abstract positions computational thinking (CT) as a central topic, focusing on scaffolding strategies to develop CT abilities in novice programmers. It explicitly discusses CT dimensions and behaviors related to programming tasks, indicating partial operationalization of CT. The study is clearly situated in an online programming context involving novice programmers.</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</si>
  <si>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</si>
  <si>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</si>
  <si>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</si>
  <si>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</si>
  <si>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</si>
  <si>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</si>
  <si>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abstract positions computational thinking (CT) as a central topic, focusing on CT skills such as pattern recognition, abstraction, decomposition, and algorithms infused into teacher programming products. It explicitly operationalizes CT through identifiable CT elements connected to programming activities in Snap!. The study is clearly situated in a programming and computing education context involving teacher professional development and programming product creation.</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</si>
  <si>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</si>
  <si>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</si>
  <si>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Disagreement across runs</t>
  </si>
  <si>
    <t>Excluded</t>
  </si>
  <si>
    <t>The abstract positions CT as a central topic and situates the study in a programming context (Python in physics), but it does not explicitly operationalize CT through identifiable CT elements, constructs, or frameworks connected to programming.</t>
  </si>
  <si>
    <t>The abstract positions computational thinking (CT) as central to the study, focusing on integrating CT into high school physics instruction. It explicitly involves programming activities using Python in Jupyter Notebooks, linking CT to programming contexts. The operationalization of CT is partially explicit through the development of computing knowledge and physics applications of computing, though no specific CT framework or elements are detailed.</t>
  </si>
  <si>
    <t>The abstract positions computational thinking (CT) as central to the study focused on integrating CT into high school physics instruction. It explicitly discusses programming activities using Python and computational learning activities, indicating a programming context. The CT operationalization is partially explicit through the development of teacher knowledge integrating computing and physics, but lacks detailed CT elements or frameworks, thus coded as Partially.</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</si>
  <si>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</si>
  <si>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</si>
  <si>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</si>
  <si>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abstract positions computational thinking (CT) as a central topic, focusing on teaching and assessing CT skills using block-based programming in compulsory schools. It explicitly applies a validated CT framework to identify CT skills, indicating clear operationalization connected to programming activities. The study is situated in a programming education context with block-based programming.</t>
  </si>
  <si>
    <t>The abstract positions computational thinking (CT) as a central topic, focusing on teaching and assessing CT skills using block-based programming in compulsory schools. It explicitly applies a validated CT framework to identify CT skills, indicating operationalization connected to programming activities. The study is clearly situated in a programming education context with block-based programming.</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</si>
  <si>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</si>
  <si>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</si>
  <si>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</si>
  <si>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abstract positions Computational Thinking (CT) as a central topic focused on its development through scaffolding programming games. It explicitly connects CT development to programming games, indicating a programming context. The operationalization of CT is partial, as it discusses CT learning gains and scaffolding effects but does not explicitly detail CT elements or frameworks.</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</si>
  <si>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</si>
  <si>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</si>
  <si>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The abstract positions computational thinking (CT) as a central focus by studying its development in young children through programming interventions. It explicitly operationalizes CT using a validated quantitative instrument (TechCheck) to measure CT development linked to programming activities in unplugged and visual programming environments. The study is clearly situated in a programming context involving ScratchJr and unplugged programming sessions.</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</si>
  <si>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</si>
  <si>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</si>
  <si>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</si>
  <si>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</si>
  <si>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The abstract positions computational thinking (CT) as central to the study, explicitly operationalizes CT using the Brennan and Resnick three-dimensional CT framework connected to the Scratch graphical programming language, and situates the study in a programming context involving graphical programming activities.</t>
  </si>
  <si>
    <t>The abstract positions computational thinking (CT) as central to the study by integrating CT into English dialogue learning using the graphical programming language Scratch, explicitly referencing the Brennan and Resnick CT framework. The study operationalizes CT through identifiable CT elements connected to programming activities and is situated in a programming education context involving Scratch programming.</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</si>
  <si>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</si>
  <si>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</si>
  <si>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</si>
  <si>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abstract positions computational thinking (CT) as a central topic by focusing on CT skills development through video game making (VGM) within science content. It explicitly connects CT to programming activities via coding skills and projects, but the operationalization of CT elements or frameworks is only partially detailed. The study is clearly situated in a programming and computing education context involving coding and project construction.</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</si>
  <si>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operationalization of CT elements or frameworks is only partially detailed. The study is clearly situated in a programming and computing education context involving coding and project construction.</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</si>
  <si>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</si>
  <si>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</si>
  <si>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</si>
  <si>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The abstract positions computational thinking (CT) as a central focus of the study, specifically in an engineering education context. It explicitly describes the creation and use of a computational thinking framework (Engineering Computational Thinking Diagnostic) to assess CT growth connected to programming and computation activities in a first-year engineering course. The study is clearly situated in a programming and computing education environment.</t>
  </si>
  <si>
    <t>The abstract positions computational thinking (CT) as a central focus of the study, specifically in an engineering education context. It explicitly describes the creation and use of a computational thinking framework (Engineering Computational Thinking Diagnostic) to assess CT growth, linking CT operationalization to programming and computation activities within a first-year engineering course. The study is clearly situated in a programming and computing education environment.</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</si>
  <si>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</si>
  <si>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</si>
  <si>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The abstract positions computational thinking (CT) as a central topic linked to programming education and describes a Human-AI Co-Creation Model to enhance CT development. While it does not explicitly detail CT elements or frameworks, it implies intentional operationalization through instructional design and case studies in programming contexts. The study is clearly situated in programming education.</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</si>
  <si>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</si>
  <si>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</si>
  <si>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</si>
  <si>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</si>
  <si>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 environment.</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</si>
  <si>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</si>
  <si>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</si>
  <si>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</si>
  <si>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The abstract positions computational thinking (CT) as a central topic by investigating CT skills in Scratch programming projects. It explicitly connects CT operationalization to programming by analyzing software clones in Scratch projects, a block-based programming environment, and relates cloning behavior to CT dimensions and programming mastery. The study is clearly situated in a programming context using Scratch.</t>
  </si>
  <si>
    <t>The abstract positions computational thinking (CT) as a central topic by investigating CT skills in Scratch programming projects. It explicitly connects CT operationalization to programming by assessing CT skills in relation to software cloning practices in Scratch, a block-based programming environment. The study is clearly situated in a programming context involving Scratch projects and programming mastery.</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</si>
  <si>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</si>
  <si>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</si>
  <si>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</si>
  <si>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abstract positions computational thinking as a central topic by investigating students' use of CT and computer science concepts in creative coding tasks. It partially operationalizes CT by discussing problem solving strategies and coding practices related to CT and CS concepts, though not through a fully explicit CT framework. The study is clearly situated in a programming context involving coding animated narratives.</t>
  </si>
  <si>
    <t>The abstract positions computational thinking as a central topic by investigating students' use of CT and computer science concepts in creative coding tasks. It partially operationalizes CT by discussing problem solving strategies and coding practices related to CT and CS concepts, though not through a fully explicit CT framework. The study is clearly situated in a programming context involving creative coding tasks.</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</si>
  <si>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</si>
  <si>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</si>
  <si>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</si>
  <si>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abstract positions computational thinking (CT) as a central topic by analyzing CT growth through Scratch programming projects in elementary education. It explicitly connects CT concepts to programming activities via Scratch projects, though the operationalization of CT elements is only partially detailed. The study is clearly situated in a programming education context using Scratch, an introductory programming language.</t>
  </si>
  <si>
    <t>The abstract positions computational thinking (CT) as central by analyzing CT growth through Scratch programming projects in elementary education. It partially operationalizes CT by evaluating CT concepts reflected in Scratch projects, though explicit CT frameworks or detailed constructs are not fully described. The study is clearly situated in a programming context using Scratch as an introductory programming language.</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</si>
  <si>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</si>
  <si>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</si>
  <si>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</si>
  <si>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compiling C code to assembly and step-by-step instruction execution, though it does not explicitly name CT frameworks or detailed CT elements. The study is clearly situated in a programming and computing education context.</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</si>
  <si>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compiling C code to assembly and step-by-step instruction execution, though it does not explicitly name CT frameworks or fully detail CT elements. The study is clearly situated in a programming and computing education context.</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</si>
  <si>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</si>
  <si>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</si>
  <si>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The abstract positions computational thinking (CT) as a central focus of the study within an engineering education context. It explicitly measures CT components such as algorithmic thinking, critical thinking, and problem-solving ability, linking CT to programming-related constructs in a data mining course. Although the CT operationalization is not fully detailed as a formal framework, it is meaningfully connected to programming and computing activities. The study is clearly situated in a programming and computing education environment.</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</si>
  <si>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</si>
  <si>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</si>
  <si>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</si>
  <si>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</si>
  <si>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abstract positions computational thinking (CT) as a central topic focused on pre-service teachers' lesson design integrating CT. It explicitly analyzes specific CT practices in lesson plans, including programming tools, indicating an operationalization of CT elements connected to programming contexts. The study is situated in a programming and digital technologies context relevant to computing education.</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</si>
  <si>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</si>
  <si>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</si>
  <si>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</si>
  <si>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abstract positions computational thinking (CT) as central by focusing on unplugged CT activities designed to foster programming interest and skills. It operationalizes CT partially through a framework including puzzles, Bebras Computing Challenge, problem-solving, and programming concepts, linking CT activities to programming skills development. The study is explicitly situated in a programming education context with secondary school students learning programming concepts.</t>
  </si>
  <si>
    <t>The abstract positions computational thinking (CT) as central by focusing on unplugged CT activities designed to foster programming interest and skills. It explicitly connects CT elements such as puzzles, problem-solving, and programming concepts to programming education, though the operationalization of CT is only partially detailed. The study is clearly situated in a programming education context with secondary school students.</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</si>
  <si>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</si>
  <si>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</si>
  <si>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</si>
  <si>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abstract positions computational thinking (CT) as central to the study,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involving ScratchJr, a block-based programming environment for young children.</t>
  </si>
  <si>
    <t>The abstract positions computational thinking (CT) as central to the study,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involving ScratchJr, a block-based programming environment.</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</si>
  <si>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</si>
  <si>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</si>
  <si>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</si>
  <si>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abstract positions computational thinking (CT) as a central topic focused on enhancing CT skills of Deaf students through a STEAM learning program. It explicitly operationalizes CT using a framework with concepts, practices, and perspectives connected to programming activities involving a physical computing tool (KidBright). The study is clearly situated in a programming and computing education context.</t>
  </si>
  <si>
    <t>The abstract positions computational thinking (CT) as a central topic focused on enhancing CT skills of Deaf students through a STEAM learning program. It explicitly operationalizes CT using a framework with concepts, practices, and perspectives connected to programming activities involving a physical computing tool (KidBright). The study is clearly situated in a programming and computing education context involving physical computing and problem-solving.</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</si>
  <si>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</si>
  <si>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</si>
  <si>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</si>
  <si>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The abstract positions computational thinking (CT) as a central topic focused on its development through different programming approaches. It explicitly connects CT development to programming activities (plugged-in and unplugged programming), though the operationalization of CT elements or frameworks is only partially detailed. The study is clearly situated in a programming education context with junior high school students.</t>
  </si>
  <si>
    <t>The abstract positions computational thinking (CT) as a central topic by studying the influence of programming approaches on CT skill development. It explicitly connects CT to programming activities through different programming approaches (plugged-in, unplugged) and assesses CT skills, though the operationalization of CT elements or frameworks is only partially detailed. The study is clearly situated in a programming education context with junior high school students engaged in programming activities.</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</si>
  <si>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</si>
  <si>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</si>
  <si>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The abstract positions computational thinking (CT) as a central topic and describes the development of a psychometrically validated CT assessment for elementary students, explicitly operationalizing CT through key elements such as abstraction, algorithm thinking, decomposition, evaluation, and pattern recognition. The study is situated in a programming-related context, supported by an fMRI study showing neural activation patterns similar to programming tasks.</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</si>
  <si>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</si>
  <si>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</si>
  <si>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</si>
  <si>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</si>
  <si>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abstract positions computational thinking (CT) as a central topic focused on assessment in higher education. It explicitly operationalizes CT through identifiable elements such as CT Concepts, Practices, and Perspectives, including algorithmic thinking, problem solving, data, logic, and abstraction, connected to programming and computing contexts. The study is situated in computing science and engineering education, clearly linking CT to programming-related environments.</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</si>
  <si>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</si>
  <si>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</si>
  <si>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</si>
  <si>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abstract positions computational thinking (CT) as a central topic in an interdisciplinary educational robot-based approach integrating CT and language learning. It explicitly discusses CT skills such as problem-solving and cooperation linked to programming activities (pair programming, coding tasks with robots). However, the CT operationalization is only partially explicit, as it references CT skills and behaviors (e.g., trial-and-error loops, algorithms) but does not fully detail a formal CT framework or model. The study is clearly situated in a programming and computing education context involving educational robots and coding activities.</t>
  </si>
  <si>
    <t>The abstract positions computational thinking (CT) as a central topic, focusing on an educational robot-based pair programming approach integrating CT and language learning. It explicitly discusses CT skills such as problem-solving and cooperation linked to programming activities with educational robots. The CT operationalization is partial, as it references CT skills and behaviors (e.g., trial-and-error loops, algorithms) but does not fully detail a CT framework. The study is clearly situated in a programming context involving coding and robot control.</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</si>
  <si>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</si>
  <si>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</si>
  <si>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</si>
  <si>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abstract positions computational thinking (CT) as a central topic and focuses on scaffolding CT using ChatGPT in a programming education context. It follows a theoretical framework of CT and scaffolding, indicating some operationalization of CT, though details on explicit CT elements or frameworks are limited, so operationalization is partial. The study is clearly situated in programming education, involving code generation and program repairing.</t>
  </si>
  <si>
    <t>The abstract positions computational thinking (CT) as a central topic and focuses on scaffolding CT using ChatGPT in a programming education context. It follows a theoretical CT framework and investigates CT improvement, but the operationalization of CT elements is only partially explicit. The study is clearly situated in programming education with coding-related activities.</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</si>
  <si>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</si>
  <si>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</si>
  <si>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</si>
  <si>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</si>
  <si>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</si>
  <si>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</si>
  <si>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abstract positions computational thinking (CT) as a central topic linked to programming education. It discusses teaching programming using visual programming tools and traditional languages, aiming to develop CT and problem-solving skills. However, the CT operationalization is only partially explicit, as it mentions CT and problem solving broadly without detailing specific CT elements or frameworks connected to programming constructs. The study is clearly situated in a programming education context.</t>
  </si>
  <si>
    <t>The abstract positions computational thinking as a central topic linked to programming education. It discusses teaching programming using visual programming tools and traditional languages, aiming to develop computational thinking and problem solving. However, the CT operationalization is only partially explicit, as it mentions CT development but does not detail specific CT elements or frameworks. The study is clearly situated in a programming education context.</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</si>
  <si>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</si>
  <si>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</si>
  <si>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The abstract positions computational thinking (CT) as a central topic related to educational robotics programming for upper elementary students. It discusses challenges related to programming concepts such as program processing and flow of control, indicating partial operationalization of CT elements connected to programming. The study is clearly situated in a programming context involving educational robotics.</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</si>
  <si>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</si>
  <si>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</si>
  <si>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</si>
  <si>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</si>
  <si>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connected to programming contexts. The study is clearly situated in K-12 programming and coding education environments.</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</si>
  <si>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connected to programming contexts. The study is situated in K-12 education with a programming environment involving a visual data flow programming language and testing methods for CT measurement.</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</si>
  <si>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</si>
  <si>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</si>
  <si>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</si>
  <si>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education context involving text-based programming tasks with college students.</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</si>
  <si>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constructs. The study is clearly situated in a programming education context involving text-based programming tasks with college students.</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</si>
  <si>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</si>
  <si>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</si>
  <si>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Full exclusion agreement</t>
  </si>
  <si>
    <t>The abstract discusses educational robotics in early education but does not position computational thinking as a central topic, nor does it operationalize CT or situate the study in a programming or computing education context.</t>
  </si>
  <si>
    <t>The abstract discusses educational robotics in primary and preschool education but does not position computational thinking as a central topic, nor does it operationalize CT or situate the study in a programming or computing education context.</t>
  </si>
  <si>
    <t>Exploring Teachers’ PCK for Computational Thinking in Context</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</si>
  <si>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</si>
  <si>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The abstract discusses teachers' pedagogical content knowledge and attitudes toward integrating CT across various subjects, indicating CT is relevant but not central to a programming or computing education focus. There is no explicit operationalization of CT through identifiable CT elements or frameworks connected to programming. The study context is multidisciplinary subject integration without a clear programming or coding environment.</t>
  </si>
  <si>
    <t>The abstract discusses teachers' pedagogical content knowledge and attitudes toward integrating CT across various subjects, indicating CT is relevant but not central to a programming or computing intervention. There is no explicit operationalization of CT through identifiable CT elements or frameworks connected to programming. The study context is multidisciplinary subject integration without a clear programming or computing education environment.</t>
  </si>
  <si>
    <t>The abstract discusses teachers' pedagogical content knowledge and attitudes toward integrating CT across various subjects, indicating CT is relevant but not central to a programming-focused study. There is no explicit operationalization of CT through identifiable CT elements or frameworks connected to programming. The study context involves multiple subjects without a clear programming or computing education environment.</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</si>
  <si>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</si>
  <si>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</si>
  <si>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The abstract discusses computational thinking as a general educational quality and analyzes bibliometric data on research trends, but does not position CT as a central focus of an intervention or study, nor does it operationalize CT through identifiable elements or frameworks connected to programming. The study is not situated in a programming or computing education context but rather in bibliometric analysis of literature.</t>
  </si>
  <si>
    <t>The abstract discusses computational thinking as a general educational quality and analyzes literature trends using bibliometrics, but does not position CT as a central focus of an intervention or study, nor does it operationalize CT with identifiable elements or frameworks connected to programming, and it does not situate the study in a programming or computing education context.</t>
  </si>
  <si>
    <t>The abstract discusses computational thinking as a general educational quality and analyzes literature trends using bibliometrics, but does not position CT as a central focus of an intervention or study, nor does it operationalize CT through identifiable elements or frameworks connected to programming. The study is not situated in a programming or computing education context but rather in literature analysis.</t>
  </si>
  <si>
    <t>Redefining Computational Thinking: A Holistic Framework and Its Implications for K-12 Education</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</si>
  <si>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</si>
  <si>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The abstract positions Computational Thinking as a central topic and proposes a comprehensive framework, but it does not explicitly operationalize CT through identifiable CT elements connected to programming, nor does it situate the study in a programming or coding context.</t>
  </si>
  <si>
    <t>The abstract positions Computational Thinking as a central topic and proposes a comprehensive framework for CT skills in K-12 education, but it does not explicitly operationalize CT through identifiable CT elements or frameworks connected to programming. The study is situated broadly in K-12 education without a clear programming or coding context.</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</si>
  <si>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</si>
  <si>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</si>
  <si>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The abstract positions computational thinking as central and situates the study in an introductory computer science course, but it does not explicitly operationalize CT through identifiable CT elements, constructs, or frameworks connected to programming.</t>
  </si>
  <si>
    <t>Physics Teachers’ Motivations to Learn Computational Thinking as a Re-novicing Experience</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</si>
  <si>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</si>
  <si>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The abstract positions CT as a central topic and situates the study in a programming context (Python in physics education), but it does not explicitly operationalize CT through identifiable CT elements, constructs, or frameworks connected to programming.</t>
  </si>
  <si>
    <t>The abstract positions CT as a central topic focused on physics teachers learning CT for integration in physics education with programming in Python. However, it does not explicitly operationalize CT through identifiable CT elements, constructs, or frameworks connected to programming. The study is situated in a programming context (Python), but lacks explicit CT operationalization.</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</si>
  <si>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</si>
  <si>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</si>
  <si>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The abstract positions CT as central and connects coding to science learning, but does not explicitly operationalize CT through identifiable CT elements or frameworks linked to programming. The programming context is implied through coding as a tool for science but not clearly explicit as a programming education environment.</t>
  </si>
  <si>
    <t>The abstract positions CT as central and connects coding to science learning, but it does not explicitly operationalize CT through identifiable CT elements or frameworks linked to programming. The programming context is implied through coding as a tool for science but not clearly explicit as a programming education environment.</t>
  </si>
  <si>
    <t>The abstract positions CT as central and situates the study in a programming context by positioning coding as a tool for science. However, it does not explicitly operationalize CT through identifiable CT elements, constructs, or frameworks connected to programming.</t>
  </si>
  <si>
    <t>Supporting computational thinking through gamification</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</si>
  <si>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</si>
  <si>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The abstract suggests computational thinking is a relevant goal but not central or explicitly operationalized; it mentions applying gamification to programming software to promote CT but does not explicitly define or assess CT elements or frameworks. The study is situated in a programming context via the software VENVI.</t>
  </si>
  <si>
    <t>The abstract mentions computational thinking as a goal related to gamification in programming software, but CT is not positioned as a central focus. There is no explicit operationalization of CT through identifiable elements or frameworks connected to programming. The study is situated in a programming software context, indicating a programming environment.</t>
  </si>
  <si>
    <t>The abstract mentions computational thinking as a goal of the gamification design but does not position CT as a central focus or explicitly operationalize CT through identifiable elements or frameworks. The study is situated in a programming software context, indicating a programming environment.</t>
  </si>
  <si>
    <t>Developing Talented Children’s Computational Thinking Through Multimodal Literacies in Pop-Up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</si>
  <si>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</si>
  <si>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The abstract positions CT as a central topic and explores CT development through multimodal literacies in an art-based activity, but it does not explicitly operationalize CT through identifiable CT elements or frameworks connected to programming. The study is situated in an early childhood art education context without a clear programming or computing environment.</t>
  </si>
  <si>
    <t>The abstract positions CT as a central topic and explores CT development through multimodal literacies in an art-based activity, but it does not explicitly operationalize CT through identifiable CT elements or frameworks connected to programming. The study is not situated in a programming or computing education context.</t>
  </si>
  <si>
    <t>The abstract positions CT as a central topic and explores CT development through multimodal literacies in an art activity, but it does not explicitly operationalize CT through identifiable CT elements or frameworks connected to programming. The study is situated in an early childhood art education context without a clear programming or computing environment.</t>
  </si>
  <si>
    <t>Supporting Computational Thinking Development in K-6</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</si>
  <si>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</si>
  <si>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The abstract positions computational thinking as a central topic focused on teacher education in K-6, but it does not explicitly operationalize CT through identifiable CT elements or frameworks connected to programming. The study is situated in a general K-6 educational context without a clear programming or coding environment.</t>
  </si>
  <si>
    <t>The abstract positions computational thinking as a central topic focused on teacher education and curriculum development for K-6, but it does not explicitly operationalize CT through identifiable CT elements or frameworks connected to programming. The study is situated in a general K-6 educational context without a clear programming or coding environment.</t>
  </si>
  <si>
    <t>The abstract positions computational thinking as a central topic focused on teacher education for K-6, but it does not explicitly operationalize CT through identifiable CT elements or frameworks connected to programming. The context is K-6 education with integration into existing learning areas, without a clear programming or coding context.</t>
  </si>
  <si>
    <t>A Practice-Oriented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</si>
  <si>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</si>
  <si>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on neural networks rather than a clear programming or computing education environment.</t>
  </si>
  <si>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rather than a clear programming or computing education environment.</t>
  </si>
  <si>
    <t>The abstract positions computational thinking (CT) as central to the study by proposing a CT framework tailored for teaching neural networks to working professionals. It explicitly connects CT to programming-related activities such as coding-driven workshops and model tuning tasks, although the operationalization of CT elements is only partially detailed. The study is clearly situated in a programming and computing education context involving neural network development.</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</si>
  <si>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</si>
  <si>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</si>
  <si>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The abstract positions CT as a central topic and aims to assess CT skills using educational robotics tasks, but it does not explicitly operationalize CT through identifiable CT elements, constructs, or frameworks connected to programming. The study is situated in primary education with robotics as a supporting tool, suggesting a partial programming context but not clearly explicit programming instruction or coding activities.</t>
  </si>
  <si>
    <t>The abstract positions CT as a central topic focused on assessing CT skills in primary school students using educational robotics. However, it does not explicitly operationalize CT through identifiable CT elements, constructs, or frameworks connected to programming. The programming context is only partially explicit, as educational robotics is used as a supporting tool but programming or coding activities are not clearly described.</t>
  </si>
  <si>
    <t>The abstract positions CT as a central topic focused on assessing CT skills using educational robotics tasks. However, it does not explicitly operationalize CT through identifiable CT elements, constructs, or frameworks connected to programming. The study is situated in a primary school context with educational robotics, suggesting a partial programming context but not clearly explicit programming instruction or coding activities.</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</si>
  <si>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</si>
  <si>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</si>
  <si>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The abstract positions computational thinking (CT) as a central topic and situates the study in programming education, but it does not explicitly operationalize CT through identifiable CT elements, constructs, dimensions, or frameworks connected to programming activities.</t>
  </si>
  <si>
    <t>Beyond the Lab: Using Technology Toys to Engage South African Youth in Computational Thinking</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</si>
  <si>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</si>
  <si>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The abstract positions computational thinking as a central topic and focuses on using technology toys to teach CT to young children. However, it does not explicitly operationalize CT through identifiable CT elements, constructs, or frameworks connected to programming. Also, the study is not clearly situated in a programming or computing education environment but rather in early elementary education using technology toys.</t>
  </si>
  <si>
    <t>The abstract positions computational thinking as a central topic and focuses on using technology toys to teach CT to young children. However, it does not explicitly operationalize CT through identifiable CT elements or frameworks connected to programming, nor does it situate the study in a programming or computing education environment.</t>
  </si>
  <si>
    <t>The abstract positions computational thinking as a central topic and focuses on using technology toys to teach CT to young children. However, it does not explicitly operationalize CT through identifiable CT elements, constructs, or frameworks connected to programming. Additionally, the study is not clearly situated in a programming or computing education environment but rather in early elementary education using technology toys.</t>
  </si>
  <si>
    <t>How do computational thinking self-efficacy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</si>
  <si>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</si>
  <si>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The abstract positions computational thinking (CT) as a central topic and studies CT self-efficacy and performance, but it does not operationalize CT through identifiable CT elements, constructs, or frameworks connected to programming. Also, the study does not explicitly situate itself in a programming or coding context, focusing instead on psychological constructs like computational identity and academic resilience.</t>
  </si>
  <si>
    <t>The abstract positions computational thinking (CT) as a central topic and focuses on CT self-efficacy and performance related to computational identity and academic resilience. However, it does not explicitly operationalize CT through identifiable CT elements, constructs, or frameworks connected to programming. Additionally, the study does not clearly situate itself in a programming or computing education context.</t>
  </si>
  <si>
    <t>The abstract positions computational thinking (CT) as a central topic and studies CT self-efficacy and performance, but it does not operationalize CT through identifiable CT elements, constructs, or frameworks connected to programming. Although programming-related academic resilience is mentioned, the study does not explicitly situate itself in a programming or computing education context.</t>
  </si>
  <si>
    <t>Unplugged Activities in Cross-Curricular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</si>
  <si>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</si>
  <si>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The abstract positions CT as a central topic and describes an unplugged intervention to develop CT in a Social Sciences context without programming. There is no explicit operationalization of CT through identifiable CT elements or frameworks connected to programming, nor is there a programming context present.</t>
  </si>
  <si>
    <t>The abstract positions computational thinking (CT) as a central topic and describes an unplugged intervention in Social Sciences to develop CT. However, it does not operationalize CT through identifiable CT elements, constructs, or frameworks connected to programming or computing activities. Additionally, the study is situated in a non-programming, non-computing context (Social Sciences) using unplugged activities without programming.</t>
  </si>
  <si>
    <t>The abstract positions computational thinking (CT) as a central topic and describes an unplugged intervention in Social Sciences to develop CT. However, it does not operationalize CT through identifiable CT elements, constructs, or frameworks connected to programming or computing activities. Also, the study is situated in a non-programming, non-computing context (Social Sciences) using unplugged activities without programming or coding.</t>
  </si>
  <si>
    <t>Initial learning scenarios based on the computational thinking evaluation for the course Programming fundamentals at INACAP</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</si>
  <si>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</si>
  <si>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0</t>
  </si>
  <si>
    <t>3</t>
  </si>
  <si>
    <t>The abstract positions computational thinking as central to the study and situates it in a programming fundamentals course context, but it does not explicitly operationalize CT through identifiable CT elements, constructs, or frameworks connected to programming.</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</si>
  <si>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</si>
  <si>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</si>
  <si>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</si>
  <si>
    <t>The abstract positions computational thinking as central to programming education but does not explicitly operationalize CT through identifiable elements, constructs, or frameworks connected to programming. The study is clearly situated in a programming education context involving tangible user interfaces.</t>
  </si>
  <si>
    <t>Exploring the Effects of the CER Model-Based GenAI Learning System to Cultivate Elementary School Students' Computational Thinking Core Skills in Science Courses</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</si>
  <si>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</si>
  <si>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The abstract positions CT as a central topic and aims to cultivate CT core skills using a GenAI learning system in science courses, but it does not explicitly operationalize CT through identifiable CT elements or frameworks connected to programming. The study is situated in science education rather than a programming or computing context.</t>
  </si>
  <si>
    <t>The abstract positions CT as a central topic and focuses on cultivating CT core skills in science courses using a GenAI learning system. However, it does not explicitly operationalize CT through identifiable CT elements, constructs, or frameworks connected to programming. Also, the study is situated in science education rather than a programming or computing context.</t>
  </si>
  <si>
    <t>The abstract positions CT as a central topic and focuses on cultivating CT core skills using a GenAI learning system in science courses, not programming contexts. CT operationalization is partially evident through the CER model and CT core skills, but the study is situated in science education rather than programming or computing education.</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</si>
  <si>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</si>
  <si>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</si>
  <si>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The abstract focuses on learning analytics and multimedia experiences in elementary education without mentioning computational thinking (CT) as a central topic, operationalizing CT elements, or situating the study in a programming or computing context.</t>
  </si>
  <si>
    <t>The abstract focuses on learning analytics and multimedia experiences in elementary education without mentioning computational thinking (CT) as a central topic, operationalizing CT, or situating the study in a programming or computing context.</t>
  </si>
  <si>
    <t>Cross-grade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</si>
  <si>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</si>
  <si>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The abstract discusses assessment of computational thinking (CT) skills in young children using an unplugged instrument and normalization methods, but CT is not positioned as a central focus of an intervention or instructional design. There is no explicit operationalization of CT connected to programming or computing activities, and the context is unplugged without programming or coding. Therefore, it does not meet inclusion criteria.</t>
  </si>
  <si>
    <t>The abstract discusses assessment of computational thinking (CT) skills in young children using an unplugged multiple-choice instrument, without focusing on CT as a central topic connected to programming or coding activities. It does not operationalize CT through identifiable CT elements linked to programming, nor is it situated in a programming or computing education environment.</t>
  </si>
  <si>
    <t>The abstract positions CT as a central topic and focuses on assessment of CT skills in young children using an unplugged instrument, but it does not operationalize CT through identifiable CT elements or frameworks connected to programming. The study is not situated in a programming or coding context, as it uses an unplugged assessment and focuses on early elementary children without explicit programming activities.</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</si>
  <si>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</si>
  <si>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</si>
  <si>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The abstract positions CT as a central topic and situates the study in programming education with AI-assisted learning, but it does not explicitly operationalize CT through identifiable CT elements, constructs, dimensions, or frameworks connected to programming activities.</t>
  </si>
  <si>
    <t>The abstract positions CT as a central topic and situates the study in programming education with AI-assisted learning, but it does not explicitly operationalize CT through identifiable CT elements, constructs, dimensions, or frameworks connected to programming.</t>
  </si>
  <si>
    <t>The abstract positions CT as a central topic and situates the study in programming education with AI-assisted learning, but it does not explicitly operationalize CT through identifiable CT elements, constructs, or frameworks connected to programming.</t>
  </si>
  <si>
    <t>Infusing Computational Thinking Across Disciplines: Reflections &amp;amp;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</si>
  <si>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</si>
  <si>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</si>
  <si>
    <t>The abstract positions computational thinking as central and discusses its infusion across disciplines, but it does not explicitly operationalize CT through identifiable CT elements or frameworks connected to programming. The study is situated across various disciplines without a clear programming or computing education context.</t>
  </si>
  <si>
    <t>Project-Based Learning Combined with Inquiry-Based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</si>
  <si>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</si>
  <si>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programming or coding environment.</t>
  </si>
  <si>
    <t>The abstract positions computational thinking as a central topic and assesses CT skills, but it does not explicitly operationalize CT through identifiable CT elements, constructs, or frameworks connected to programming. The study context involves Solver tools and linear programming but does not clearly situate the study in a programming or coding education environment.</t>
  </si>
  <si>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clear programming or computing education environment.</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</si>
  <si>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</si>
  <si>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</si>
  <si>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The abstract positions CT as a central topic and describes development of a CT assessment tool for early childhood, but it does not operationalize CT through identifiable CT elements or frameworks connected to programming. Although the study involves a robotics coding curriculum, the assessment is unplugged and does not explicitly situate CT in a programming context.</t>
  </si>
  <si>
    <t>The abstract positions CT as a central topic and describes development of a CT assessment tool for young children, but it does not explicitly operationalize CT through identifiable CT elements or frameworks connected to programming. The study is related to a robotics coding curriculum but the assessment itself is unplugged and does not clearly situate CT in a programming context.</t>
  </si>
  <si>
    <t>The abstract positions CT as a central topic and describes development of a CT assessment tool for young children, but it does not explicitly operationalize CT through identifiable CT elements or frameworks connected to programming. The study involves a robotics coding curriculum context, suggesting a partial programming context, but the assessment itself is unplugged and does not require programming knowledge.</t>
  </si>
  <si>
    <t>Applying Game Learning Analytics to a Voluntary Video Game: Intrinsic Motivation, Persistence, and Rewards in Learning to Program at an Early Age</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</si>
  <si>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</si>
  <si>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The abstract discusses learning programming and computational thinking development through a voluntary video game, focusing on motivation, persistence, and rewards. However, it does not explicitly operationalize CT through identifiable CT elements or frameworks connected to programming, nor does it clearly situate the study in a programming or computing education context beyond general computational concepts.</t>
  </si>
  <si>
    <t>The abstract discusses learning programming and computational thinking development through a voluntary video game, focusing on intrinsic motivation, persistence, and rewards. However, CT is not positioned as a central focus but rather as a background or general educational goal. There is no explicit operationalization of CT through identifiable CT elements or frameworks connected to programming. The study does not clearly situate itself in a programming or computing education environment but rather in a game-based learning context without explicit programming or coding activities.</t>
  </si>
  <si>
    <t>The abstract discusses learning programming and computational thinking development through a voluntary video game, focusing on motivation, persistence, and rewards. However, CT is not positioned as a central focus but rather as a background benefit, and no explicit CT operationalization or framework connected to programming is described. The programming context is implied but not explicitly detailed.</t>
  </si>
  <si>
    <t>The Code-Centric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</si>
  <si>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</si>
  <si>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The abstract positions CT as a central topic and reviews CT education research, but it does not explicitly operationalize CT through identifiable CT elements or frameworks connected to programming. Also, the study does not clearly situate itself in a programming or coding context.</t>
  </si>
  <si>
    <t>The abstract positions computational thinking (CT) as a central topic and reviews CT education research, but it does not explicitly operationalize CT through identifiable CT elements or frameworks connected to programming. The study is a review focusing on CT conceptualizations and integration strategies rather than situated in a programming or coding context.</t>
  </si>
  <si>
    <t>The abstract positions CT as a central topic and reviews CT education research, but it does not explicitly operationalize CT through identifiable CT elements or frameworks connected to programming. Also, the study does not clearly situate itself in a programming or coding context, focusing instead on CT integration into core curricula generally.</t>
  </si>
  <si>
    <t>An Interactive Web Environment to Foster Learning Programming at the High School Level</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</si>
  <si>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</si>
  <si>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</si>
  <si>
    <t>A Systematic Literature Review of Computational Thinking in K-8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</si>
  <si>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</si>
  <si>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The abstract positions CT as a central topic focused on K-8 teachers' pedagogical content knowledge for CT education, but it does not explicitly operationalize CT through identifiable CT elements or frameworks connected to programming. The study does not clearly situate CT within a programming or computing education context.</t>
  </si>
  <si>
    <t>The abstract positions CT as a central topic focused on K-8 education and teachers' pedagogical content knowledge, but it does not operationalize CT through identifiable CT elements or frameworks connected to programming. Additionally, the study does not explicitly situate CT within a programming or computing education context.</t>
  </si>
  <si>
    <t>The abstract positions CT as a central topic focused on K-8 teachers' pedagogical content knowledge for CT education, but it does not operationalize CT through identifiable CT elements or frameworks connected to programming. The study does not explicitly situate CT within a programming or coding context.</t>
  </si>
  <si>
    <t>Exploring computational thinking, executive functions, visuospatial skills and experiences with toys in early childhood: Protocol for a controlled trial</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</si>
  <si>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</si>
  <si>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</si>
  <si>
    <t>Factors That Predict K-12 Teachers' Ability to Apply Computational Thinking Skills</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</si>
  <si>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</si>
  <si>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</si>
  <si>
    <t>The abstract positions CT as a central topic focused on teachers' ability to apply CT skills and professional development, but it does not operationalize CT through identifiable CT elements or frameworks connected to programming. The study is not situated in a programming or computing education context but rather in general K-12 teaching contexts.</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</si>
  <si>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</si>
  <si>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</si>
  <si>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The abstract positions computational thinking as a central topic focused on teaching strategies and gender equity, but it does not explicitly operationalize CT through identifiable CT elements or frameworks connected to programming. The study is not clearly situated in a programming or computing education context.</t>
  </si>
  <si>
    <t>The abstract positions computational thinking as a central topic focused on teaching strategies and gender equity, but it does not explicitly operationalize CT through identifiable CT elements or frameworks connected to programming. Additionally, the study is not clearly situated in a programming or computing education context but rather in general STEAM education.</t>
  </si>
  <si>
    <t>The abstract positions computational thinking as a central topic focused on teaching strategies and gender equity, but it does not explicitly operationalize CT through identifiable CT elements or frameworks connected to programming. Additionally, the study is not clearly situated in a programming or computing education context.</t>
  </si>
  <si>
    <t>Towards the Unification of Computational Thinking and EUDability: Two Cases from Healthcare</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</si>
  <si>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</si>
  <si>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</si>
  <si>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tool involves creating robot programs, but programming is not clearly the main context.</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</si>
  <si>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</si>
  <si>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</si>
  <si>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The abstract positions computational thinking (CT) as central and explicitly operationalizes CT through identifiable components such as problem decomposition, algorithm design, and problem abstraction. However, the study does not situate CT assessment within a programming, coding, or computing education context, focusing instead on general CT evaluation and cognitive-behavioral characteristics without explicit programming activities.</t>
  </si>
  <si>
    <t>The abstract positions computational thinking (CT) as central and explicitly operationalizes CT through identifiable elements such as problem decomposition, algorithm design, and problem abstraction. However, the study does not situate CT within a programming, coding, or computing education context, focusing instead on assessment via multimodal data in situational tasks without explicit programming activities.</t>
  </si>
  <si>
    <t>The abstract positions CT as a central topic and uses a multimodal cognitive diagnostic model to evaluate CT components such as problem decomposition, algorithm design, and problem abstraction. However, it does not explicitly connect these CT elements to programming or coding activities, nor does it situate the study in a programming or computing education context.</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</si>
  <si>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</si>
  <si>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</si>
  <si>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</si>
  <si>
    <t>The abstract positions CT as a central topic and aims to promote CT development through an educational game, but it does not explicitly operationalize CT through identifiable CT elements, constructs, or frameworks connected to programming. The study is not clearly situated in a programming or computing education context, focusing instead on a daily life activity and accessibility for children with intellectual disabilities.</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</si>
  <si>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</si>
  <si>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</si>
  <si>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The abstract positions computational thinking as central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</si>
  <si>
    <t>The abstract positions computational thinking as a central topic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</si>
  <si>
    <t>The abstract positions computational thinking as a central topic and describes a teacher workshop to develop CT skills, but it does not explicitly operationalize CT through identifiable CT elements or frameworks connected to programming. The study is not clearly situated in a programming or computing education environment, focusing instead on general CT skill development and teacher perceptions in rural schools.</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</si>
  <si>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</si>
  <si>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</si>
  <si>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Poster</t>
  </si>
  <si>
    <t>The abstract positions CT as a central topic focused on teacher professional development for CT integration, but it does not operationalize CT through identifiable CT elements or frameworks, nor does it situate the study in a programming or computing education context.</t>
  </si>
  <si>
    <t>The abstract positions CT as a central topic focused on teacher professional development for CT integration, but it does not operationalize CT through identifiable CT elements or frameworks connected to programming. Additionally, the study is not situated in a programming or computing education context.</t>
  </si>
  <si>
    <t>The abstract positions CT as a central topic but focuses on teacher professional development without operationalizing CT through identifiable CT elements or frameworks, and it does not situate the study in a programming or computing education context.</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</si>
  <si>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</si>
  <si>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</si>
  <si>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</si>
  <si>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coding context.</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</si>
  <si>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</si>
  <si>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</si>
  <si>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The abstract focuses on motivation and basic psychological needs satisfaction related to computational thinking (CT) skill development but does not position CT as a central topic of the study. It lacks explicit operationalization of CT elements or frameworks connected to programming, and there is no clear programming or coding context described.</t>
  </si>
  <si>
    <t>The abstract focuses on motivation and basic psychological needs satisfaction in relation to computational thinking (CT) skill development but does not position CT as a central topic of the study, nor does it operationalize CT through identifiable CT elements or frameworks connected to programming. Additionally, the study context is not explicitly situated in programming or computing education.</t>
  </si>
  <si>
    <t>The abstract focuses on motivation and basic psychological needs satisfaction in relation to computational thinking skill development but does not position CT as a central topic operationalized through CT elements or frameworks, nor does it explicitly situate the study in a programming or computing education context.</t>
  </si>
  <si>
    <t>Understanding CTProgER's Impact on High School Students' Programming Learning</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</si>
  <si>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</si>
  <si>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The abstract positions CT as central and situates the study in a high school programming education context, but it does not explicitly operationalize CT through identifiable CT elements, constructs, or frameworks connected to programming.</t>
  </si>
  <si>
    <t>The abstract positions CT as central and situates the study in a high school programming education context, but it does not explicitly operationalize CT through identifiable CT elements, constructs, dimensions, or frameworks connected to programming.</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</si>
  <si>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</si>
  <si>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</si>
  <si>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The abstract positions CT as a central topic in higher education and programming contexts, but it does not explicitly operationalize CT through identifiable CT elements, constructs, or frameworks connected to programming. The focus is on reviewing assessment constructs and methods rather than on CT operationalization.</t>
  </si>
  <si>
    <t>The abstract positions CT as a central topic focused on assessment in higher education, but it does not explicitly operationalize CT through identifiable CT elements or frameworks connected to programming. The programming context is only partially indicated, as the focus is on programming teaching and learning but also on broader CT skills in different domains.</t>
  </si>
  <si>
    <t>The abstract positions computational thinking (CT) as a central topic focused on assessment in higher education programming contexts, but it does not explicitly operationalize CT through identifiable CT elements, constructs, or frameworks connected to programming. The programming context is explicit, but CT operationalization is not detailed.</t>
  </si>
  <si>
    <t>2nd International Conference on Computational Thinking Education, CTE 2018</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</si>
  <si>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</si>
  <si>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Proceedings-front matter</t>
  </si>
  <si>
    <t>The record is proceedings front matter summarizing multiple papers on computational thinking education but does not present a study with CT as a central focus, explicit CT operationalization, or a programming context.</t>
  </si>
  <si>
    <t>The abstract is a proceedings front matter listing multiple papers focused on computational thinking education but does not present a study with CT as a central focus, operationalize CT, or situate in a programming context itself.</t>
  </si>
  <si>
    <t>The abstract is a proceedings front matter listing multiple papers focused on computational thinking education but does not present a study with CT as a central focus, nor does it operationalize CT or situate it in a programming context.</t>
  </si>
  <si>
    <t>Cultivating Computational Thinking and Social Play among Neurodiverse Preschoolers in Inclusive Classrooms</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</si>
  <si>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</si>
  <si>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The abstract positions computational thinking (CT) as a central topic and situates the study in a programming context using a programmable robot. However, it does not explicitly operationalize CT through identifiable CT elements, constructs, dimensions, or frameworks connected to programming activities.</t>
  </si>
  <si>
    <t>The abstract positions CT as a central topic and situates the study in a programming context using a programmable robot. However, it does not explicitly operationalize CT through identifiable CT elements, constructs, dimensions, or frameworks connected to programming activities.</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</si>
  <si>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</si>
  <si>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</si>
  <si>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The abstract positions computational thinking as a central topic and analyzes research trends, but it does not operationalize CT through identifiable elements or frameworks connected to programming, nor does it situate the study in a programming or computing education context.</t>
  </si>
  <si>
    <t>The abstract positions computational thinking as a central topic and analyzes research trends, but it does not explicitly operationalize CT through identifiable elements or frameworks connected to programming, nor does it situate the study in a programming or computing education context.</t>
  </si>
  <si>
    <t>The abstract positions computational thinking as a central topic and discusses research trends and educational applications, but it does not explicitly operationalize CT through identifiable elements or frameworks connected to programming, nor does it situate the study in a programming or computing education context.</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</si>
  <si>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</si>
  <si>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</si>
  <si>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The abstract discusses computational thinking education and teacher professional development but does not position CT as a central focus of the study; rather, it focuses on teacher readiness and integration barriers. There is no explicit operationalization of CT through identifiable CT elements or frameworks connected to programming. The study is not clearly situated in a programming or computing education context but rather in general classroom activities.</t>
  </si>
  <si>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</si>
  <si>
    <t>Embedding K12 Professional Development Through Co-Teaching Experiences-Sustaining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</si>
  <si>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</si>
  <si>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a clear programming or computing education environment.</t>
  </si>
  <si>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clear programming or computing education environment.</t>
  </si>
  <si>
    <t>The abstract discusses professional development for interdisciplinary courses with a focus on broadening participation in computing, but computational thinking is not positioned as a central focus, nor is there explicit operationalization of CT elements or a clear programming context.</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</si>
  <si>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</si>
  <si>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</si>
  <si>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The abstract positions CT as a central topic integrated with language arts via digital storytelling, but it does not explicitly operationalize CT through identifiable CT elements, constructs, or frameworks connected to programming. The study is situated in language arts education, not a programming or computing context.</t>
  </si>
  <si>
    <t>The abstract discusses integrating CT with language arts via digital storytelling, indicating CT is relevant but not central. It does not explicitly operationalize CT through identifiable CT elements or frameworks connected to programming. The study context is language arts, not a programming or computing education environment.</t>
  </si>
  <si>
    <t>The abstract positions CT as a central topic integrated with language arts via digital storytelling, but it does not explicitly operationalize CT through identifiable CT elements, constructs, or frameworks connected to programming. The study context is language arts and English learning, not a programming or computing education environment.</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</si>
  <si>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</si>
  <si>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</si>
  <si>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The abstract involves remixing Scratch games and crafting physical game controllers, indicating a programming context, but computational thinking (CT) is not explicitly positioned as a central focus. There is no explicit operationalization or framework of CT connected to programming activities described.</t>
  </si>
  <si>
    <t>The abstract involves Scratch programming and game controller design, indicating a programming context, and CT is somewhat relevant as a secondary focus through game design and remixing. However, it does not explicitly operationalize CT through identifiable CT elements, constructs, or frameworks connected to programming.</t>
  </si>
  <si>
    <t>The abstract involves remixing Scratch games and crafting physical game controllers, indicating a programming context, but computational thinking (CT) is not positioned as a central focus. There is no explicit operationalization or framework of CT connected to programming activities.</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</si>
  <si>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</si>
  <si>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</si>
  <si>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</si>
  <si>
    <t>The abstract positions CT assessment as the central topic but does not explicitly operationalize CT through identifiable CT elements or frameworks connected to programming. The study focuses on assessment methodologies rather than programming contexts.</t>
  </si>
  <si>
    <t>PRISA: A Potential Region-based Intelligent Search Algorithm for Dataflow Graph Mapping in Spatial CGRAs</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</si>
  <si>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</si>
  <si>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The abstract focuses on a search algorithm for mapping dataflow graphs to hardware architectures and does not position computational thinking (CT) as a central topic, nor does it operationalize CT or situate the study in a programming or computing education context.</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</si>
  <si>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</si>
  <si>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</si>
  <si>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The abstract positions computational thinking (CT) as a central topic and presents a CT framework, but it does not explicitly operationalize CT through identifiable CT elements connected to programming activities. Additionally, the study is focused on a broad educational assessment framework rather than a programming or coding context.</t>
  </si>
  <si>
    <t>The abstract positions computational thinking (CT) as a central topic and presents a CT framework for assessment, but it does not explicitly operationalize CT through identifiable CT elements connected to programming activities. Additionally, the study is not clearly situated in a programming or coding education context but rather focuses on broader educational curricula and assessment frameworks.</t>
  </si>
  <si>
    <t>The abstract positions computational thinking (CT) as a central topic and presents a CT framework, but it does not explicitly operationalize CT through identifiable CT elements connected to programming activities. Additionally, the study is not clearly situated in a programming or coding context but rather focuses on educational curricula and assessment frameworks.</t>
  </si>
  <si>
    <t>Introductory Engineering Courses With Computational Thinking: The Impact of Educational Privilege and Engineering Major Entry Policy on Student Pathways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</si>
  <si>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</si>
  <si>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The abstract positions computational thinking as a central topic in introductory engineering courses, but it does not explicitly operationalize CT through identifiable CT elements, constructs, or frameworks connected to programming. The study context involves engineering courses with CT and programming, but the programming context is only partially explicit.</t>
  </si>
  <si>
    <t>The abstract positions computational thinking as a central topic in introductory engineering courses and student pathways, but it does not explicitly operationalize CT through identifiable CT elements, constructs, or frameworks connected to programming. The programming context is only partially explicit, as CT and programming appear in engineering courses but the programming context is not clearly detailed.</t>
  </si>
  <si>
    <t>The abstract positions computational thinking as central to the study and discusses its role in introductory engineering courses, but it does not explicitly operationalize CT through identifiable CT elements or frameworks connected to programming. The programming context is implied but not clearly explicit, as the focus is on student pathways and educational privilege rather than programming activities.</t>
  </si>
  <si>
    <t>Researching Computational Thinking in Early Childhood STE(A)M Education Context: A Descriptive Review on the State of Research and Future Directions</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</si>
  <si>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</si>
  <si>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</si>
  <si>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</si>
  <si>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</si>
  <si>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</si>
  <si>
    <t>TechCheck-K: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</si>
  <si>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</si>
  <si>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The abstract positions computational thinking (CT) as a central topic and explicitly operationalizes CT through a validated assessment instrument measuring CT domains. However, the study is conducted with unplugged challenges and does not involve a programming, coding, or computing education environment.</t>
  </si>
  <si>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</si>
  <si>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</si>
  <si>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</si>
  <si>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The abstract positions computational thinking (CT) as central and describes development of a CT content knowledge measurement instrument for teachers, referencing a CT framework. However, it does not explicitly operationalize CT through identifiable CT elements connected to programming, nor does it situate the study in a programming or coding context.</t>
  </si>
  <si>
    <t>The abstract positions computational thinking (CT) as central and focuses on developing a measurement instrument for teachers' CT content knowledge, but it does not explicitly operationalize CT through identifiable CT elements, constructs, or frameworks connected to programming. Additionally, the study is not clearly situated in a programming or coding context.</t>
  </si>
  <si>
    <t>The abstract positions computational thinking (CT) content knowledge as central and describes development of a measurement instrument, but it does not explicitly operationalize CT through identifiable CT elements, constructs, or frameworks connected to programming. The study focuses on teachers' CT content knowledge broadly without a clear programming or coding context.</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</si>
  <si>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</si>
  <si>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</si>
  <si>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Undetermined</t>
  </si>
  <si>
    <t>Short abstract; interpret cautiously.</t>
  </si>
  <si>
    <t>Full undetermined agreement</t>
  </si>
  <si>
    <t>Conference abstract</t>
  </si>
  <si>
    <t>Low</t>
  </si>
  <si>
    <t>The abstract is incomplete or truncated, preventing a reliable assessment of the operationalization framework and programming context.</t>
  </si>
  <si>
    <t>The abstract positions CT as a central topic, but the operationalization framework and programming context cannot be determined because the abstract is incomplete or truncated.</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</si>
  <si>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</si>
  <si>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</si>
  <si>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Abstract appears corrupted or truncated.</t>
  </si>
  <si>
    <t>The abstract indicates that computational thinking evaluation was conducted within a programming methodology course context, positioning CT as central and situated in programming education. However, the abstract is truncated and incomplete, preventing reliable assessment of the CT operationalization framework.</t>
  </si>
  <si>
    <t>The abstract positions CT evaluation within a programming course context, but the operationalization of CT cannot be clearly determined because the abstract is incomplete or truncated.</t>
  </si>
  <si>
    <t>Assessing Middle School Students' Computational Thinking Through Programming Trajectory Analysis</t>
  </si>
  <si>
    <t>With national K-12 education initiatives such as</t>
  </si>
  <si>
    <t>Very short abstract; manual check recommended.</t>
  </si>
  <si>
    <t>The abstract is incomplete or truncated, preventing reliable assessment of CT focus, operationalization, and programming context.</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</si>
  <si>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</si>
  <si>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</si>
  <si>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The abstract positions CT as central and situates the study in a programming methodology course context, but the operationalization of CT cannot be clearly determined because the abstract is incomplete or truncated.</t>
  </si>
  <si>
    <t>The abstract positions CT as central and situates the study in a programming methodology course context, but the CT operationalization framework cannot be reliably determined because the abstract is incomplete or truncated.</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</si>
  <si>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</si>
  <si>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</si>
  <si>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</si>
  <si>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The abstract positions CT as a central topic focusing on CT practices in early childhood education, but it does not explicitly operationalize CT through identifiable CT elements, constructs, or frameworks connected to programming. Additionally, the study context is early childhood education without a clear programming or computing environment.</t>
  </si>
  <si>
    <t>The abstract positions CT as a central topic and evaluates a CT intervention in early childhood education, but it does not operationalize CT through identifiable CT elements or frameworks connected to programming. The study context is early childhood education without explicit programming or coding activities.</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</si>
  <si>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</si>
  <si>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</si>
  <si>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The abstract is incomplete and truncated, preventing reliable coding of CT operationalization and programming context.</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</si>
  <si>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</si>
  <si>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</si>
  <si>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</si>
  <si>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</si>
  <si>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The abstract focuses on children's understanding of AI bias using an interactive system but does not position computational thinking (CT) as a central topic, nor does it operationalize CT or situate the study in a programming or computing education context.</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</si>
  <si>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</si>
  <si>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assessment of mobile computational thinking</t>
  </si>
  <si>
    <t>This paper introduces a rubric for analyzing</t>
  </si>
  <si>
    <t>The abstract is incomplete and truncated, preventing reliable assessment of CT focus, operationalization, and programming context.</t>
  </si>
  <si>
    <t>Conceptions and Misconceptions about Computational Thinking among Italian Primary School Teachers</t>
  </si>
  <si>
    <t>Many advanced countries are recognizing more and more the importance of teaching computing, in some cases even as early as in primary school.</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</si>
  <si>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</si>
  <si>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Computational thinking for teacher education</t>
  </si>
  <si>
    <t>This framework for developing pre-service teachers' knowledge does not necessarily depend on computers or other educational technology.</t>
  </si>
  <si>
    <t>The abstract does not position computational thinking as a central topic, nor does it operationalize CT or situate the study in a programming or computing context. It only mentions a framework for teacher education without explicit CT focus or programming context.</t>
  </si>
  <si>
    <t>The abstract does not position computational thinking (CT) as a central topic, nor does it operationalize CT through identifiable elements or frameworks. It also does not indicate a programming or computing education context.</t>
  </si>
  <si>
    <t>The abstract does not position computational thinking (CT) as a central topic, nor does it operationalize CT or situate the study in a programming or computing context. It only mentions a framework for teacher education without explicit CT focus or programming context.</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</si>
  <si>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</si>
  <si>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</si>
  <si>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The abstract positions CT as a central topic focusing on foundational CT skills, but it does not explicitly operationalize CT through identifiable CT elements or frameworks connected to programming. There is no clear programming or computing context indicated.</t>
  </si>
  <si>
    <t>The abstract positions CT as a central topic focusing on foundational CT skills, but it does not explicitly operationalize CT through identifiable CT elements or frameworks connected to programming, nor does it situate the study in a programming or computing education context.</t>
  </si>
  <si>
    <t>The abstract is incomplete and truncated, preventing a reliable assessment of CT operationalization and programming context.</t>
  </si>
  <si>
    <t>The abstract positions computational thinking (CT) as a central topic and discusses foundational CT skills, but the text is incomplete and truncated, preventing reliable assessment of CT operationalization and programming context.</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</si>
  <si>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</si>
  <si>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</si>
  <si>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Abstract appears truncated or ends with an incomplete phrase.</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</si>
  <si>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</si>
  <si>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The abstract positions computational thinking (CT) as a central topic by using students' interest in mobile app development to introduce and train CT. It explicitly connects CT to programming mobile applications, indicating a programming context. However, the CT operationalization is only partially explicit, as it mentions training CT via programming exercises but does not detail specific CT elements or frameworks.</t>
  </si>
  <si>
    <t>The abstract positions CT as a central topic by leveraging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</si>
  <si>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 new perspective on computational thinking</t>
  </si>
  <si>
    <t>Addressing its cognitive essence, universal value, and curricular practices.</t>
  </si>
  <si>
    <t>The abstract does not provide explicit information that computational thinking (CT) is a central focus, nor does it operationalize CT or situate the study in a programming context. The text is too brief and only mentions CT in a general sense without detail.</t>
  </si>
  <si>
    <t>The abstract does not provide explicit information positioning computational thinking as a central topic, nor does it operationalize CT or situate the study in a programming context. The text is too brief and only mentions general aspects without detail.</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</si>
  <si>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</si>
  <si>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</si>
  <si>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The abstract is truncated and incomplete, but the available text does not explicitly position computational thinking as a central topic, nor does it operationalize CT or situate the study in a programming context.</t>
  </si>
  <si>
    <t>The abstract is incomplete or truncated, preventing a reliable assessment of CT focus, operationalization, and programming context.</t>
  </si>
  <si>
    <t>The abstract is truncated and does not provide explicit evidence that computational thinking (CT) is a central focus, nor does it operationalize CT or situate the study in a programming context.</t>
  </si>
  <si>
    <t>The abstract is truncated and does not provide explicit evidence that computational thinking (CT) is a central focus, nor does it operationalize CT or situate the study in a programming context. The visible content only mentions educational robotics in a general sense without connecting to CT or programming explicitly.</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</si>
  <si>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</si>
  <si>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</si>
  <si>
    <t>The abstract is incomplete and truncated, preventing reliable screening of CT focus, operationalization, and programming context.</t>
  </si>
  <si>
    <t>The abstract is truncated and does not provide explicit evidence that computational thinking (CT) is a central focus, nor does it operationalize CT or situate the study in a programming context. The text is incomplete and lacks sufficient information to assess CT focus, operationalization, or programming context.</t>
  </si>
  <si>
    <t>Thinking about Computational Thinking: Lessons from Education Research</t>
  </si>
  <si>
    <t>Computational thinking (CT) is a means to help learners engage in authentic disciplinary and problem-solving practices of computer science (CS). For CS classrooms, CT is considered</t>
  </si>
  <si>
    <t>The abstract is incomplete and does not provide explicit evidence that computational thinking is a central focus, nor does it operationalize CT or situate the study in a programming context.</t>
  </si>
  <si>
    <t>The abstract positions computational thinking (CT) as a central topic related to computer science education, but it is incomplete and does not provide explicit evidence of CT operationalization or a programming context.</t>
  </si>
  <si>
    <t>The abstract positions computational thinking (CT) as a central topic related to computer science education, but it is truncated and does not provide explicit evidence of CT operationalization or a programming context.</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</si>
  <si>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</si>
  <si>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</si>
  <si>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</si>
  <si>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</si>
  <si>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The abstract is incomplete and does not provide explicit evidence that computational thinking (CT) is a central focus, nor does it operationalize CT or situate the study in a programming context.</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</si>
  <si>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</si>
  <si>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</si>
  <si>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Programming in primary education: towards a research based assessment framework</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</si>
  <si>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</si>
  <si>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Disagreement</t>
  </si>
  <si>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</si>
  <si>
    <t>The abstract positions programming and programming skills assessment as central to the study, indicating a focus on computational thinking through programming. It describes developing an assessment instrument for programming skills in primary education, implying an operationalization of CT related to programming, though the explicit CT framework or elements are not fully detailed. The study is clearly situated in a programming education context in primary schools.</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</si>
  <si>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</si>
  <si>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</si>
  <si>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</si>
  <si>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The abstract positions computational thinking (CT) as central and situates the study in a programming-related context (pair programming). However, it does not explicitly operationalize CT through identifiable CT elements, constructs, dimensions, or frameworks connected to programming activities. The focus is on dialogue pattern analysis rather than CT operationalization.</t>
  </si>
  <si>
    <t>The abstract positions computational thinking (CT) as central by focusing on pair programming to enhance CT skills and analyzing dialogue patterns related to CT performance. It partially operationalizes CT by linking dialogue patterns to CT skills, though it does not explicitly define CT elements or frameworks. The study is clearly situated in a programming education context involving pair programming activities.</t>
  </si>
  <si>
    <t>Investigating the Impact of Computing vs Pedagogy Experience in Novices Creation of Computing-Infused Curricula</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</si>
  <si>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</si>
  <si>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The abstract discusses creation of computing-infused curricula with a focus on programming lessons and pedagogical aspects, positioning CT as relevant but not central. It does not explicitly operationalize CT through identifiable CT elements or frameworks connected to programming. The study is situated in a programming context (block-based programming lessons).</t>
  </si>
  <si>
    <t>The study centrally focuses on computing curricula creation involving block-based programming, positioning computational thinking as a key topic. It partially operationalizes CT by analyzing scaffolding, coding content, and equitable practices in programming lessons, though without an explicit CT framework. The context is clearly situated in programming education through block-based programming lessons.</t>
  </si>
  <si>
    <t>The abstract positions computational thinking (CT) as a central topic by focusing on creating computing curricula and coding lessons, situated in a programming context. However, it does not explicitly operationalize CT through identifiable CT elements, constructs, or frameworks connected to programming. The study is clearly situated in a programming and computing education environment.</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</si>
  <si>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</si>
  <si>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</si>
  <si>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</si>
  <si>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abstract positions computational thinking (CT) as central to the study by focusing on integrating CT into elementary education through narrative-centered learning and block-based programming. It partially operationalizes CT by leveraging block-based programming as scaffolding, implying CT elements, though explicit CT frameworks or constructs are not fully detailed. The study is clearly situated in a programming context via block-based programming and computationally-rich learning environments.</t>
  </si>
  <si>
    <t>The abstract positions computational thinking (CT) as central to the study by focusing on integrating CT into elementary education through narrative-centered learning and block-based programming. It partially operationalizes CT by leveraging block-based programming as scaffolding, implying CT elements, though explicit CT frameworks or constructs are not fully detailed. The study is clearly situated in a programming context via block-based programming and computationally-rich activities.</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</si>
  <si>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</si>
  <si>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</si>
  <si>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</si>
  <si>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abstract positions computational thinking (CT) as central and proposes a tool to develop CT in a problem-based learning context involving programming and algorithms. However, the CT operationalization is only partially explicit, and the programming context is suggested but not clearly detailed. Therefore, the inclusion criteria are not fully met.</t>
  </si>
  <si>
    <t>The abstract positions computational thinking (CT) as central to the study, focusing on its development through a problem-based learning tool. It connects CT to programming and algorithmic thinking, though the operationalization of CT elements or frameworks is only partially explicit. The study is clearly situated in a programming and computing education context.</t>
  </si>
  <si>
    <t>Development of Computational Thinking in High School Students: A Case Study in Chile</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</si>
  <si>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</si>
  <si>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The abstract positions computational thinking (CT) as central by focusing on its development through teaching C++ programming to high school students. It explicitly connects CT development to programming activities, though the operationalization of CT elements or frameworks is only partially detailed. The study is clearly situated in a programming education context.</t>
  </si>
  <si>
    <t>The abstract positions computational thinking as a central topic and situates the study in a programming context (teaching C++), but it does not explicitly operationalize CT through identifiable CT elements, constructs, dimensions, or frameworks connected to programming.</t>
  </si>
  <si>
    <t>The abstract positions computational thinking as central and situates the study in a programming context (C++ workshop), but it does not explicitly operationalize CT through identifiable CT elements, constructs, or frameworks connected to programming.</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</si>
  <si>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</si>
  <si>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</si>
  <si>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</si>
  <si>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The abstract clearly positions computational thinking (CT) as central to the study, describing a STEM course designed to improve CT. It explicitly operationalizes CT through identifiable elements such as decomposition, abstraction, algorithm, debugging, iteration, and generalization connected to the BEAM robotics paradigm. The study is situated in a programming-related context, as the robot's behavior is implicitly programmed through its morphology, linking CT to programming concepts.</t>
  </si>
  <si>
    <t>The abstract positions computational thinking (CT) as a central focus of the study, describing a STEM course designed to improve CT. It explicitly operationalizes CT through identifiable elements such as decomposition, abstraction, algorithm, debugging, iteration, and generalization connected to the BEAM robotics paradigm. The study is situated in a programming-related context, as the robot's behavior is implicitly programmed through its morphology and construction, linking CT to programming concepts.</t>
  </si>
  <si>
    <t>Computing for the Critters: Exploring Computational Thinking of Children in an Informal Learning Setting</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</si>
  <si>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</si>
  <si>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The abstract positions computational thinking (CT) as a central topic and situates the study in a programming-related informal learning environment, but it does not explicitly operationalize CT through identifiable CT elements, constructs, or frameworks connected to programming.</t>
  </si>
  <si>
    <t>The abstract positions computational thinking (CT) as a central topic focused on K-2 children exploring CT through a computer-supported coding game in an informal learning setting. It provides evidence of children engaging in CT competencies, indicating partial operationalization of CT elements. The study is clearly situated in a programming-related context via the coding game.</t>
  </si>
  <si>
    <t>The abstract positions computational thinking (CT) as a central topic and situates the study in a programming-related informal learning environment. However, it does not explicitly operationalize CT through identifiable CT elements, constructs, dimensions, or frameworks connected to programming activities.</t>
  </si>
  <si>
    <t>Discovering Programming Talent and Improving Learning Motivation with CodeCombat in K-12 Education</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</si>
  <si>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</si>
  <si>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The abstract positions computational thinking (CT) as central by linking it to programming talent discovery and learning motivation using CodeCombat. It connects CT to programming education through Python and game-based learning, but the CT operationalization is only partially explicit, as it references CT tests and application in CodeCombat without detailing specific CT elements or frameworks. The study is clearly situated in a programming context involving Python and programming competitions.</t>
  </si>
  <si>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</si>
  <si>
    <t>Learning Sequencing with Bee-Bot: A Study on Improving Computational Thinking and Motivation for Young Learners in Programming Education</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</si>
  <si>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</si>
  <si>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</si>
  <si>
    <t>The abstract positions computational thinking (CT) as a central topic focusing on sequencing and related CT concepts (loops and conditions) in programming education using the Bee-Bot simulator. It explicitly assesses CT abilities with a CT test and links CT concepts to programming-related constructs. The study is situated in a programming education context with a focus on CT operationalization through sequencing and related CT elements, though the operationalization is partial rather than fully detailed. Therefore, inclusion criteria are met.</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</si>
  <si>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</si>
  <si>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</si>
  <si>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</si>
  <si>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abstract positions computational thinking (CT) as a central topic, focusing on assessment of CT skills across early elementary grades. It explicitly operationalizes CT through six CT domains assessed by the TechCheck tool, and applies this in the context of a ScratchJr coding educational intervention, situating the study in a programming context.</t>
  </si>
  <si>
    <t>The abstract positions CT as a central topic and situates the study in a programming education context (ScratchJr coding intervention). However, it does not explicitly operationalize CT through identifiable CT elements, constructs, dimensions, or frameworks connected to programming activities, focusing instead on assessment score normalization and psychometrics.</t>
  </si>
  <si>
    <t>Which way of design programming activities is more effective to promote K-12 students' computational thinking skills? A meta-analysis</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</si>
  <si>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</si>
  <si>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The abstract positions CT as a central topic and situates the study in programming activities for K-12 students, but it does not explicitly operationalize CT through identifiable CT elements, constructs, dimensions, or frameworks connected to programming.</t>
  </si>
  <si>
    <t>The abstract positions computational thinking (CT) as a central topic focused on promoting CT skills through programming activities in K-12 education. It explicitly studies programming instructional design factors influencing CT skill acquisition, indicating partial operationalization of CT in relation to programming. The study is clearly situated in a programming education context.</t>
  </si>
  <si>
    <t>The abstract positions CT as a central topic and situates the study in programming activities for K-12 students, but it does not explicitly operationalize CT through identifiable CT elements, constructs, dimensions, or frameworks connected to programming practices.</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</si>
  <si>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</si>
  <si>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</si>
  <si>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The abstract positions computational thinking as a central topic and situates the study in a programming and algorithm learning context. However, it does not explicitly operationalize CT through identifiable CT elements, constructs, or frameworks connected to programming. The CT assessment mentioned is not detailed as an operationalization framework.</t>
  </si>
  <si>
    <t>The abstract positions computational thinking (CT) as central by focusing on algorithm learning and CT assessment. It connects CT to programming activities through algorithm understanding and code examples, but the CT operationalization is only partially explicit, as it mentions CT assessment without detailing specific CT elements or frameworks. The study is clearly situated in a programming and algorithm learning context.</t>
  </si>
  <si>
    <t>The abstract positions computational thinking as a central topic related to algorithm learning and programming, and it is situated in a programming education context. However, it does not explicitly operationalize CT through identifiable CT elements, constructs, or frameworks connected to programming activities.</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</si>
  <si>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</si>
  <si>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</si>
  <si>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</si>
  <si>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abstract positions computational thinking (CT) as a central topic and discusses its components and assessment tools. However, it does not explicitly operationalize CT through identifiable CT elements or frameworks connected to programming activities. The programming context is only partially indicated through mentions of programming and robotics curricula but is not clearly defined as a programming education environment.</t>
  </si>
  <si>
    <t>The abstract positions computational thinking (CT) as a central topic, discussing its definition, components (such as abstraction, decomposition, and algorithms), and assessment tools. It explicitly connects CT components to programming and STEM education contexts, indicating a programming-related environment. However, the operationalization of CT is only partially explicit, as the study focuses on bibliometric analysis rather than direct operationalization or intervention.</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</si>
  <si>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</si>
  <si>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</si>
  <si>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</si>
  <si>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abstract positions computational thinking (CT) as a central topic focused on integration in elementary education. It explicitly connects CT integration with coding tools and instructional strategies, indicating partial operationalization of CT elements. The study is situated in a programming and computer science education context through CT integration and coding tools use.</t>
  </si>
  <si>
    <t>The abstract positions CT as a central topic and situates the study in a programming education context with coding tools, but it does not explicitly operationalize CT through identifiable CT elements, constructs, or frameworks connected to programming.</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</si>
  <si>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</si>
  <si>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</si>
  <si>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The study involves computational thinking development and coding in a programming environment (Scratch), but CT is not positioned as a central focus; it is secondary to language learning and creative writing. The abstract does not explicitly operationalize CT through identifiable CT elements or frameworks connected to programming. The programming context is explicit through Scratch coding activities.</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</si>
  <si>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</si>
  <si>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</si>
  <si>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</si>
  <si>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</si>
  <si>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abstract positions computational thinking (CT) as a central topic focused on fostering CT skills through maker technologies and project-based activities. It explicitly connects CT development to programming-related contexts using robotics and microcontroller platforms. However, the CT operationalization is only partially explicit, as it references theoretical perspectives and design considerations rather than detailed CT elements or frameworks. The study is clearly situated in a programming and computing education environment.</t>
  </si>
  <si>
    <t>The abstract positions CT as a central topic and describes activities using maker technologies to foster CT skills, but it does not explicitly operationalize CT through identifiable CT elements, constructs, or frameworks connected to programming. Although programming is implied via maker technologies, the programming context is not clearly explicit or detailed.</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</si>
  <si>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</si>
  <si>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</si>
  <si>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</si>
  <si>
    <t>The abstract positions CT as a central topic and discusses CT-STEM practices including programming and algorithms. However, the CT operationalization is only partial as it is not explicitly detailed through identifiable CT elements or frameworks connected to programming. The study focuses on teacher professional development and curriculum co-design rather than a direct programming or computing education context for students.</t>
  </si>
  <si>
    <t>The abstract positions computational thinking (CT) as a central topic focused on CT-STEM practices including data, modeling, algorithms, and programming. It explicitly connects CT elements to programming and computational practices in a professional development context. The study is situated in a programming and computing education environment through curriculum co-design involving programming and computational practices. However, the CT operationalization is only partially explicit, as it does not detail a specific CT framework or fully explicit operationalization.</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</si>
  <si>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</si>
  <si>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</si>
  <si>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</si>
  <si>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abstract positions computational thinking (CT) as central and explicitly situates the study in programming learning with primary school students. However, it does not explicitly operationalize CT through identifiable CT elements, constructs, dimensions, or frameworks connected to programming activities; rather, it conceptualizes CT perspectives as abilities (connect, question, express) without linking to CT elements or frameworks. Therefore, CT operationalization is coded as No.</t>
  </si>
  <si>
    <t>Computational Thinking Assessment in Primary and Secondary Education: A Meta-Synthesis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</si>
  <si>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</si>
  <si>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The abstract positions computational thinking (CT) assessment as the central topic, focusing on tools, methods, and pedagogical approaches in primary and secondary education. It explicitly addresses CT components and programming skills, indicating partial operationalization of CT elements connected to programming. The study is situated in educational contexts involving programming skills, confirming a programming-related environment.</t>
  </si>
  <si>
    <t>The abstract positions computational thinking (CT) assessment as the central topic, but it does not explicitly operationalize CT through identifiable CT elements or frameworks connected to programming. Although programming skills are mentioned, the study does not clearly situate itself in a programming or computing education context.</t>
  </si>
  <si>
    <t>The abstract positions computational thinking (CT) assessment as central to the study, but it does not explicitly operationalize CT through identifiable CT elements or frameworks connected to programming. Although programming skills are mentioned, the study does not clearly situate itself in a programming or computing education context.</t>
  </si>
  <si>
    <t>Effect of Project-Based Arduino Robot Application on Trainee Teachers Computational Thinking in Robotics Programming Course</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</si>
  <si>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</si>
  <si>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The abstract positions computational thinking as a central topic and situates the study in a robotics programming course, indicating a programming context. However, it does not explicitly operationalize computational thinking through identifiable CT elements, constructs, or frameworks connected to programming activities.</t>
  </si>
  <si>
    <t>The abstract positions computational thinking (CT) as a central focus by investigating its development through a project-based Arduino robot application in a robotics programming course. It explicitly connects CT to programming activities in robotics, but the operationalization of CT is only partially detailed through the use of a specific scale (RPCTS) without explicit mention of CT elements or frameworks. The study is clearly situated in a programming and robotics education context.</t>
  </si>
  <si>
    <t>The abstract positions computational thinking as a central topic and situates the study in a robotics programming course, indicating a programming context. However, it does not explicitly operationalize computational thinking through identifiable CT elements, constructs, dimensions, or frameworks connected to programming activities.</t>
  </si>
  <si>
    <t>Generating a Template for an Educational Software Development Methodology for Novice Computing Undergraduates: An Integrative Review</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</si>
  <si>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</si>
  <si>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The abstract centrally focuses on computational thinking (CT) as part of an educational software development methodology for novice undergraduates. It explicitly operationalizes CT through identifiable elements such as abstraction, decomposition, pattern recognition, evaluation, and algorithm writing, connected to programming and software development activities. The study is clearly situated in a programming and computing education context, addressing undergraduate software development education.</t>
  </si>
  <si>
    <t>The abstract focuses on developing an educational software development methodology for novice undergraduates, integrating computational thinking skills such as abstraction, decomposition, and algorithms. However, CT is not positioned as the central topic but as part of a broader problem-solving and software development framework. The CT operationalization is partial, as it identifies CT-related skills and concepts but does not explicitly connect them to programming constructs or frameworks in detail. The study is situated in a programming education context.</t>
  </si>
  <si>
    <t>The abstract focuses on developing an educational software development methodology for novice undergraduates, integrating computational thinking skills and concepts. While CT is relevant and partially operationalized through identified skills like abstraction, decomposition, and algorithms connected to software development, the operationalization is implicit and not fully explicit. The study is situated in a programming and computing education context. However, CT is not fully central but part of a broader methodology development, so Q1 is Partially and Q2 is Partially, leading to exclusion as inclusion requires Q1=Yes.</t>
  </si>
  <si>
    <t>Developing young children's computational thinking with educational robotics: An interaction effect between gender and scaffolding strategy</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</si>
  <si>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</si>
  <si>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The abstract positions computational thinking as a central topic and discusses decomposition as a CT strategy, but the operationalization of CT elements is only partial and not fully explicit. The study context involves educational robotics (Bee-Bot) activities but does not clearly situate the study within a programming or coding context, as the activities focus on manipulative and collaborative tasks rather than explicit programming or coding instruction.</t>
  </si>
  <si>
    <t>The abstract positions computational thinking as a central topic and discusses decomposition as a CT strategy, but the operationalization of CT is only partial and not explicitly connected to programming constructs or frameworks. The study context involves educational robotics with Bee-Bot but does not clearly situate the study in a programming or coding environment.</t>
  </si>
  <si>
    <t>The abstract positions computational thinking (CT) as a central topic, focusing on learning gains in CT skills through educational robotics. It explicitly mentions decomposition as a problem-solving strategy, which is a recognized CT element connected to programming-related activities. The study is situated in a programming-related context using the Bee-Bot robot, involving coding and debugging activities. Therefore, all inclusion criteria are met.</t>
  </si>
  <si>
    <t>The development of students’ computational thinking practices in elementary- and middle-school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</si>
  <si>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</si>
  <si>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The abstract positions computational thinking (CT) as a central topic, focusing on the development of students' CT practices through the Zoombinis learning game. It explicitly operationalizes CT by using automated detectors of gameplay CT practices and relates these to external assessments, indicating a clear CT framework connected to programming-related gameplay activities. The study is situated in a computing education environment involving a CT learning game, thus fulfilling the programming context criterion.</t>
  </si>
  <si>
    <t>The abstract positions CT as a central topic and studies CT practices through gameplay and classroom activities using the Zoombinis game. However, it does not explicitly operationalize CT through identifiable CT elements or frameworks connected to programming concepts, nor is the study situated in a programming or coding context, as it focuses on a learning game rather than programming instruction.</t>
  </si>
  <si>
    <t>The abstract positions CT as a central topic and studies CT practices development using the Zoombinis game. It partially operationalizes CT through automated detectors of gameplay CT practices, but the study is not situated in a programming or coding context, focusing instead on a learning game without explicit programming activities.</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</si>
  <si>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</si>
  <si>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</si>
  <si>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</si>
  <si>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abstract positions CT through programming as a central topic and situates the study in K-12 programming education, but it does not explicitly operationalize CT through identifiable CT elements, constructs, or frameworks connected to programming.</t>
  </si>
  <si>
    <t>The abstract positions computational thinking (CT) through programming as a central topic and develops a conceptual model based on a systematic review of CT in K-12 programming education. It explicitly connects CT to programming in K-12 contexts, though the operationalization of CT elements is implied through the model rather than fully detailed, warranting a partial rating. The study is clearly situated in a programming education context.</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</si>
  <si>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</si>
  <si>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</si>
  <si>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</si>
  <si>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abstract positions computational thinking (CT) as a central topic and situates the study in a programming education context using Scratch. However, it does not explicitly operationalize CT through identifiable CT elements, constructs, dimensions, or frameworks connected to programming activities.</t>
  </si>
  <si>
    <t>The abstract positions computational thinking (CT) as a central focus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</si>
  <si>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</si>
  <si>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</si>
  <si>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</si>
  <si>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abstract focuses on programming and computational thinking development with Arduino in secondary education, but CT is not positioned as a central focus; it is mentioned alongside programming and motivation. There is no explicit operationalization of CT through identifiable CT elements or frameworks connected to programming. The study is clearly situated in a programming context.</t>
  </si>
  <si>
    <t>The abstract positions computational thinking as a central topic focused on secondary education and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programming languages like Scratch.</t>
  </si>
  <si>
    <t>Human_q1</t>
  </si>
  <si>
    <t>Human_q2</t>
  </si>
  <si>
    <t>Human_q3</t>
  </si>
  <si>
    <t>Human_decision</t>
  </si>
  <si>
    <t>Human_reason</t>
  </si>
  <si>
    <t>Human_confidence</t>
  </si>
  <si>
    <t>Group</t>
  </si>
  <si>
    <t>Total_records</t>
  </si>
  <si>
    <t>Sampled_records</t>
  </si>
  <si>
    <t>Manual_Revision</t>
  </si>
  <si>
    <t>Total unique validation sample</t>
  </si>
  <si>
    <t>Paper_ID</t>
  </si>
  <si>
    <t>Final_q1</t>
  </si>
  <si>
    <t>Final_q2</t>
  </si>
  <si>
    <t>Final_q3</t>
  </si>
  <si>
    <t>Final_Reason</t>
  </si>
  <si>
    <t>Final_Confidence</t>
  </si>
  <si>
    <t>Final_ManualCheckNeeded</t>
  </si>
  <si>
    <t>Final_ManualCheckReason</t>
  </si>
  <si>
    <t>Run_Decisions</t>
  </si>
  <si>
    <t>Different_Decision_Count</t>
  </si>
  <si>
    <t>Different_Decision</t>
  </si>
  <si>
    <t>Excluded, Excluded, Included</t>
  </si>
  <si>
    <t>Included, Excluded, Included</t>
  </si>
  <si>
    <t>Excluded, Excluded, Undetermined</t>
  </si>
  <si>
    <t>Excluded, Included, Excluded</t>
  </si>
  <si>
    <t>Excluded, Included, Included</t>
  </si>
  <si>
    <t>Included, Excluded, Excluded</t>
  </si>
  <si>
    <t>Included, Included, Excluded</t>
  </si>
  <si>
    <t>Record_ID_A</t>
  </si>
  <si>
    <t>Title_A</t>
  </si>
  <si>
    <t>Abstract_A</t>
  </si>
  <si>
    <t>Authors_A</t>
  </si>
  <si>
    <t>Year_A</t>
  </si>
  <si>
    <t>DOI_A</t>
  </si>
  <si>
    <t>Source_Title_A</t>
  </si>
  <si>
    <t>Source_Database_A</t>
  </si>
  <si>
    <t>Record_ID_B</t>
  </si>
  <si>
    <t>Title_B</t>
  </si>
  <si>
    <t>Abstract_B</t>
  </si>
  <si>
    <t>Authors_B</t>
  </si>
  <si>
    <t>Year_B</t>
  </si>
  <si>
    <t>DOI_B</t>
  </si>
  <si>
    <t>Source_Title_B</t>
  </si>
  <si>
    <t>Source_Database_B</t>
  </si>
  <si>
    <t>Title_Similarity</t>
  </si>
  <si>
    <t>Abstract_Similarity</t>
  </si>
  <si>
    <t>Similarity_Reason</t>
  </si>
  <si>
    <t>LLM_Duplicate_Decision</t>
  </si>
  <si>
    <t>Recommended_Record_To_Keep</t>
  </si>
  <si>
    <t>Recommended_Record_To_Remove</t>
  </si>
  <si>
    <t>Conference_vs_Journal</t>
  </si>
  <si>
    <t>Manual_Review_Required</t>
  </si>
  <si>
    <t>Rationale</t>
  </si>
  <si>
    <t>R00121</t>
  </si>
  <si>
    <t>Selecting examples for CS courses: the case of a computational thinking MOOC</t>
  </si>
  <si>
    <t>Ragonis, Noa and Bukai, Ayelet and Hazzan, Orit</t>
  </si>
  <si>
    <t>10.1145/3545179</t>
  </si>
  <si>
    <t>ACM Inroads</t>
  </si>
  <si>
    <t>ACM</t>
  </si>
  <si>
    <t>R00181</t>
  </si>
  <si>
    <t>A Competency Model for Undergraduate Programs in Information Systems</t>
  </si>
  <si>
    <t>The Joint ACM/AIS IS2020 Task Force and Leidig, Paul and Salmela, Hannu</t>
  </si>
  <si>
    <t>similar abstract</t>
  </si>
  <si>
    <t>Potential duplicate detected from metadata and abstract similarity.</t>
  </si>
  <si>
    <t>R00203</t>
  </si>
  <si>
    <t>CHI EA '24: Extended Abstracts of the CHI Conference on Human Factors in Computing Systems</t>
  </si>
  <si>
    <t>R00262</t>
  </si>
  <si>
    <t>Introduction: Computational thinking in preK-5: empirical evidence for integration and future directions</t>
  </si>
  <si>
    <t>Ottenbreit-Leftwich, Anne and Yadav, Aman</t>
  </si>
  <si>
    <t>same year; similar abstract</t>
  </si>
  <si>
    <t>R00809</t>
  </si>
  <si>
    <t>Development of a Tool for Computational Thinking Assessment in Problem-Solving Programming Education: Paper Type Inspection and Self-Report Questionnaire</t>
  </si>
  <si>
    <t>Kim, S. S.; Kim, Y. J.; Cho, A. R.; Lee, M. W.</t>
  </si>
  <si>
    <t>Journal of Korean Association of Computer Education</t>
  </si>
  <si>
    <t>Scopus</t>
  </si>
  <si>
    <t>R00812</t>
  </si>
  <si>
    <t>The code-free computational thinking framework: Teaching science and CT without writing code</t>
  </si>
  <si>
    <t>Kite, V.; Park, S.; Wiebe, E.</t>
  </si>
  <si>
    <t>Interactive Poster Presentation to the National Association for Research in Science Teaching</t>
  </si>
  <si>
    <t>R00969</t>
  </si>
  <si>
    <t>Pedagogical Practices in Teaching Scratch &amp; Micro:Bit Programming for Computational Thinking Development: Developing Diet Related Games</t>
  </si>
  <si>
    <t>Cheng, Y.T.</t>
  </si>
  <si>
    <t>Proceedings of the International Teacher Forum on International Conference on Computational Thinking Education</t>
  </si>
  <si>
    <t>R00971</t>
  </si>
  <si>
    <t>Research on the intrinsic mechanism and teaching practice of programming education to promote children's computational thinking development</t>
  </si>
  <si>
    <t>Zhaojun, Duo; Yonggong, Liu Yansong Ren</t>
  </si>
  <si>
    <t>Research on Electrochemical Education</t>
  </si>
  <si>
    <t>R00975</t>
  </si>
  <si>
    <t>Review of learning for computational thinking development through programming: What is next for K-12?</t>
  </si>
  <si>
    <t>Lye, S.Y.; Koh, J.H.L.</t>
  </si>
  <si>
    <t>Comput Hum Behav</t>
  </si>
  <si>
    <t>R00977</t>
  </si>
  <si>
    <t>An Empirical Study on the Promotion of Computational Thinking Development of Junior High School Students by Programming Teaching Based on Graphical Tools</t>
  </si>
  <si>
    <t>Qian, Fu; Bochao, Xie; Yafeng, Zheng</t>
  </si>
  <si>
    <t>Electronic Education Research</t>
  </si>
  <si>
    <t>R01153</t>
  </si>
  <si>
    <t>Editorial — Special Issue on Computational Thinking and Coding in Childhood</t>
  </si>
  <si>
    <t>Kate Howland and Judith Good and Judy Robertson and Andrew Manches</t>
  </si>
  <si>
    <t>https://doi.org/10.1016/j.ijcci.2018.11.001</t>
  </si>
  <si>
    <t>International Journal of Child-Computer Interaction</t>
  </si>
  <si>
    <t>ScienceDirect</t>
  </si>
  <si>
    <t>R00469</t>
  </si>
  <si>
    <t>Sequential Behavior Analysis of Interdisciplinary Activities in Computational Thinking and EFL Learning With Game-Based Learning</t>
  </si>
  <si>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</si>
  <si>
    <t>Hsu, Ting-Chia and Chang, Ching and Liang, Yi-Sian</t>
  </si>
  <si>
    <t>10.1109/TLT.2023.3249749</t>
  </si>
  <si>
    <t>IEEE Transactions on Learning Technologies</t>
  </si>
  <si>
    <t>IEEE</t>
  </si>
  <si>
    <t>R00496</t>
  </si>
  <si>
    <t>Sequential Behavior Analysis of Interdisciplinary Activities in Computational Thinking and EFL Language Learning With Game-Based Learning</t>
  </si>
  <si>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</si>
  <si>
    <t>10.1109/TLT.2023.3311331</t>
  </si>
  <si>
    <t>same first author; similar title; similar abstract</t>
  </si>
  <si>
    <t>R00707</t>
  </si>
  <si>
    <t>8th APSCE International Conference on Computational Thinking and STEM Education, CTE-STEM 2024</t>
  </si>
  <si>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</si>
  <si>
    <t>Proceedings of International Conference on Computational Thinking Education</t>
  </si>
  <si>
    <t>R00913</t>
  </si>
  <si>
    <t>6th APSCE International Conference on Computational Thinking and STEM Education, CTE-STEM 2022</t>
  </si>
  <si>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</si>
  <si>
    <t>same first author; similar title</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</si>
  <si>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</si>
  <si>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</si>
  <si>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</si>
  <si>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</si>
  <si>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</si>
  <si>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</si>
  <si>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</si>
  <si>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</si>
  <si>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</si>
  <si>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similar title</t>
  </si>
  <si>
    <t>Included: The study focuses on CT in programming, suggesting that CT assessment should not focus only in one variable, which could mean a presence of assessing operationalization of CT within variables related to programming.</t>
  </si>
  <si>
    <t>Included: The studey focuses on CT and coding, and suggests a link between CT engagement through coding activities, although it does no specfic the used framework, it mentions CT concepts and CT practices which realte to Brennan &amp; Resnick Framework.</t>
  </si>
  <si>
    <t>Included: The paper suggests a link between CT and coding, as it claims that novice programmers, through specific methodologies, can increse their CT skills, which indicates a relatinsip that must be screened further.</t>
  </si>
  <si>
    <t>Excluded: The study focuses on CT, but the programming context is present superficially, leading to a superficial link between CT and the programming context we expect.</t>
  </si>
  <si>
    <t>Excluded: The study mentions programming elements specifically; however, it does not mention CT.</t>
  </si>
  <si>
    <t>Included: The study clearly suggests the CT with programming.</t>
  </si>
  <si>
    <t>Included: The papers indicates findings that relate CT skills that have been developed through programming.</t>
  </si>
  <si>
    <t>Included: The investigation focuses on introducing contionals to develop CT, which suggests findings that can make this relationship pertinent for our student.</t>
  </si>
  <si>
    <t>Excluded: The research does focus on CT, but not in programming. It presents an instrument to evaluate CT, and even it is created as part of the Internatinal and Information Literacy Study in Flranders, it does nos suggest a relationship study between CT and programming.</t>
  </si>
  <si>
    <t>Excluded: As TechCheck does not include programming concepts or constructs, and no other approach that indicates the opposite is mentioned.</t>
  </si>
  <si>
    <t>Excluded: It does not mention programming context work specifically, and also, no relationship exists.</t>
  </si>
  <si>
    <t>Excluded: Although the research is conducted in Engineering programs, and mentions Ct and programming, it does not suggest studying the relationship between them both.</t>
  </si>
  <si>
    <t>Included: Following the screening rules, the study was included because teachers used programming activities involving CT elements, suggesting a potential relationship between computational thinking and programming constructs. However, the evidence presented in the abstract is limited, and a human reviewer might have excluded the paper due to the absence of an explicit operationalization of this relationship.</t>
  </si>
  <si>
    <t>Included: The study suggests an integration of computational thinking and programming. Although a human reviewer might classify it as excluded, according to the predefined screening rules, it should be included.</t>
  </si>
  <si>
    <t>Included: The study suggests a relationship between CT and programming through specific pedagogical models for programming.</t>
  </si>
  <si>
    <t>Included: It suggests evaluating CT through programming.</t>
  </si>
  <si>
    <t>Excluded: The study focuses on computer architecture education, but it does not center on CT.</t>
  </si>
  <si>
    <t>Included: It suggests a direct relationship between CT and programming.</t>
  </si>
  <si>
    <t>Excluded: The study mentions a framework used to enhance CT; however, no programming elements are connected.</t>
  </si>
  <si>
    <t>Excluded: The study focuses on enhancing CT through art.</t>
  </si>
  <si>
    <t>Excluded: It focuses on CT in Social Sciences through unplugged elements.</t>
  </si>
  <si>
    <t>Excluded: The study focuses on the perception and readness to teach coding, not relantionships between both areas.</t>
  </si>
  <si>
    <t>Excluded: The study claims that studies beyond computer science in CT are necessary, and it suggests ot follow that approach.</t>
  </si>
  <si>
    <t>Excluded: Altough the instrument as CTProg could help to explain the relationship between CT and programming, in the asbtract it is not clear what performance has improved. The programming or the CT elements?, and also the instrument is commonly used as assessment instrumento so there is not a good picture about how they used in intervention as instruccional approach?</t>
  </si>
  <si>
    <r>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t>
    </r>
    <r>
      <rPr>
        <sz val="11"/>
        <color rgb="FFFF0000"/>
        <rFont val="Calibri"/>
        <family val="2"/>
        <scheme val="minor"/>
      </rPr>
      <t>central question "What tools are available for the assessment of CT skills?". A comprehensive search of academic databases for CT assessment publications since 2006 yielded 202 unique articles. After applying exclusion criteria, 72 relevant articles were analyzed. The selected publications were categorized by tool type, and focus, examining tool reliability and validity. This paper presents initial findings from this review.</t>
    </r>
  </si>
  <si>
    <r>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t>
    </r>
    <r>
      <rPr>
        <sz val="11"/>
        <color rgb="FFFF0000"/>
        <rFont val="Calibri"/>
        <family val="2"/>
        <scheme val="minor"/>
      </rPr>
      <t>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t>
    </r>
  </si>
  <si>
    <r>
      <t xml:space="preserve">With national K-12 education initiatives such as </t>
    </r>
    <r>
      <rPr>
        <sz val="11"/>
        <color rgb="FFFF0000"/>
        <rFont val="Calibri"/>
        <family val="2"/>
        <scheme val="minor"/>
      </rPr>
      <t>"CSForAll," block-based programming environments have emerged as widely used tools for teaching novice programming. A key challenge presented by block-based programming environments is assessing students' computational thinking (CT) and programming competencies. Developing assessment methods that can evaluate students' use of CT practices such as testing and refining, and developing and using appropriate algorithms, can help teachers evaluate students learning and provide appropriate scaffolding. In this work, we utilize an evidence-centered assessment design approach to devise a three-dimensional assessment to evaluate students' CT competencies based on evidence extracted from their programming trajectories in a block-based programming environment. In this assessment, the first dimension assesses students' knowledge of essential CT concepts, the second dimension assesses students' dynamic testing and refining strategies, and the third dimension assesses their overall problem-solving efficiency. We apply the assessment framework to data collected from students' interactions with a game-based learning environment designed to develop middle-grade students' CT competencies and programming skills. The results demonstrate that students' knowledge of basic CT constructs, such as appropriate use and combination of control structures, serves as the foundation for designing and implementing effective algorithms. Further, we assessed students testing and refining strategies over the three dimensions of novelty, positivity, and scale. The results demonstrate that students with higher algorithmic capabilities tend to make more novel, positive, and small-scale changes. The results reveal distinctive patterns in students' approaches to computational thinking problem solving and make a step toward identifying and assessing productive computational thinking practices.</t>
    </r>
  </si>
  <si>
    <r>
      <t xml:space="preserve">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
    </r>
    <r>
      <rPr>
        <sz val="11"/>
        <color rgb="FFFF0000"/>
        <rFont val="Calibri"/>
        <family val="2"/>
        <scheme val="minor"/>
      </rPr>
      <t>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t>
    </r>
  </si>
  <si>
    <r>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r>
    <r>
      <rPr>
        <sz val="11"/>
        <color rgb="FFFF0000"/>
        <rFont val="Calibri"/>
        <family val="2"/>
        <scheme val="minor"/>
      </rPr>
      <t>"Magical Adventure" based on the Evidence-Centered Game Design (ECGD) framework, which aimed at assessing the CT practices of young children. The game comprises five scenarios, targeting five CT practices respectively, including pattern recognition, abstraction, problem decomposition, algorithmic thinking, and debugging. Scoring criteria were designed to evaluate students' CT abilities based on the anticipated gameplay process data. This study describes the design and development process of the game. Future steps will include validation of its effectiveness through expert reviews and cognitive interviews, followed by empirical research to optimize and refine the game, enhancing its accuracy in reflecting students' CT practices.</t>
    </r>
  </si>
  <si>
    <r>
      <t>This paper introduces a rubric for analyzing</t>
    </r>
    <r>
      <rPr>
        <sz val="11"/>
        <color rgb="FFFF0000"/>
        <rFont val="Calibri"/>
        <family val="2"/>
        <scheme val="minor"/>
      </rPr>
      <t xml:space="preserve"> "mobile computational thinking" (MCT) as represented in App Inventor work products. To demonstrate its efficacy, this rubric was used to evaluate and compare student work from the CS and non-CS student cohorts in a mixed-major app design undergraduate course. Our analysis showed some significant differences between the cohorts, which were expected, as well as more subtle differences. The rubric demonstrated that it was sensitive to significant and subtle variations of MCT. The instrument is available for download and use.</t>
    </r>
  </si>
  <si>
    <r>
      <t xml:space="preserve">This research investigates how interactive dynamics within robotics learning environments foster Computational Thinking (CT) among primary school students. Adopting classroom observations and semi-structured interviews, the study identified the </t>
    </r>
    <r>
      <rPr>
        <sz val="11"/>
        <color rgb="FFFF0000"/>
        <rFont val="Calibri"/>
        <family val="2"/>
        <scheme val="minor"/>
      </rPr>
      <t>"3A" CT process—abstraction, automation, and analysis—as a fundamental framework for understanding how students develop computational skills. Findings indicate that student-teacher interactions are crucial during the abstraction stage, aiding students in conceptualizing and structuring programming tasks. Student-robot interactions are essential in the automation stage, providing immediate feedback that helps students refine their programming. Student-student interactions, beneficial during the analysis stage, encourage collaborative problem-solving and critical assessment of programming strategies. These interactive dynamics, analysed through the lens of embodied cognition theory, emphasize the importance of hands-on, tangible learning experiences in enhancing CT. The study’s insights have significant implications for curriculum design, suggesting that targeted interactive dynamics can improve the effectiveness of robotics education and better prepare students for future technological challenges.</t>
    </r>
  </si>
  <si>
    <r>
      <t xml:space="preserve">Computational Thinking skills along with reading, writing, andcalculating skills are basic skills for children’s future. ComputationalThinking has much in common with problem-solving and creativethinking in general. With regard to Karl Popper </t>
    </r>
    <r>
      <rPr>
        <sz val="11"/>
        <color rgb="FFFF0000"/>
        <rFont val="Calibri"/>
        <family val="2"/>
        <scheme val="minor"/>
      </rPr>
      <t>"all life is problem-solving" [26 ], this contribution focuses on the common featuresof problem-solving and unplugged Computational Thinking, byusing a special set of Computational Thinking tasks (INGA-Box).Choosing a mix of deductive and inductive approach, a classificationscheme for observing the development of Computational Thinkingin kindergarten was developed and evaluated with first datasets.</t>
    </r>
  </si>
  <si>
    <r>
      <t xml:space="preserve">Computational thinking (CT) is a means to help learners engage in Computational thinking (CT) is a means to help learners engage in authentic disciplinary and problem-solving practices of computer science (CS). For CS classrooms, CT is considered </t>
    </r>
    <r>
      <rPr>
        <sz val="11"/>
        <color rgb="FFFF0000"/>
        <rFont val="Calibri"/>
        <family val="2"/>
        <scheme val="minor"/>
      </rPr>
      <t>"thinking like a computer scientist". CT is believed to be an important learning goal of introductory CS in addition to CS concepts and programming. Despite the growing attention on CT in K-12 CS education, there is lingering confusion on the what and how of CT, and CT's relationship to coding and CS. Education research on disciplinary thinking skills in science and mathematics education can provide guidance for teaching and learning of CT. For example, (a) The shift in emphasis on disciplinary thinking helps focus on deeper conceptual understanding rather than rote learning of knowledge and facts. Hence thinking like a scientist, or mathematician, historian or computer scientist, draws attention to authentic practices of those disciplines. (b) Thinking skills are best taught in context. Therefore, CT should be taught in CS classrooms or integrated into learning of other subjects rather than taught as a separate skill or subject. (c) Even if there is no transfer beyond the context in which they are taught, a focus on thinking skills helps in deeper conceptual learning; (d) Like critical or creative thinking, CT should be integrated into other subjects to enrich learning. Research on meaningful technology integration across subjects provides useful frameworks to inform CT integration efforts. This talk aims to productively move the discourse on CT toward concrete ideas for K-12 educators, researchers, and curricular designers.</t>
    </r>
  </si>
  <si>
    <r>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t>
    </r>
    <r>
      <rPr>
        <sz val="11"/>
        <color rgb="FFFF0000"/>
        <rFont val="Calibri"/>
        <family val="2"/>
        <scheme val="minor"/>
      </rPr>
      <t xml:space="preserve"> of "Computational Thinking". Like the majority of countries who have introduced these topics, NZ faces challenges in preparing teachers, and in successfully implementing a curriculum which achieves its educational goals. To support this curriculum, we have been conducting studies in primary schools across NZ, trialing resources with teachers and students.
Building on a 2014 exploratory study on CS and programming in intermediate school, this project investigates the existing assumptions around CT education in K-12. It aims to address the specific questions: How do we teach CT concepts and approaches to primary aged students? If they learn CT, does it have the expected positive impacts on students learning? And, what other positive and negative impacts does this have?
Throughout 2015 and 2016 a study was conducted with 18 primary school teachers from across NZ, who used CS Unplugged and educational programming languages in their classrooms. Teachers submitted feedback on these classes through an online form, and participated in semi-structured interviews. The feedback responses and interview transcripts were analysed using a thematic approach, which revealed many positive impacts on students general learning, minimal negative impacts, and observations of CT development.</t>
    </r>
  </si>
  <si>
    <r>
      <t xml:space="preserve">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 </t>
    </r>
    <r>
      <rPr>
        <sz val="11"/>
        <color rgb="FFFF0000"/>
        <rFont val="Calibri"/>
        <family val="2"/>
        <scheme val="minor"/>
      </rPr>
      <t xml:space="preserve">ça Portugal, being its technological aspects related with 
mobile robotics. Other than the technological aspects, the students 
participated in many different cultural and social activities, having 
the opportunity to know the city of Bragança and also to know 
different persons, mainly students, professors, researchers and 
laboratory technicians. The applied approach in the summer camp 
was a challenge based learning methodology, being involved in the 
experiment 3 professors, 4 monitors, working with a group of 16 
secondary school students. The described experiment was planned 
as an activity of the RoboSTEAM - Integrating STEAM and 
Computational Thinking development by using robotics and 
physical devices ERASMUS+ Project. </t>
    </r>
  </si>
  <si>
    <r>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r>
    <r>
      <rPr>
        <sz val="11"/>
        <color rgb="FFFF0000"/>
        <rFont val="Calibri"/>
        <family val="2"/>
        <scheme val="minor"/>
      </rPr>
      <t>"pen and paper'") of increasing difficulty. The school was repeated twice at our university and was targeted to a reduced class of students concluding the third and the fourth year of high school. Participants were in total 19 and coming from different types of schools. This paper describes the structure of MobileDev and discusses the results to provide directions for further research.</t>
    </r>
  </si>
  <si>
    <r>
      <t xml:space="preserve">Many advanced countries are recognizing more and more the importance of teaching computing, in some cases even as early as in primary school. </t>
    </r>
    <r>
      <rPr>
        <sz val="11"/>
        <color rgb="FFFF0000"/>
        <rFont val="Calibri"/>
        <family val="2"/>
        <scheme val="minor"/>
      </rPr>
      <t>"Computational thinking" is the term often used to denote the conceptual core of computer science or "the way a computer scientist thinks", as Wing put it. Such term - given also the lack of a widely accepted definition - has become a "buzzword" meaning different things to different people. We investigated the Italian primary school teachers' conceptions about computational thinking by analyzing the results of a survey (N=972) conducted in the context of "Programma il Futuro" project. Teachers have been asked to provide a definition of computational thinking and to answer three additional related closed-ended questions. The analysis shows that, while almost half of teachers (43.4%) have included in their definitions some fundamental elements of computational thinking, very few (10.8%) have been able to provide an acceptably complete definition. On a more positive note, the majority is aware that computational thinking is not characterized by coding or by the use of information technology.</t>
    </r>
  </si>
  <si>
    <r>
      <t>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t>
    </r>
    <r>
      <rPr>
        <sz val="11"/>
        <color rgb="FFFF0000"/>
        <rFont val="Calibri"/>
        <family val="2"/>
        <scheme val="minor"/>
      </rPr>
      <t xml:space="preserve"> Gutiérrez’s framework of critical pedagogy and sociocultural theory.</t>
    </r>
  </si>
  <si>
    <r>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t>
    </r>
    <r>
      <rPr>
        <sz val="11"/>
        <color rgb="FFFF0000"/>
        <rFont val="Calibri"/>
        <family val="2"/>
        <scheme val="minor"/>
      </rPr>
      <t>-Württemberg, Germany participated in the intervention. The overall evaluation using the TechCheck-K and the observation scale for CT unplugged activities (OSCTU) show significant improvements of students CT skills. I conclude by discussing the implications of these findings for the integration of CT in ECE. These insights contribute to bridging research and practice, offering a foundation for sustainable CT education initiatives for young learners.</t>
    </r>
  </si>
  <si>
    <r>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r>
    <r>
      <rPr>
        <sz val="11"/>
        <color rgb="FFFF0000"/>
        <rFont val="Calibri"/>
        <family val="2"/>
        <scheme val="minor"/>
      </rPr>
      <t>"CT for all" claim, this research attempts to determine whether foundational CT skills are of value to non-IT industry and for pupils elsewhere in their studies. The foundational CT skills will be trialled with pupils in the 5-8 yr age range and evaluated for their contribution to the pupils' ongoing education. Findings will be used to inform the curriculum and help to develop worthwhile computational thinking skills irrespective of the child's chosen career.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</si>
</sst>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color rgb="FFFF0000"/>
      <name val="Calibri"/>
      <family val="2"/>
      <scheme val="minor"/>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wsl.localhost\Ubuntu-22.04\home\tania\llm_project_env\Scoping_Review_CTProgra%20-%20Copy\stage_2_abstract_screening\output\abstracts_screened_llm_author_validation_previous.xlsx" TargetMode="External"/><Relationship Id="rId1" Type="http://schemas.openxmlformats.org/officeDocument/2006/relationships/externalLinkPath" Target="/home/tania/llm_project_env/Scoping_Review_CTProgra%20-%20Copy/stage_2_abstract_screening/output/abstracts_screened_llm_author_validation_previo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idation_Sample_With_LLM"/>
      <sheetName val="Manual_Coding_Template"/>
      <sheetName val="Sampling_Summary"/>
      <sheetName val="Manual_Review_Needed"/>
      <sheetName val="Decision_Disagreements"/>
      <sheetName val="Potential_Duplicates_During_Abs"/>
    </sheetNames>
    <sheetDataSet>
      <sheetData sheetId="0" refreshError="1"/>
      <sheetData sheetId="1">
        <row r="2">
          <cell r="A2" t="str">
            <v>Assessing Computational Thinking in Students' Game Designs</v>
          </cell>
          <cell r="B2" t="str">
            <v>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v>
          </cell>
          <cell r="C2" t="str">
            <v>Included</v>
          </cell>
          <cell r="D2" t="str">
            <v>Yes</v>
          </cell>
          <cell r="E2" t="str">
            <v>Partially</v>
          </cell>
          <cell r="F2" t="str">
            <v>Yes</v>
          </cell>
          <cell r="G2" t="str">
            <v>Included</v>
          </cell>
          <cell r="H2" t="str">
            <v>Include for full-text screening: the abstract explicitly focuses on computational thinking in Scratch game design and discusses methods for analyzing CT in student-created games, suggesting a possible operationalization between CT and programming.</v>
          </cell>
        </row>
        <row r="3">
          <cell r="A3" t="str">
            <v>Dataset on Programming Competencies Development Using Scratch and a Recommender System in a Non-WEIRD Primary School Context</v>
          </cell>
          <cell r="B3" t="str">
            <v>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v>
          </cell>
          <cell r="C3" t="str">
            <v>Included</v>
          </cell>
          <cell r="D3" t="str">
            <v>Yes</v>
          </cell>
          <cell r="E3" t="str">
            <v>Partially</v>
          </cell>
          <cell r="F3" t="str">
            <v>Yes</v>
          </cell>
          <cell r="G3" t="str">
            <v>Included</v>
          </cell>
          <cell r="H3" t="str">
            <v>Include for full-text screening: the abstract explicitly addresses computational thinking and Scratch-based programming in an educational intervention, suggesting a possible connection between CT development and programming activities.</v>
          </cell>
        </row>
        <row r="4">
          <cell r="A4" t="str">
            <v>Co-Designing to Develop Computational Thinking Skills in Nigeria K-12 Using Scratch</v>
          </cell>
          <cell r="B4" t="str">
            <v>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v>
          </cell>
          <cell r="C4" t="str">
            <v>Included</v>
          </cell>
          <cell r="D4" t="str">
            <v>Yes</v>
          </cell>
          <cell r="E4" t="str">
            <v>Partially</v>
          </cell>
          <cell r="F4" t="str">
            <v>Yes</v>
          </cell>
          <cell r="G4" t="str">
            <v>Included</v>
          </cell>
          <cell r="H4" t="str">
            <v>Include for full-text screening: the study explicitly focuses on computational thinking development through Scratch programming in a K–12 educational setting, suggesting a link between CT and programming practices.</v>
          </cell>
        </row>
        <row r="5">
          <cell r="A5" t="str">
            <v>An Architectural Design of ScratchThAI: A conversational agent for Computational Thinking Development using Scratch</v>
          </cell>
          <cell r="B5" t="str">
            <v>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v>
          </cell>
          <cell r="C5" t="str">
            <v>Included</v>
          </cell>
          <cell r="D5" t="str">
            <v>Yes</v>
          </cell>
          <cell r="E5" t="str">
            <v>No</v>
          </cell>
          <cell r="F5" t="str">
            <v>Yes</v>
          </cell>
          <cell r="G5" t="str">
            <v>Included</v>
          </cell>
          <cell r="H5" t="str">
            <v>Include for full-text screening: the abstract explicitly focuses on computational thinking development using Scratch and describes an assessment of CT concepts within a programming environment.</v>
          </cell>
        </row>
        <row r="6">
          <cell r="A6" t="str">
            <v>Cognitive abilities and computational thinking at age 5: Evidence for associations to sequencing and symbolic number comparison</v>
          </cell>
          <cell r="B6" t="str">
            <v>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v>
          </cell>
          <cell r="C6" t="str">
            <v>Included</v>
          </cell>
          <cell r="D6" t="str">
            <v>Yes</v>
          </cell>
          <cell r="E6" t="str">
            <v>Partially</v>
          </cell>
          <cell r="F6" t="str">
            <v>Yes</v>
          </cell>
          <cell r="G6" t="str">
            <v>Included</v>
          </cell>
          <cell r="H6" t="str">
            <v>Include for full-text screening: the study explicitly examines computational thinking assessment and relates CT performance to programming activities, suggesting a possible connectiInclude for full-text screening: the study explicitly examines computational thinking assessment and relates CT performance to programming activities, suggesting a possible connection between CT and programming competencies.on between CT and programming competencies.</v>
          </cell>
        </row>
        <row r="7">
          <cell r="A7" t="str">
            <v>Is My Game OK Dr. Scratch? Exploring Programming and Computational Thinking Development via Metrics in Student-Designed Serious Games for STEM</v>
          </cell>
          <cell r="B7" t="str">
            <v>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v>
          </cell>
          <cell r="C7" t="str">
            <v>Included</v>
          </cell>
          <cell r="D7" t="str">
            <v>Yes</v>
          </cell>
          <cell r="E7" t="str">
            <v>Partially</v>
          </cell>
          <cell r="F7" t="str">
            <v>Yes</v>
          </cell>
          <cell r="G7" t="str">
            <v>Included</v>
          </cell>
          <cell r="H7" t="str">
            <v>Include for full-text screening: the abstract explicitly addresses computational thinking in a programming-related context and suggests a possible connection between CT and programming.</v>
          </cell>
        </row>
        <row r="8">
          <cell r="A8" t="str">
            <v>Elementary Computational Thinking Instruction and Assessment: A Learning Trajectory Perspective</v>
          </cell>
          <cell r="B8" t="str">
            <v>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v>
          </cell>
          <cell r="C8" t="str">
            <v>Included</v>
          </cell>
          <cell r="D8" t="str">
            <v>Yes</v>
          </cell>
          <cell r="E8" t="str">
            <v>Partially</v>
          </cell>
          <cell r="F8" t="str">
            <v>Partially</v>
          </cell>
          <cell r="G8" t="str">
            <v>Included</v>
          </cell>
          <cell r="H8" t="str">
            <v>Include for full-text screening: the abstract explicitly focuses on computational thinking instruction and assessment and discusses CT concepts applied in problem-solving activities, suggesting a possible operationalization of CT in learning tasks.</v>
          </cell>
        </row>
        <row r="9">
          <cell r="A9" t="str">
            <v>Exploring the development of mental rotation and computational skills in elementary students through educational robotics</v>
          </cell>
          <cell r="B9" t="str">
            <v>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v>
          </cell>
          <cell r="C9" t="str">
            <v>Included</v>
          </cell>
          <cell r="D9" t="str">
            <v>Yes</v>
          </cell>
          <cell r="E9" t="str">
            <v>No</v>
          </cell>
          <cell r="F9" t="str">
            <v>Yes</v>
          </cell>
          <cell r="G9" t="str">
            <v>Included</v>
          </cell>
          <cell r="H9" t="str">
            <v>Include for full-text screening: the abstract focuses on computational thinking and includes a programming-related context, but the connection between CT and programming is not fully clear from the abstract and should be checked in the full text.</v>
          </cell>
        </row>
        <row r="10">
          <cell r="A10" t="str">
            <v>Integrating computational thinking into english dialogue learning through graphical programming tool</v>
          </cell>
          <cell r="B10" t="str">
            <v>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v>
          </cell>
          <cell r="C10" t="str">
            <v>Included</v>
          </cell>
          <cell r="D10" t="str">
            <v>Yes</v>
          </cell>
          <cell r="E10" t="str">
            <v>Partially</v>
          </cell>
          <cell r="F10" t="str">
            <v>Yes</v>
          </cell>
          <cell r="G10" t="str">
            <v>Included</v>
          </cell>
          <cell r="H10" t="str">
            <v>Include for full-text screening: the study explicitly focuses on computational thinking through Scratch programming and refers to a CT framework used to support educational activities, suggesting a connection between CT and programming.</v>
          </cell>
        </row>
        <row r="11">
          <cell r="A11" t="str">
            <v>Leveraging robot programming to foster computational thinking</v>
          </cell>
          <cell r="B11" t="str">
            <v>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v>
          </cell>
          <cell r="C11" t="str">
            <v>Included</v>
          </cell>
          <cell r="D11" t="str">
            <v>Yes</v>
          </cell>
          <cell r="E11" t="str">
            <v>Yes</v>
          </cell>
          <cell r="F11" t="str">
            <v>Yes</v>
          </cell>
          <cell r="G11" t="str">
            <v>Included</v>
          </cell>
          <cell r="H11" t="str">
            <v>Include for full-text screening: the abstract explicitly focuses on computational thinking within robotics/programming activities, programming/coding activities and provides a clear link or operationalization between CT and programming that could inform the study.</v>
          </cell>
        </row>
        <row r="12">
          <cell r="A12" t="str">
            <v>Teachers in the Loop: Integrating Computational Thinking and Mathematics to Build Early Place Value Understanding</v>
          </cell>
          <cell r="B12" t="str">
            <v>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v>
          </cell>
          <cell r="C12" t="str">
            <v>Included</v>
          </cell>
          <cell r="D12" t="str">
            <v>Yes</v>
          </cell>
          <cell r="E12" t="str">
            <v>Partially</v>
          </cell>
          <cell r="F12" t="str">
            <v>Yes</v>
          </cell>
          <cell r="G12" t="str">
            <v>Included</v>
          </cell>
          <cell r="H12" t="str">
            <v>Include for full-text screening: the abstract explicitly addresses computational thinking in block-based programming activities integrated with mathematics, suggesting a connection between CT concepts and programming practices.</v>
          </cell>
        </row>
        <row r="13">
          <cell r="A13" t="str">
            <v>Using SOLO to Classify the Programming Responses of Primary Grade Students</v>
          </cell>
          <cell r="B13" t="str">
            <v>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v>
          </cell>
          <cell r="C13" t="str">
            <v>Included</v>
          </cell>
          <cell r="D13" t="str">
            <v>Yes</v>
          </cell>
          <cell r="E13" t="str">
            <v>Partially</v>
          </cell>
          <cell r="F13" t="str">
            <v>Yes</v>
          </cell>
          <cell r="G13" t="str">
            <v>Included</v>
          </cell>
          <cell r="H13" t="str">
            <v>Include for full-text screening: the study assesses computational thinking through Scratch programming challenges, suggesting a possible operationalization between CT and programming performance.</v>
          </cell>
        </row>
        <row r="14">
          <cell r="A14" t="str">
            <v>Activity Diagrams as Cognitive Bridges: Revolutionizing Programming Education with AI</v>
          </cell>
          <cell r="B14" t="str">
            <v>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v>
          </cell>
          <cell r="C14" t="str">
            <v>Included</v>
          </cell>
          <cell r="G14" t="str">
            <v>Included</v>
          </cell>
          <cell r="H14" t="str">
            <v>Include for full-text screening: the abstract explicitly addresses computational thinking in a programming-related context.</v>
          </cell>
        </row>
        <row r="15">
          <cell r="A15" t="str">
            <v>A Humanoid Robot-Assisted Collaborative Programming Approach to Improving Middle School Students’ Computational Thinking, Learning Motivation and Interaction</v>
          </cell>
          <cell r="B15" t="str">
            <v>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v>
          </cell>
          <cell r="C15" t="str">
            <v>Included</v>
          </cell>
          <cell r="D15" t="str">
            <v>Yes</v>
          </cell>
          <cell r="E15" t="str">
            <v>Partially</v>
          </cell>
          <cell r="F15" t="str">
            <v>Yes</v>
          </cell>
          <cell r="G15" t="str">
            <v>Included</v>
          </cell>
          <cell r="H15" t="str">
            <v>Include for full-text screening: the abstract explicitly addresses computational thinking in a programming-related context and suggests a possible connection between CT and programming.</v>
          </cell>
        </row>
        <row r="16">
          <cell r="A16" t="str">
            <v>Mobeybou for Computational Thinking: Fostering Expression Through Embodied Computing Interactions</v>
          </cell>
          <cell r="B16" t="str">
            <v>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v>
          </cell>
          <cell r="C16" t="str">
            <v>Included</v>
          </cell>
          <cell r="D16" t="str">
            <v>Yes</v>
          </cell>
          <cell r="E16" t="str">
            <v>Partially</v>
          </cell>
          <cell r="F16" t="str">
            <v>Yes</v>
          </cell>
          <cell r="G16" t="str">
            <v>Included</v>
          </cell>
          <cell r="H16" t="str">
            <v>Include for full-text screening: the abstract explicitly addresses computational thinking in a programming-related context and suggests a possible connection between CT and programming.</v>
          </cell>
        </row>
        <row r="17">
          <cell r="A17" t="str">
            <v>Computational Thinking: A Tale of Debugging</v>
          </cell>
          <cell r="B17" t="str">
            <v>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v>
          </cell>
          <cell r="C17" t="str">
            <v>Included</v>
          </cell>
          <cell r="D17" t="str">
            <v>Yes</v>
          </cell>
          <cell r="E17" t="str">
            <v>Partially</v>
          </cell>
          <cell r="F17" t="str">
            <v>Yes</v>
          </cell>
          <cell r="G17" t="str">
            <v>Included</v>
          </cell>
          <cell r="H17" t="str">
            <v>Include for full-text screening: the study explicitly focuses on computational thinking and debugging activities using programmable robotics, suggesting a connection between CT and programming-related practices.</v>
          </cell>
        </row>
        <row r="18">
          <cell r="A18" t="str">
            <v>Progression Of Computational Thinking Skills In Swedish Compulsory Schools With Block-based Programming</v>
          </cell>
          <cell r="B18" t="str">
            <v>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v>
          </cell>
          <cell r="C18" t="str">
            <v>Included</v>
          </cell>
          <cell r="D18" t="str">
            <v>Yes</v>
          </cell>
          <cell r="E18" t="str">
            <v>Yes</v>
          </cell>
          <cell r="F18" t="str">
            <v>Yes</v>
          </cell>
          <cell r="G18" t="str">
            <v>Included</v>
          </cell>
          <cell r="H18" t="str">
            <v>Include for full-text screening: the abstract explicitly addresses computational thinking in a programming-related context and suggests a possible connection between CT and programming.</v>
          </cell>
        </row>
        <row r="19">
          <cell r="A19" t="str">
            <v>Supporting Elementary Teachers’ Technological, Pedagogical, and Content Knowledge in Computational Thinking Integration</v>
          </cell>
          <cell r="B19" t="str">
            <v>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v>
          </cell>
          <cell r="C19" t="str">
            <v>Included</v>
          </cell>
          <cell r="D19" t="str">
            <v>Yes</v>
          </cell>
          <cell r="E19" t="str">
            <v>Partially</v>
          </cell>
          <cell r="F19" t="str">
            <v>Yes</v>
          </cell>
          <cell r="G19" t="str">
            <v>Included</v>
          </cell>
          <cell r="H19" t="str">
            <v>Include for full-text screening: the abstract explicitly focuses on computational thinking integration and describes the use of coding tools in instructional design, suggesting a connection between CT and programming.</v>
          </cell>
        </row>
        <row r="20">
          <cell r="A20" t="str">
            <v>Single or Combined? A Study on Programming to Promote Junior High School Students’ Computational Thinking Skills</v>
          </cell>
          <cell r="B20" t="str">
            <v>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v>
          </cell>
          <cell r="C20" t="str">
            <v>Included</v>
          </cell>
          <cell r="D20" t="str">
            <v>Yes</v>
          </cell>
          <cell r="E20" t="str">
            <v>Partially</v>
          </cell>
          <cell r="F20" t="str">
            <v>Yes</v>
          </cell>
          <cell r="G20" t="str">
            <v>Included</v>
          </cell>
          <cell r="H20" t="str">
            <v>Include for full-text screening: the study explicitly examines computational thinking development through different programming approaches, suggesting a direct connection between CT and programming.</v>
          </cell>
        </row>
        <row r="21">
          <cell r="A21" t="str">
            <v>Software clones in scratch projects: on the presence of copy-and-paste in computational thinking learning</v>
          </cell>
          <cell r="B21" t="str">
            <v>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v>
          </cell>
          <cell r="C21" t="str">
            <v>Included</v>
          </cell>
          <cell r="D21" t="str">
            <v>Yes</v>
          </cell>
          <cell r="E21" t="str">
            <v>Partially</v>
          </cell>
          <cell r="F21" t="str">
            <v>Yes</v>
          </cell>
          <cell r="G21" t="str">
            <v>Included</v>
          </cell>
          <cell r="H21" t="str">
            <v>Include for full-text screening: the abstract explicitly focuses on computational thinking learning in Scratch projects and examines programming practices in relation to CT skills.</v>
          </cell>
        </row>
        <row r="22">
          <cell r="A22" t="str">
            <v>Effect of Project-Based Arduino Robot Application on Trainee Teachers Computational Thinking in Robotics Programming Course</v>
          </cell>
          <cell r="B22" t="str">
            <v>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v>
          </cell>
          <cell r="C22" t="str">
            <v>Included</v>
          </cell>
          <cell r="D22" t="str">
            <v>Yes</v>
          </cell>
          <cell r="E22" t="str">
            <v>Yes</v>
          </cell>
          <cell r="F22" t="str">
            <v>Yes</v>
          </cell>
          <cell r="G22" t="str">
            <v>Included</v>
          </cell>
          <cell r="H22" t="str">
            <v>Include for full-text screening: the abstract explicitly addresses computational thinking in a programming-related context and suggests a possible connection between CT and programming.</v>
          </cell>
        </row>
        <row r="23">
          <cell r="A23" t="str">
            <v>Towards Data-Driven Learning Paths to Develop Computational Thinking with Scratch</v>
          </cell>
          <cell r="B23" t="str">
            <v>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v>
          </cell>
          <cell r="C23" t="str">
            <v>Included</v>
          </cell>
          <cell r="D23" t="str">
            <v>Yes</v>
          </cell>
          <cell r="E23" t="str">
            <v>No</v>
          </cell>
          <cell r="F23" t="str">
            <v>Yes</v>
          </cell>
          <cell r="G23" t="str">
            <v>Excluded</v>
          </cell>
          <cell r="H23" t="str">
            <v>Excluded: although the study explicitly addresses computational thinking and Scratch programming, the abstract does not provide sufficient evidence of a clear operationalization or connection between CT and programming beyond assessment scores.</v>
          </cell>
        </row>
        <row r="24">
          <cell r="A24" t="str">
            <v>Impact of DMCT-CDIO Dual Mainline Computational Thinking Integrated Engineering Education on Students' Computational Thinking, Motivation and Engagement</v>
          </cell>
          <cell r="B24" t="str">
            <v>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v>
          </cell>
          <cell r="C24" t="str">
            <v>Included</v>
          </cell>
          <cell r="D24" t="str">
            <v>Yes</v>
          </cell>
          <cell r="E24" t="str">
            <v>No</v>
          </cell>
          <cell r="F24" t="str">
            <v>Partially</v>
          </cell>
          <cell r="G24" t="str">
            <v>Excluded</v>
          </cell>
          <cell r="H24" t="str">
            <v>Excluded: the abstract does not provide sufficient evidence of a clear connection between computational thinking and programming based on the screening criteria.</v>
          </cell>
        </row>
        <row r="25">
          <cell r="A25" t="str">
            <v>Generating a Template for an Educational Software Development Methodology for Novice Computing Undergraduates: An Integrative Review</v>
          </cell>
          <cell r="B25" t="str">
            <v>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v>
          </cell>
          <cell r="C25" t="str">
            <v>Included</v>
          </cell>
          <cell r="D25" t="str">
            <v>Partially</v>
          </cell>
          <cell r="E25" t="str">
            <v>Partially</v>
          </cell>
          <cell r="F25" t="str">
            <v>Yes</v>
          </cell>
          <cell r="G25" t="str">
            <v>Excluded</v>
          </cell>
          <cell r="H25" t="str">
            <v>Excluded: although computational thinking is discussed, the abstract mainly focuses on software development education and problem-solving methodology rather than a programming context directly connected to CT development.</v>
          </cell>
        </row>
        <row r="26">
          <cell r="A26" t="str">
            <v>Applying a Blended Board Game System with Robotic Arm for Training Computational Thinking: Learning through Human-Machine Competition</v>
          </cell>
          <cell r="B26" t="str">
            <v>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v>
          </cell>
          <cell r="C26" t="str">
            <v>Included</v>
          </cell>
          <cell r="D26" t="str">
            <v>Yes</v>
          </cell>
          <cell r="E26" t="str">
            <v>Partially</v>
          </cell>
          <cell r="F26" t="str">
            <v>Yes</v>
          </cell>
          <cell r="G26" t="str">
            <v>Included</v>
          </cell>
          <cell r="H26" t="str">
            <v>Include for full-text screening: the abstract explicitly addresses computational thinking in a programming-related context and suggests a possible connection between CT and programming.</v>
          </cell>
        </row>
        <row r="27">
          <cell r="A27" t="str">
            <v>Problem solved, but how? An exploratory study into students’ problem solving processes in creative coding tasks</v>
          </cell>
          <cell r="B27" t="str">
            <v>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v>
          </cell>
          <cell r="C27" t="str">
            <v>Included</v>
          </cell>
          <cell r="D27" t="str">
            <v>Yes</v>
          </cell>
          <cell r="E27" t="str">
            <v>Partially</v>
          </cell>
          <cell r="F27" t="str">
            <v>Yes</v>
          </cell>
          <cell r="G27" t="str">
            <v>Included</v>
          </cell>
          <cell r="H27" t="str">
            <v>Include for full-text screening: the study explicitly examines computational thinking and computer science concepts in coding activities, suggesting a connection between CT and programming practices.</v>
          </cell>
        </row>
        <row r="28">
          <cell r="A28" t="str">
            <v>A Computational Thinking Assessment Tool on Text- Based Programming</v>
          </cell>
          <cell r="B28" t="str">
            <v>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v>
          </cell>
          <cell r="C28" t="str">
            <v>Included</v>
          </cell>
          <cell r="D28" t="str">
            <v>Yes</v>
          </cell>
          <cell r="E28" t="str">
            <v>Yes</v>
          </cell>
          <cell r="F28" t="str">
            <v>Yes</v>
          </cell>
          <cell r="G28" t="str">
            <v>Included</v>
          </cell>
          <cell r="H28" t="str">
            <v>Include for full-text screening: the abstract explicitly addresses computational thinking in a programming-related context and suggests a possible connection between CT and programming.</v>
          </cell>
        </row>
        <row r="29">
          <cell r="A29" t="str">
            <v>Semantic Waves: A Strategy for Algorithmic Skills in K-12 Computer Science Education</v>
          </cell>
          <cell r="B29" t="str">
            <v>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v>
          </cell>
          <cell r="C29" t="str">
            <v>Included</v>
          </cell>
          <cell r="D29" t="str">
            <v>Partially</v>
          </cell>
          <cell r="E29" t="str">
            <v>No</v>
          </cell>
          <cell r="F29" t="str">
            <v>Partially</v>
          </cell>
          <cell r="G29" t="str">
            <v>Excluded</v>
          </cell>
          <cell r="H29" t="str">
            <v>Excluded: The abstract does not focus on Computational Thinking (CT); instead, it focuses on algorithmic thinking.</v>
          </cell>
        </row>
        <row r="30">
          <cell r="A30" t="str">
            <v>Create Coding Challenges and Activities that Foster the Development of Computational Thinking</v>
          </cell>
          <cell r="B30" t="str">
            <v>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v>
          </cell>
          <cell r="C30" t="str">
            <v>Included</v>
          </cell>
          <cell r="D30" t="str">
            <v>Yes</v>
          </cell>
          <cell r="E30" t="str">
            <v>Partially</v>
          </cell>
          <cell r="F30" t="str">
            <v>Yes</v>
          </cell>
          <cell r="G30" t="str">
            <v>Included</v>
          </cell>
          <cell r="H30" t="str">
            <v>Include for full-text screening: the abstract explicitly addresses computational thinking in a programming-related context and suggests a possible connection between CT and programming.</v>
          </cell>
        </row>
        <row r="31">
          <cell r="A31" t="str">
            <v>Crescendo: Engaging Students to Self-Paced Programming Practices</v>
          </cell>
          <cell r="B31" t="str">
            <v>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v>
          </cell>
          <cell r="C31" t="str">
            <v>Included</v>
          </cell>
          <cell r="D31" t="str">
            <v>No</v>
          </cell>
          <cell r="E31" t="str">
            <v>No</v>
          </cell>
          <cell r="F31" t="str">
            <v>Yes</v>
          </cell>
          <cell r="G31" t="str">
            <v>Excluded</v>
          </cell>
          <cell r="H31" t="str">
            <v>Excluded: although the study is situated in a programming environment and uses block-based programming tools, computational thinking is not presented as a central focus nor is a clear connection between CT and programming described.</v>
          </cell>
        </row>
        <row r="32">
          <cell r="A32" t="str">
            <v>Development and Validation of the Engineering Computational Thinking Diagnostic for Undergraduate Students</v>
          </cell>
          <cell r="B32" t="str">
            <v>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v>
          </cell>
          <cell r="C32" t="str">
            <v>Included</v>
          </cell>
          <cell r="D32" t="str">
            <v>Yes</v>
          </cell>
          <cell r="G32" t="str">
            <v>Included</v>
          </cell>
          <cell r="H32" t="str">
            <v>Include for full-text screening: the abstract explicitly addresses computational thinking in a programming-related context, and suggests a deeper mapping in the full-text.</v>
          </cell>
        </row>
        <row r="33">
          <cell r="A33" t="str">
            <v>Development and Validation of Computational Thinking Assessment of Chinese Elementary School Students</v>
          </cell>
          <cell r="B33" t="str">
            <v>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v>
          </cell>
          <cell r="C33" t="str">
            <v>Included</v>
          </cell>
          <cell r="D33" t="str">
            <v>Yes</v>
          </cell>
          <cell r="E33" t="str">
            <v>Yes</v>
          </cell>
          <cell r="F33" t="str">
            <v>Yes</v>
          </cell>
          <cell r="G33" t="str">
            <v>Included</v>
          </cell>
          <cell r="H33" t="str">
            <v>Included for full-text screening: the study explicitly focuses on computational thinking assessment and validates CT dimensions through relationships with programming tasks, suggesting a meaningful operationalization between CT and programming.</v>
          </cell>
        </row>
        <row r="34">
          <cell r="A34" t="str">
            <v>Scaffolding self-regulation in project-based programming learning through online collaborative diaries to promote computational thinking</v>
          </cell>
          <cell r="B34" t="str">
            <v>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v>
          </cell>
          <cell r="C34" t="str">
            <v>Included</v>
          </cell>
          <cell r="D34" t="str">
            <v>Yes</v>
          </cell>
          <cell r="E34" t="str">
            <v>Partially</v>
          </cell>
          <cell r="F34" t="str">
            <v>Yes</v>
          </cell>
          <cell r="G34" t="str">
            <v>Included</v>
          </cell>
          <cell r="H34" t="str">
            <v>Included for full-text screening: the study explicitly examines computational thinking development in a programming course and evaluates pedagogical strategies designed to support CT-related skills within programming activities.</v>
          </cell>
        </row>
        <row r="35">
          <cell r="A35" t="str">
            <v>The role of feedback and guidance as intervention methods to foster computational thinking in educational robotics learning activities for primary school</v>
          </cell>
          <cell r="B35" t="str">
            <v>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v>
          </cell>
          <cell r="C35" t="str">
            <v>Included</v>
          </cell>
          <cell r="D35" t="str">
            <v>Yes</v>
          </cell>
          <cell r="E35" t="str">
            <v>Partially</v>
          </cell>
          <cell r="F35" t="str">
            <v>Yes</v>
          </cell>
          <cell r="G35" t="str">
            <v>Included</v>
          </cell>
          <cell r="H35" t="str">
            <v>Included for full-text screening: the study explicitly focuses on computational thinking development in robot programming activities and examines how programming-related interventions support CT competences.</v>
          </cell>
        </row>
        <row r="36">
          <cell r="A36" t="str">
            <v>Learning to code and the acquisition of computational thinking by young children</v>
          </cell>
          <cell r="B36" t="str">
            <v>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v>
          </cell>
          <cell r="C36" t="str">
            <v>Included</v>
          </cell>
          <cell r="D36" t="str">
            <v>Yes</v>
          </cell>
          <cell r="E36" t="str">
            <v>Yes</v>
          </cell>
          <cell r="F36" t="str">
            <v>Yes</v>
          </cell>
          <cell r="G36" t="str">
            <v>Included</v>
          </cell>
          <cell r="H36" t="str">
            <v>Included for full-text screening: the study explicitly investigates computational thinking development through a coding curriculum using programmable robots, suggesting a clear connection between CT and programming activities.</v>
          </cell>
        </row>
        <row r="37">
          <cell r="A37" t="str">
            <v>The applications of machine learning in computational thinking assessments: a scoping review</v>
          </cell>
          <cell r="B37" t="str">
            <v>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v>
          </cell>
          <cell r="C37" t="str">
            <v>Included</v>
          </cell>
          <cell r="D37" t="str">
            <v>Yes</v>
          </cell>
          <cell r="E37" t="str">
            <v>No</v>
          </cell>
          <cell r="F37" t="str">
            <v>Yes</v>
          </cell>
          <cell r="G37" t="str">
            <v>Included</v>
          </cell>
          <cell r="H37" t="str">
            <v>Included for full-text screening: the review explicitly focuses on computational thinking assessment and discusses programming and computer science learning contexts, suggesting a possible operationalization between CT and programming in assessment practices.</v>
          </cell>
        </row>
        <row r="38">
          <cell r="A38" t="str">
            <v>Active Learning of Programming as a Complex Subject Applying Problem-Based Learning for Computational Thinking Development Model (CTPBL) in High School</v>
          </cell>
          <cell r="B38" t="str">
            <v>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v>
          </cell>
          <cell r="C38" t="str">
            <v>Included</v>
          </cell>
          <cell r="D38" t="str">
            <v>Partially</v>
          </cell>
          <cell r="E38" t="str">
            <v>No</v>
          </cell>
          <cell r="F38" t="str">
            <v>Yes</v>
          </cell>
          <cell r="G38" t="str">
            <v>Excluded</v>
          </cell>
          <cell r="H38" t="str">
            <v>Excluded: although the study discusses computational thinking development in a programming course, the abstract primarily focuses on course implementation and evaluation and does not provide sufficient evidence of a clear operationalization or mapping between CT and programming.</v>
          </cell>
        </row>
        <row r="39">
          <cell r="A39" t="str">
            <v>Towards Data-Driving Multi-View Evaluation Framework for Scratch</v>
          </cell>
          <cell r="B39" t="str">
            <v>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v>
          </cell>
          <cell r="C39" t="str">
            <v>Included</v>
          </cell>
          <cell r="D39" t="str">
            <v>Yes</v>
          </cell>
          <cell r="E39" t="str">
            <v>Partially</v>
          </cell>
          <cell r="F39" t="str">
            <v>Yes</v>
          </cell>
          <cell r="G39" t="str">
            <v>Included</v>
          </cell>
          <cell r="H39" t="str">
            <v>Include for full-text screening: the abstract explicitly addresses computational thinking assessment in Scratch projects, suggesting a connection between CT dimensions and programming evaluation.</v>
          </cell>
        </row>
        <row r="40">
          <cell r="A40" t="str">
            <v>Comparative study of codecombat-based python programming and scratch programming effects on sixth graders' Computational thinking: interaction effects of gender and programming experience</v>
          </cell>
          <cell r="B40" t="str">
            <v>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v>
          </cell>
          <cell r="C40" t="str">
            <v>Included</v>
          </cell>
          <cell r="D40" t="str">
            <v>Yes</v>
          </cell>
          <cell r="E40" t="str">
            <v>Partially</v>
          </cell>
          <cell r="F40" t="str">
            <v>Yes</v>
          </cell>
          <cell r="G40" t="str">
            <v>Included</v>
          </cell>
          <cell r="H40" t="str">
            <v>Included for full-text screening: the study explicitly compares programming approaches to examine their effects on computational thinking development, suggesting a direct connection between CT and programming activities relevant to the study.</v>
          </cell>
        </row>
        <row r="41">
          <cell r="A41" t="str">
            <v>Fostering Students' Computational Thinking Through Experiential Learning in Artificial Intelligence Course</v>
          </cell>
          <cell r="B41" t="str">
            <v>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v>
          </cell>
          <cell r="C41" t="str">
            <v>Included</v>
          </cell>
          <cell r="D41" t="str">
            <v>Yes</v>
          </cell>
          <cell r="E41" t="str">
            <v>Yes</v>
          </cell>
          <cell r="F41" t="str">
            <v>Yes</v>
          </cell>
          <cell r="G41" t="str">
            <v>Included</v>
          </cell>
          <cell r="H41" t="str">
            <v>Included for full-text screening: the study explicitly examines computational thinking development in an artificial intelligence course and evaluates CT elements such as decomposition, abstraction, algorithmic thinking, and debugging within learning activities, suggesting a possible operationalization relevant to the study.</v>
          </cell>
        </row>
        <row r="42">
          <cell r="A42" t="str">
            <v>A Method for Developing Process-Based Assessments for Computational Thinking Tasks</v>
          </cell>
          <cell r="B42" t="str">
            <v>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v>
          </cell>
          <cell r="C42" t="str">
            <v>Included</v>
          </cell>
          <cell r="D42" t="str">
            <v>Yes</v>
          </cell>
          <cell r="E42" t="str">
            <v>Partially</v>
          </cell>
          <cell r="F42" t="str">
            <v>Yes</v>
          </cell>
          <cell r="G42" t="str">
            <v>Included</v>
          </cell>
          <cell r="H42" t="str">
            <v>Included for full-text screening: the study explicitly proposes a process-based computational thinking assessment that directly connects programming artifacts to aspects of CT, suggesting a clear operationalization between CT and programming relevant to the study.</v>
          </cell>
        </row>
        <row r="43">
          <cell r="A43" t="str">
            <v>Computational thinking development through programmable robotics activities in STEM education in primary schools</v>
          </cell>
          <cell r="B43" t="str">
            <v>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v>
          </cell>
          <cell r="C43" t="str">
            <v>Included</v>
          </cell>
          <cell r="D43" t="str">
            <v>Yes</v>
          </cell>
          <cell r="E43" t="str">
            <v>Partially</v>
          </cell>
          <cell r="F43" t="str">
            <v>Yes</v>
          </cell>
          <cell r="G43" t="str">
            <v>Included</v>
          </cell>
          <cell r="H43" t="str">
            <v>Included for full-text screening: the study explicitly discusses computational thinking development through programmable robotics activities and links programming-related tasks (e.g., sequencing, conditional reasoning, systems thinking) to CT learning progression, suggesting a possible mapping relevant to the study.</v>
          </cell>
        </row>
        <row r="44">
          <cell r="A44" t="str">
            <v>Developing a robot-based computational thinking assessment for young children</v>
          </cell>
          <cell r="B44" t="str">
            <v>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v>
          </cell>
          <cell r="C44" t="str">
            <v>Included</v>
          </cell>
          <cell r="D44" t="str">
            <v>Yes</v>
          </cell>
          <cell r="E44" t="str">
            <v>Yes</v>
          </cell>
          <cell r="F44" t="str">
            <v>Yes</v>
          </cell>
          <cell r="G44" t="str">
            <v>Included</v>
          </cell>
          <cell r="H44" t="str">
            <v>Included for full-text screening: the study develops a computational thinking assessment in coding robotic interactions and evaluates CT dimensions within a programming-related context, suggesting a possible operationalization between CT and programming relevant to the study.</v>
          </cell>
        </row>
        <row r="45">
          <cell r="A45" t="str">
            <v>An Experience of Conducting Online Teacher Development for Computational Thinking Teaching in a Primary School Context</v>
          </cell>
          <cell r="B45" t="str">
            <v>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v>
          </cell>
          <cell r="C45" t="str">
            <v>Excluded</v>
          </cell>
          <cell r="D45" t="str">
            <v>Yes</v>
          </cell>
          <cell r="E45" t="str">
            <v>No</v>
          </cell>
          <cell r="F45" t="str">
            <v>Yes</v>
          </cell>
          <cell r="G45" t="str">
            <v>Excluded</v>
          </cell>
          <cell r="H45" t="str">
            <v>Excluded: although the study discusses computational thinking teaching and programming tasks, the focus is on teacher professional development and pedagogical knowledge rather than a clear operationalization or mapping between CT and programming.</v>
          </cell>
        </row>
        <row r="46">
          <cell r="A46" t="str">
            <v>A Volumetric Measurement Algorithm of Defects in 3D CT Image Based on Spatial Intuitionistic Fuzzy C-means</v>
          </cell>
          <cell r="B46" t="str">
            <v>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v>
          </cell>
          <cell r="C46" t="str">
            <v>Excluded</v>
          </cell>
          <cell r="D46" t="str">
            <v>No</v>
          </cell>
          <cell r="E46" t="str">
            <v>No</v>
          </cell>
          <cell r="F46" t="str">
            <v>No</v>
          </cell>
          <cell r="G46" t="str">
            <v>Excluded</v>
          </cell>
          <cell r="H46" t="str">
            <v>Excluded: the study is unrelated to computational thinking in education and does not address a programming context relevant to the review.</v>
          </cell>
        </row>
        <row r="47">
          <cell r="A47" t="str">
            <v>Preferences of IT Teachers Related to the Implementation of the Thematic Unit of Algorithmization and Programming into the Teaching</v>
          </cell>
          <cell r="B47" t="str">
            <v>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v>
          </cell>
          <cell r="C47" t="str">
            <v>Excluded</v>
          </cell>
          <cell r="D47" t="str">
            <v>Yes</v>
          </cell>
          <cell r="E47" t="str">
            <v>No</v>
          </cell>
          <cell r="F47" t="str">
            <v>Yes</v>
          </cell>
          <cell r="G47" t="str">
            <v>Excluded</v>
          </cell>
          <cell r="H47" t="str">
            <v>Excluded: although the study explicitly introduces algorithmization and programming as a way to develop computational thinking, the focus is on teachers’ preferences and opinions regarding curriculum implementation rather than a clear operationalization or mapping between CT and programming.</v>
          </cell>
        </row>
        <row r="48">
          <cell r="A48" t="str">
            <v>TechCheck: Creation of an unplugged computational thinking assessment for young children</v>
          </cell>
          <cell r="B48" t="str">
            <v>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v>
          </cell>
          <cell r="C48" t="str">
            <v>Excluded</v>
          </cell>
          <cell r="D48" t="str">
            <v>Yes</v>
          </cell>
          <cell r="E48" t="str">
            <v>No</v>
          </cell>
          <cell r="F48" t="str">
            <v>Yes</v>
          </cell>
          <cell r="G48" t="str">
            <v>Excluded</v>
          </cell>
          <cell r="H48" t="str">
            <v>Excluded: although the study includes CT domains such as algorithms, control structures, modularity, and debugging, these are treated as programming elements themselves, leaving no clear mapping or operationalization between CT and programming relevant to the study.</v>
          </cell>
        </row>
        <row r="49">
          <cell r="A49" t="str">
            <v>Assessment of Computational Thinking in regular basic education: case I.E.T.P. “José Obrero”</v>
          </cell>
          <cell r="B49" t="str">
            <v>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v>
          </cell>
          <cell r="C49" t="str">
            <v>Excluded</v>
          </cell>
          <cell r="D49" t="str">
            <v>Yes</v>
          </cell>
          <cell r="E49" t="str">
            <v>No</v>
          </cell>
          <cell r="F49" t="str">
            <v>Yes</v>
          </cell>
          <cell r="G49" t="str">
            <v>Excluded</v>
          </cell>
          <cell r="H49" t="str">
            <v>Excluded: although the study evaluates computational thinking in an Arduino programming context, is uses concepts, practices, and perspectives from the Brennan and Resnick framework, which we defined tshaat is not part opproachf ouar apporach. The focus is on CT assessment in an educational intervention rather than a clear operationalization or mapping between CT and programming relevant to the study.</v>
          </cell>
        </row>
        <row r="50">
          <cell r="A50" t="str">
            <v>Teacher Re-novicing on the Path to Integrating Computational Thinking in High School Physics Instruction</v>
          </cell>
          <cell r="B50" t="str">
            <v>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v>
          </cell>
          <cell r="C50" t="str">
            <v>Excluded</v>
          </cell>
          <cell r="D50" t="str">
            <v>Yes</v>
          </cell>
          <cell r="E50" t="str">
            <v>No</v>
          </cell>
          <cell r="F50" t="str">
            <v>Yes</v>
          </cell>
          <cell r="G50" t="str">
            <v>Excluded</v>
          </cell>
          <cell r="H50" t="str">
            <v>Excluded: although the study integrates computational thinking and Python programming in physics instruction, the focus is on teacher professional learning and pedagogical development rather than a clear operationalization or mapping between CT and programming.</v>
          </cell>
        </row>
        <row r="51">
          <cell r="A51" t="str">
            <v>Research on Micro-lecture Designing Based on The Development of Computational Thinking</v>
          </cell>
          <cell r="B51" t="str">
            <v>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v>
          </cell>
          <cell r="C51" t="str">
            <v>Excluded</v>
          </cell>
          <cell r="D51" t="str">
            <v>Yes</v>
          </cell>
          <cell r="E51" t="str">
            <v>No</v>
          </cell>
          <cell r="F51" t="str">
            <v>Partially</v>
          </cell>
          <cell r="G51" t="str">
            <v>Excluded</v>
          </cell>
          <cell r="H51" t="str">
            <v>Excluded: although the study discusses computational thinking elements and their use in educational materials, the focus is on micro-lecture design rather than a programming context with a clear operationalization or mapping between CT and programming.</v>
          </cell>
        </row>
        <row r="52">
          <cell r="A52" t="str">
            <v>Building Teacher Capacity to Integrate Computational Thinking into Primary School Instruction: Strategies for Designing High-Quality and Scalable Interventions</v>
          </cell>
          <cell r="B52" t="str">
            <v>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v>
          </cell>
          <cell r="C52" t="str">
            <v>Excluded</v>
          </cell>
          <cell r="D52" t="str">
            <v>Partially</v>
          </cell>
          <cell r="E52" t="str">
            <v>No</v>
          </cell>
          <cell r="F52" t="str">
            <v>Partially</v>
          </cell>
          <cell r="G52" t="str">
            <v>Excluded</v>
          </cell>
          <cell r="H52" t="str">
            <v>Excluded: although the study discusses computational thinking integration in primary education, the focus is on teacher professional development and scalability of interventions rather than a programming context with a clear operationalization or mapping between CT and programming.</v>
          </cell>
        </row>
        <row r="53">
          <cell r="A53" t="str">
            <v>Unveiling children’s computational thinking developmental trajectories: profiles and contextual influences in programming education</v>
          </cell>
          <cell r="B53" t="str">
            <v>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v>
          </cell>
          <cell r="C53" t="str">
            <v>Excluded</v>
          </cell>
          <cell r="D53" t="str">
            <v>Yes</v>
          </cell>
          <cell r="E53" t="str">
            <v>No</v>
          </cell>
          <cell r="F53" t="str">
            <v>Yes</v>
          </cell>
          <cell r="G53" t="str">
            <v>Excluded</v>
          </cell>
          <cell r="H53" t="str">
            <v>Excluded: although the study is situated in a programming education context and examines computational thinking development, the focus is on developmental profiles and contextual influences rather than a clear operationalization or mapping between CT and programming.</v>
          </cell>
        </row>
        <row r="54">
          <cell r="A54" t="str">
            <v>Exploring Teachers’ PCK for Computational Thinking in Context</v>
          </cell>
          <cell r="B54" t="str">
            <v>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v>
          </cell>
          <cell r="C54" t="str">
            <v>Excluded</v>
          </cell>
          <cell r="D54" t="str">
            <v>Yes</v>
          </cell>
          <cell r="E54" t="str">
            <v>No</v>
          </cell>
          <cell r="F54" t="str">
            <v>No</v>
          </cell>
          <cell r="G54" t="str">
            <v>Excluded</v>
          </cell>
          <cell r="H54" t="str">
            <v>Excluded: although the study examines computational thinking integration across school subjects, the focus is on teachers’ pedagogical content knowledge and attitudes rather than a programming context with a clear operationalization or mapping between CT and programming.</v>
          </cell>
        </row>
        <row r="55">
          <cell r="A55" t="str">
            <v>Computational Thinking in STEM Teaching: Preservice Teachers' Conceptualizations and Practices</v>
          </cell>
          <cell r="B55" t="str">
            <v>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v>
          </cell>
          <cell r="C55" t="str">
            <v>Excluded</v>
          </cell>
          <cell r="D55" t="str">
            <v>Yes</v>
          </cell>
          <cell r="E55" t="str">
            <v>No</v>
          </cell>
          <cell r="F55" t="str">
            <v>No</v>
          </cell>
          <cell r="G55" t="str">
            <v>Excluded</v>
          </cell>
          <cell r="H55" t="str">
            <v>Excluded: although the study discusses teachers’ understandings and applications of computational thinking in STEM instruction, the focus is on teacher conceptualizations and integration practices rather than a clear operationalization or mapping between CT and programming.</v>
          </cell>
        </row>
        <row r="56">
          <cell r="A56" t="str">
            <v>Designing Project-based learning experiences to integrate Computational Thinking skills at Teacher Colleges</v>
          </cell>
          <cell r="B56" t="str">
            <v>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v>
          </cell>
          <cell r="C56" t="str">
            <v>Excluded</v>
          </cell>
          <cell r="D56" t="str">
            <v>Yes</v>
          </cell>
          <cell r="E56" t="str">
            <v>No</v>
          </cell>
          <cell r="F56" t="str">
            <v>No</v>
          </cell>
          <cell r="G56" t="str">
            <v>Excluded</v>
          </cell>
          <cell r="H56" t="str">
            <v>Excluded: although the study introduces computational thinking through project-based learning and technology-supported activities, the focus is on teacher education and instructional design rather than a clear operationalization or mapping between CT and programming.</v>
          </cell>
        </row>
        <row r="57">
          <cell r="A57" t="str">
            <v>Instilling Computational Thinking in Undergraduate Students Across Multiple Disciplines through an Adaptive Gamified e-Learning Platform</v>
          </cell>
          <cell r="B57" t="str">
            <v>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v>
          </cell>
          <cell r="C57" t="str">
            <v>Excluded</v>
          </cell>
          <cell r="D57" t="str">
            <v>Yes</v>
          </cell>
          <cell r="E57" t="str">
            <v>No</v>
          </cell>
          <cell r="F57" t="str">
            <v>No</v>
          </cell>
          <cell r="G57" t="str">
            <v>Excluded</v>
          </cell>
          <cell r="H57" t="str">
            <v>Excluded: although the study focuses on computational thinking development and aims to prepare students for programming-related modules, the focus is on evaluating a gamified e-learning platform and learning outcomes rather than a clear operationalization or mapping between CT and programming.</v>
          </cell>
        </row>
        <row r="58">
          <cell r="A58" t="str">
            <v>Holistic Assessment of Computational Thinking for Undergraduate: Reliability and Convergent Validity</v>
          </cell>
          <cell r="B58" t="str">
            <v>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v>
          </cell>
          <cell r="C58" t="str">
            <v>Excluded</v>
          </cell>
          <cell r="D58" t="str">
            <v>Yes</v>
          </cell>
          <cell r="E58" t="str">
            <v>No</v>
          </cell>
          <cell r="F58" t="str">
            <v>No</v>
          </cell>
          <cell r="G58" t="str">
            <v>Excluded</v>
          </cell>
          <cell r="H58" t="str">
            <v>Excluded: although the study develops a computational thinking assessment scale, the focus is on psychometric validation and reliability rather than a programming context with a clear operationalization or mapping between CT and programming.</v>
          </cell>
        </row>
        <row r="59">
          <cell r="A59" t="str">
            <v>Preschool children, robots, and computational thinking: A systematic review</v>
          </cell>
          <cell r="B59" t="str">
            <v>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v>
          </cell>
          <cell r="C59" t="str">
            <v>Excluded</v>
          </cell>
          <cell r="D59" t="str">
            <v>Yes</v>
          </cell>
          <cell r="E59" t="str">
            <v>No</v>
          </cell>
          <cell r="F59" t="str">
            <v>No</v>
          </cell>
          <cell r="G59" t="str">
            <v>Excluded</v>
          </cell>
          <cell r="H59" t="str">
            <v>Excluded: although the review focuses on computational thinking in robotics activities for preschoolers, the emphasis is on educational contexts, activities, and assessment processes rather than a clear operationalization or mapping between CT and programming.</v>
          </cell>
        </row>
        <row r="60">
          <cell r="A60" t="str">
            <v>A Normative Analysis of the TechCheck Computational Thinking Assessment</v>
          </cell>
          <cell r="B60" t="str">
            <v>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v>
          </cell>
          <cell r="C60" t="str">
            <v>Excluded</v>
          </cell>
          <cell r="D60" t="str">
            <v>Yes</v>
          </cell>
          <cell r="E60" t="str">
            <v>No</v>
          </cell>
          <cell r="F60" t="str">
            <v>Partially</v>
          </cell>
          <cell r="G60" t="str">
            <v>Excluded</v>
          </cell>
          <cell r="H60" t="str">
            <v>Excluded: although the study evaluates a computational thinking assessment and compares outcomes in a ScratchJr coding intervention, the focus is on score normalization and assessment validity rather than a clear operationalization or mapping between CT and programming.</v>
          </cell>
        </row>
        <row r="61">
          <cell r="A61" t="str">
            <v>A K-6 Computational Thinking Curricular Framework: Pedagogical Implications for Teaching Practice</v>
          </cell>
          <cell r="B61" t="str">
            <v>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v>
          </cell>
          <cell r="C61" t="str">
            <v>Excluded</v>
          </cell>
          <cell r="D61" t="str">
            <v>Yes</v>
          </cell>
          <cell r="E61" t="str">
            <v>No</v>
          </cell>
          <cell r="F61" t="str">
            <v>No</v>
          </cell>
          <cell r="G61" t="str">
            <v>Excluded</v>
          </cell>
          <cell r="H61" t="str">
            <v>Excluded: although the study discusses CT concepts such as algorithmic thinking, abstraction, and decomposition, the framework is intentionally cross-disciplinary and independent of coding, without a programming context that supports a clear mapping between CT and programming.</v>
          </cell>
        </row>
        <row r="62">
          <cell r="A62" t="str">
            <v>Code, Connect, Create: The 3C Professional Development Model to Support Computational Thinking Infusion</v>
          </cell>
          <cell r="B62" t="str">
            <v>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v>
          </cell>
          <cell r="C62" t="str">
            <v>Excluded</v>
          </cell>
          <cell r="D62" t="str">
            <v>Yes</v>
          </cell>
          <cell r="E62" t="str">
            <v>No</v>
          </cell>
          <cell r="F62" t="str">
            <v>No</v>
          </cell>
          <cell r="G62" t="str">
            <v>Excluded</v>
          </cell>
          <cell r="H62" t="str">
            <v>Excluded: although the study discusses computational thinking integration into disciplinary classrooms, the focus is on teacher professional development and self-efficacy rather than a programming context with a clear operationalization or mapping between CT and programming.</v>
          </cell>
        </row>
        <row r="63">
          <cell r="A63" t="str">
            <v>Computational thinking framework</v>
          </cell>
          <cell r="B63" t="str">
            <v>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v>
          </cell>
          <cell r="C63" t="str">
            <v>Excluded</v>
          </cell>
          <cell r="D63" t="str">
            <v>Yes</v>
          </cell>
          <cell r="E63" t="str">
            <v>No</v>
          </cell>
          <cell r="F63" t="str">
            <v>Partially</v>
          </cell>
          <cell r="G63" t="str">
            <v>Excluded</v>
          </cell>
          <cell r="H63" t="str">
            <v>Excluded: although the framework discusses computational thinking definitions, components, and programming-related developments, the focus is on conceptualizing and assessing CT rather than a clear operationalization or mapping between CT and programming.</v>
          </cell>
        </row>
        <row r="64">
          <cell r="A64" t="str">
            <v>The Code-Centric Nature of Computational Thinking Education: A Review of Trends and Issues in Computational Thinking Education Research</v>
          </cell>
          <cell r="B64" t="str">
            <v>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v>
          </cell>
          <cell r="C64" t="str">
            <v>Excluded</v>
          </cell>
          <cell r="D64" t="str">
            <v>Yes</v>
          </cell>
          <cell r="E64" t="str">
            <v>No</v>
          </cell>
          <cell r="F64" t="str">
            <v>No</v>
          </cell>
          <cell r="H64" t="str">
            <v>Excluded: although the review discusses computational thinking conceptualizations and content integration, the focus is on trends and research gaps rather than a clear operationalization or mapping between CT and programming.</v>
          </cell>
        </row>
        <row r="65">
          <cell r="A65" t="str">
            <v>Does computational thinking correlate with personality? the non-cognitive side of computational thinking</v>
          </cell>
          <cell r="B65" t="str">
            <v>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v>
          </cell>
          <cell r="C65" t="str">
            <v>Excluded</v>
          </cell>
          <cell r="D65" t="str">
            <v>Yes</v>
          </cell>
          <cell r="E65" t="str">
            <v>No</v>
          </cell>
          <cell r="F65" t="str">
            <v>No</v>
          </cell>
          <cell r="G65" t="str">
            <v>Excluded</v>
          </cell>
          <cell r="H65" t="str">
            <v>Excluded: although the study assesses computational thinking skills, the focus is on correlations with personality traits rather than a programming context with a clear operationalization or mapping between CT and programming.</v>
          </cell>
        </row>
        <row r="66">
          <cell r="A66" t="str">
            <v>GeoGebra applet to learn programming and debugging in mathematics lessons</v>
          </cell>
          <cell r="B66" t="str">
            <v>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v>
          </cell>
          <cell r="C66" t="str">
            <v>Excluded</v>
          </cell>
          <cell r="D66" t="str">
            <v>Yes</v>
          </cell>
          <cell r="E66" t="str">
            <v>No</v>
          </cell>
          <cell r="F66" t="str">
            <v>No</v>
          </cell>
          <cell r="G66" t="str">
            <v>Excluded</v>
          </cell>
          <cell r="H66" t="str">
            <v>Excluded: although the study integrates computational thinking into mathematics learning and involves programming and debugging activities, the focus is on lesson development and student engagement rather than a clear operationalization or mapping between CT and programming.</v>
          </cell>
        </row>
        <row r="67">
          <cell r="A67" t="str">
            <v>Construction and Application of a Computational Thinking Assessment Framework from the Perspective of the Iceberg Model</v>
          </cell>
          <cell r="B67" t="str">
            <v>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v>
          </cell>
          <cell r="C67" t="str">
            <v>Excluded</v>
          </cell>
          <cell r="D67" t="str">
            <v>Yes</v>
          </cell>
          <cell r="E67" t="str">
            <v>No</v>
          </cell>
          <cell r="F67" t="str">
            <v>No</v>
          </cell>
          <cell r="G67" t="str">
            <v>Excluded</v>
          </cell>
          <cell r="H67" t="str">
            <v>Excluded: although the study proposes a computational thinking assessment framework, the focus is on assessment dimensions and non-cognitive factors rather than a programming context with a clear operationalization or mapping between CT and programming.</v>
          </cell>
        </row>
        <row r="68">
          <cell r="A68" t="str">
            <v>Cross-grade Comparison of Computational Thinking in Young Children Using Normalized Unplugged Assessment Scores</v>
          </cell>
          <cell r="B68" t="str">
            <v>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v>
          </cell>
          <cell r="C68" t="str">
            <v>Excluded</v>
          </cell>
          <cell r="D68" t="str">
            <v>Yes</v>
          </cell>
          <cell r="E68" t="str">
            <v>No</v>
          </cell>
          <cell r="F68" t="str">
            <v>Partially</v>
          </cell>
          <cell r="G68" t="str">
            <v>Excluded</v>
          </cell>
          <cell r="H68" t="str">
            <v>Excluded: although the study compares computational thinking outcomes in a ScratchJr coding curriculum, the focus is on assessment normalization and measurement across grades rather than a clear operationalization or mapping between CT and programming.</v>
          </cell>
        </row>
        <row r="69">
          <cell r="A69" t="str">
            <v>Reframing Digital Curation Practices through a Computational Thinking Framework</v>
          </cell>
          <cell r="B69" t="str">
            <v>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v>
          </cell>
          <cell r="C69" t="str">
            <v>Excluded</v>
          </cell>
          <cell r="D69" t="str">
            <v>Yes</v>
          </cell>
          <cell r="E69" t="str">
            <v>No</v>
          </cell>
          <cell r="F69" t="str">
            <v>No</v>
          </cell>
          <cell r="G69" t="str">
            <v>Excluded</v>
          </cell>
          <cell r="H69" t="str">
            <v>Excluded: although the study applies a computational thinking framework in digital curation activities, the focus is on archival and curation practices rather than a programming context with a clear operationalization or mapping between CT and programming.</v>
          </cell>
        </row>
        <row r="70">
          <cell r="A70" t="str">
            <v>Current Situation and Trend of Computational Thinking Research of Primary School Students in Recent Ten Years in China: An Analysis Based on Visualization Software</v>
          </cell>
          <cell r="B70" t="str">
            <v>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v>
          </cell>
          <cell r="C70" t="str">
            <v>Excluded</v>
          </cell>
          <cell r="D70" t="str">
            <v>Yes</v>
          </cell>
          <cell r="E70" t="str">
            <v>No</v>
          </cell>
          <cell r="F70" t="str">
            <v>No</v>
          </cell>
          <cell r="G70" t="str">
            <v>Excluded</v>
          </cell>
          <cell r="H70" t="str">
            <v>Excluded: although the study discusses computational thinking in primary education, the focus is on bibliometric analysis of research trends rather than a programming context with a clear operationalization or mapping between CT and programming.</v>
          </cell>
        </row>
        <row r="71">
          <cell r="A71" t="str">
            <v>Formation of computational identity through computational thinking perspectives development in programming learning: A mediation analysis among primary school students</v>
          </cell>
          <cell r="B71" t="str">
            <v>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v>
          </cell>
          <cell r="C71" t="str">
            <v>Excluded</v>
          </cell>
          <cell r="D71" t="str">
            <v>Yes</v>
          </cell>
          <cell r="E71" t="str">
            <v>No</v>
          </cell>
          <cell r="F71" t="str">
            <v>Yes</v>
          </cell>
          <cell r="G71" t="str">
            <v>Excluded</v>
          </cell>
          <cell r="H71" t="str">
            <v>Excluded: although the study is situated in a programming learning context and examines computational thinking perspectives, the focus is on computational identity formation rather than a clear operationalization or mapping between CT and programming.</v>
          </cell>
        </row>
        <row r="72">
          <cell r="A72" t="str">
            <v>Attitude towards Computational Thinking of in-service teachers</v>
          </cell>
          <cell r="B72" t="str">
            <v>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v>
          </cell>
          <cell r="C72" t="str">
            <v>Excluded</v>
          </cell>
          <cell r="D72" t="str">
            <v>Yes</v>
          </cell>
          <cell r="E72" t="str">
            <v>No</v>
          </cell>
          <cell r="F72" t="str">
            <v>No</v>
          </cell>
          <cell r="G72" t="str">
            <v>Excluded</v>
          </cell>
          <cell r="H72" t="str">
            <v>Excluded: although the study examines computational thinking among in-service teachers and refers to CT dimensions, the focus is on teachers’ attitudes, perceptions, and classroom use rather than a programming context with a clear operationalization or mapping between CT and programming.</v>
          </cell>
        </row>
        <row r="73">
          <cell r="A73" t="str">
            <v>Exploring the Acceptance of Augmented Reality Game-Based Application for Computational Thinking Development</v>
          </cell>
          <cell r="B73" t="str">
            <v>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v>
          </cell>
          <cell r="C73" t="str">
            <v>Excluded</v>
          </cell>
          <cell r="D73" t="str">
            <v>Partially</v>
          </cell>
          <cell r="E73" t="str">
            <v>No</v>
          </cell>
          <cell r="F73" t="str">
            <v>No</v>
          </cell>
          <cell r="G73" t="str">
            <v>Excluded</v>
          </cell>
          <cell r="H73" t="str">
            <v>Excluded: although the study discusses computational thinking development and coding concepts through an AR application, the focus is on students’ acceptance and perceptions of the technology rather than a clear operationalization or mapping between CT and programming.</v>
          </cell>
        </row>
        <row r="74">
          <cell r="A74" t="str">
            <v>Initial learning scenarios based on the computational thinking evaluation for the course Programming fundamentals at INACAP</v>
          </cell>
          <cell r="B74" t="str">
            <v>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v>
          </cell>
          <cell r="C74" t="str">
            <v>Excluded</v>
          </cell>
          <cell r="D74" t="str">
            <v>Yes</v>
          </cell>
          <cell r="E74" t="str">
            <v>No</v>
          </cell>
          <cell r="F74" t="str">
            <v>Yes</v>
          </cell>
          <cell r="G74" t="str">
            <v>Excluded</v>
          </cell>
          <cell r="H74" t="str">
            <v>Excluded: although the study uses computational thinking evaluation within a programming fundamentals course, the focus is on designing learning scenarios and student motivation rather than a clear operationalization or mapping between CT and programming.</v>
          </cell>
        </row>
        <row r="75">
          <cell r="A75" t="str">
            <v>Effective teaching in computational thinking: A bias-free alternative to the exclusive use of students’ evaluations of teaching (SETs)</v>
          </cell>
          <cell r="B75" t="str">
            <v>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v>
          </cell>
          <cell r="C75" t="str">
            <v>Excluded</v>
          </cell>
          <cell r="D75" t="str">
            <v>Yes</v>
          </cell>
          <cell r="E75" t="str">
            <v>No</v>
          </cell>
          <cell r="F75" t="str">
            <v>No</v>
          </cell>
          <cell r="G75" t="str">
            <v>Excluded</v>
          </cell>
          <cell r="H75" t="str">
            <v>Excluded: although the study uses a computational thinking diagnostic instrument in an engineering course, the focus is on evaluating teaching effectiveness and assessment bias rather than a clear operationalization or mapping between CT and programming.</v>
          </cell>
        </row>
        <row r="76">
          <cell r="A76" t="str">
            <v>Champion, Collaborator, Curator, Anchor: Supporting K-12 Teachers to Integrate Computational Thinking</v>
          </cell>
          <cell r="B76" t="str">
            <v>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v>
          </cell>
          <cell r="C76" t="str">
            <v>Excluded</v>
          </cell>
          <cell r="D76" t="str">
            <v>Yes</v>
          </cell>
          <cell r="E76" t="str">
            <v>No</v>
          </cell>
          <cell r="F76" t="str">
            <v>No</v>
          </cell>
          <cell r="G76" t="str">
            <v>Excluded</v>
          </cell>
          <cell r="H76" t="str">
            <v>Excluded: although the study discusses computational thinking integration in K–12 education, the focus is on teacher professional support and implementation strategies rather than a programming context with a clear operationalization or mapping between CT and programming.</v>
          </cell>
        </row>
        <row r="77">
          <cell r="A77" t="str">
            <v>Factors That Predict K-12 Teachers' Ability to Apply Computational Thinking Skills</v>
          </cell>
          <cell r="B77" t="str">
            <v>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v>
          </cell>
          <cell r="C77" t="str">
            <v>Excluded</v>
          </cell>
          <cell r="D77" t="str">
            <v>Yes</v>
          </cell>
          <cell r="E77" t="str">
            <v>No</v>
          </cell>
          <cell r="F77" t="str">
            <v>No</v>
          </cell>
          <cell r="G77" t="str">
            <v>Excluded</v>
          </cell>
          <cell r="H77" t="str">
            <v>Excluded: although the study examines teachers’ computational thinking application skills and professional development, the focus is on predictors of teacher performance rather than a programming context with a clear operationalization or mapping between CT and programming.</v>
          </cell>
        </row>
        <row r="78">
          <cell r="A78" t="str">
            <v>A Teacher Workshop for Introducing Computational Thinking in Rural and Vulnerable Environments</v>
          </cell>
          <cell r="B78" t="str">
            <v>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v>
          </cell>
          <cell r="C78" t="str">
            <v>Excluded</v>
          </cell>
          <cell r="D78" t="str">
            <v>Yes</v>
          </cell>
          <cell r="E78" t="str">
            <v>No</v>
          </cell>
          <cell r="F78" t="str">
            <v>No</v>
          </cell>
          <cell r="G78" t="str">
            <v>Excluded</v>
          </cell>
          <cell r="H78" t="str">
            <v>Excluded: although the study discusses computational thinking and programming in teacher training, the focus is on workshop implementation and teachers’ perceptions rather than a clear operationalization or mapping between CT and programming.</v>
          </cell>
        </row>
        <row r="79">
          <cell r="A79" t="str">
            <v>Teaching mode reform and exploration on the University Computer Basic based on Computational thinking training in Network Environment</v>
          </cell>
          <cell r="B79" t="str">
            <v>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v>
          </cell>
          <cell r="C79" t="str">
            <v>Excluded</v>
          </cell>
          <cell r="D79" t="str">
            <v>Yes</v>
          </cell>
          <cell r="E79" t="str">
            <v>No</v>
          </cell>
          <cell r="F79" t="str">
            <v>Partially</v>
          </cell>
          <cell r="G79" t="str">
            <v>Excluded</v>
          </cell>
          <cell r="H79" t="str">
            <v>Excluded: although the study discusses computational thinking in computer education, the focus is on teaching reform and autonomous learning models rather than a clear operationalization or mapping between CT and programming.</v>
          </cell>
        </row>
        <row r="80">
          <cell r="A80" t="str">
            <v>Examining the Impact of a Computational Thinking Intervention on Pre-Service Elementary Science Teachers' Computational Thinking Teaching Efficacy Beliefs, Interest and Confidence</v>
          </cell>
          <cell r="B80" t="str">
            <v>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v>
          </cell>
          <cell r="C80" t="str">
            <v>Excluded</v>
          </cell>
          <cell r="D80" t="str">
            <v>Yes</v>
          </cell>
          <cell r="E80" t="str">
            <v>No</v>
          </cell>
          <cell r="F80" t="str">
            <v>Partially</v>
          </cell>
          <cell r="G80" t="str">
            <v>Excluded</v>
          </cell>
          <cell r="H80" t="str">
            <v>Excluded: although the study examines computational thinking training and coding confidence, the focus is on teachers’ efficacy beliefs, interest, and confidence rather than a clear operationalization or mapping between CT and programming.</v>
          </cell>
        </row>
        <row r="81">
          <cell r="A81" t="str">
            <v>PRADA: A Practical Model for Integrating Computational Thinking in K-12 Education</v>
          </cell>
          <cell r="B81" t="str">
            <v>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v>
          </cell>
          <cell r="C81" t="str">
            <v>Excluded</v>
          </cell>
          <cell r="D81" t="str">
            <v>Yes</v>
          </cell>
          <cell r="E81" t="str">
            <v>Partially</v>
          </cell>
          <cell r="F81" t="str">
            <v>No</v>
          </cell>
          <cell r="G81" t="str">
            <v>Excluded</v>
          </cell>
          <cell r="H81" t="str">
            <v>Excluded: although the study proposes a practical model for introducing CT concepts such as pattern recognition, abstraction, decomposition, and algorithms, the focus is on teacher support for CT integration rather than a programming context with a clear operationalization or mapping between CT and programming.</v>
          </cell>
        </row>
        <row r="82">
          <cell r="A82" t="str">
            <v>Specific Didactic Strategies Used for the Development of Computational Thinking in the Female Collective in Primary and Secondary Education: A Systematic Review Protocol</v>
          </cell>
          <cell r="B82" t="str">
            <v>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v>
          </cell>
          <cell r="C82" t="str">
            <v>Excluded</v>
          </cell>
          <cell r="D82" t="str">
            <v>Yes</v>
          </cell>
          <cell r="E82" t="str">
            <v>No</v>
          </cell>
          <cell r="F82" t="str">
            <v>Partially</v>
          </cell>
          <cell r="G82" t="str">
            <v>Excluded</v>
          </cell>
          <cell r="H82" t="str">
            <v>Excluded: although the study discusses computational thinking development in relation to programming and STEAM education, the focus is on a review protocol of teaching strategies rather than a clear operationalization or mapping between CT and programming.</v>
          </cell>
        </row>
        <row r="83">
          <cell r="A83" t="str">
            <v>Computational Thinking Assessment in Primary and Secondary Education: A Meta-Synthesis of Tools, Methods and Pedagogical Approaches</v>
          </cell>
          <cell r="B83" t="str">
            <v>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v>
          </cell>
          <cell r="C83" t="str">
            <v>Excluded</v>
          </cell>
          <cell r="D83" t="str">
            <v>Yes</v>
          </cell>
          <cell r="E83" t="str">
            <v>No</v>
          </cell>
          <cell r="F83" t="str">
            <v>Partially</v>
          </cell>
          <cell r="G83" t="str">
            <v>Excluded</v>
          </cell>
          <cell r="H83" t="str">
            <v>Excluded: although the study reviews CT assessment tools and highlights programming skills, the focus is on assessment practices and pedagogical approaches rather than a clear operationalization or mapping between CT and programming.</v>
          </cell>
        </row>
        <row r="84">
          <cell r="A84" t="str">
            <v>Adaptation of the Computational Thinking Skills Assessment Tool (TechCheck-K) in Early Childhood</v>
          </cell>
          <cell r="B84" t="str">
            <v>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v>
          </cell>
          <cell r="C84" t="str">
            <v>Excluded</v>
          </cell>
          <cell r="D84" t="str">
            <v>Yes</v>
          </cell>
          <cell r="E84" t="str">
            <v>No</v>
          </cell>
          <cell r="F84" t="str">
            <v>No</v>
          </cell>
          <cell r="G84" t="str">
            <v>Excluded</v>
          </cell>
          <cell r="H84" t="str">
            <v>Excluded: although the study validates a computational thinking assessment tool and refers to coding experience, the focus is on psychometric adaptation rather than a programming context with a clear operationalization or mapping between CT and programming.</v>
          </cell>
        </row>
        <row r="85">
          <cell r="A85" t="str">
            <v>Assessing the Current Level of the Computational Thinking Within the Primary and Lower Secondary School Students using Educational Robotics Tasks</v>
          </cell>
          <cell r="B85" t="str">
            <v>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v>
          </cell>
          <cell r="C85" t="str">
            <v>Excluded</v>
          </cell>
          <cell r="D85" t="str">
            <v>Yes</v>
          </cell>
          <cell r="E85" t="str">
            <v>No</v>
          </cell>
          <cell r="F85" t="str">
            <v>No</v>
          </cell>
          <cell r="G85" t="str">
            <v>Excluded</v>
          </cell>
          <cell r="H85" t="str">
            <v>Excluded: although the study assesses computational thinking through educational robotics tasks, the focus is on measuring CT levels and assessment development rather than a clear operationalization or mapping between CT and programming.</v>
          </cell>
        </row>
        <row r="86">
          <cell r="A86" t="str">
            <v>PRISA: A Potential Region-based Intelligent Search Algorithm for Dataflow Graph Mapping in Spatial CGRAs</v>
          </cell>
          <cell r="B86" t="str">
            <v>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v>
          </cell>
          <cell r="C86" t="str">
            <v>Excluded</v>
          </cell>
          <cell r="D86" t="str">
            <v>No</v>
          </cell>
          <cell r="E86" t="str">
            <v>No</v>
          </cell>
          <cell r="F86" t="str">
            <v>No</v>
          </cell>
          <cell r="H86" t="str">
            <v>Excluded: the study is unrelated to computational thinking in education and does not address a programming context relevant to the review.</v>
          </cell>
        </row>
        <row r="87">
          <cell r="A87" t="str">
            <v>Measuring mutual engagement in the context of middle-school pair programming: Development and validation of a self-reported questionnaire</v>
          </cell>
          <cell r="B87" t="str">
            <v>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v>
          </cell>
          <cell r="C87" t="str">
            <v>Excluded</v>
          </cell>
          <cell r="D87" t="str">
            <v>Partially</v>
          </cell>
          <cell r="E87" t="str">
            <v>No</v>
          </cell>
          <cell r="F87" t="str">
            <v>Yes</v>
          </cell>
          <cell r="G87" t="str">
            <v>Excluded</v>
          </cell>
          <cell r="H87" t="str">
            <v>Excluded: although the study is situated in a pair-programming context and relates to computational thinking learning, the focus is on measuring mutual engagement in collaboration rather than a clear operationalization or mapping between CT and programming.</v>
          </cell>
        </row>
        <row r="88">
          <cell r="A88" t="str">
            <v>How do computational thinking self-efficacy and performance differ according to secondary school students’ profiles? The role of computational identity, academic resilience, and gender</v>
          </cell>
          <cell r="B88" t="str">
            <v>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v>
          </cell>
          <cell r="C88" t="str">
            <v>Excluded</v>
          </cell>
          <cell r="D88" t="str">
            <v>Yes</v>
          </cell>
          <cell r="E88" t="str">
            <v>No</v>
          </cell>
          <cell r="F88" t="str">
            <v>No</v>
          </cell>
          <cell r="G88" t="str">
            <v>Excluded</v>
          </cell>
          <cell r="H88" t="str">
            <v>Excluded: although the study focuses on computational thinking and includes programming-related resilience, the focus is on students’ profiles, self-efficacy, identity, and resilience rather than a clear operationalization or mapping between CT and programming.</v>
          </cell>
        </row>
        <row r="89">
          <cell r="A89" t="str">
            <v>Construction and Validation of an Online Teaching Model for the Development of Computational Thinking: Take high school information technology course as an example</v>
          </cell>
          <cell r="B89" t="str">
            <v>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v>
          </cell>
          <cell r="C89" t="str">
            <v>Excluded</v>
          </cell>
          <cell r="G89" t="str">
            <v>Excluded</v>
          </cell>
          <cell r="H89" t="str">
            <v>Excluded: although the study examines computational thinking development in an information technology course, the focus is on validating an online teaching model and its educational effects rather than a clear operationalization or mapping between CT and programming.</v>
          </cell>
        </row>
        <row r="90">
          <cell r="A90" t="str">
            <v>Describing Elementary Students' Spheres of Influence in Scratch 'About Me' Projects</v>
          </cell>
          <cell r="B90" t="str">
            <v>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v>
          </cell>
          <cell r="C90" t="str">
            <v>Excluded</v>
          </cell>
          <cell r="D90" t="str">
            <v>Partially</v>
          </cell>
          <cell r="E90" t="str">
            <v>No</v>
          </cell>
          <cell r="F90" t="str">
            <v>Yes</v>
          </cell>
          <cell r="G90" t="str">
            <v>Excluded</v>
          </cell>
          <cell r="H90" t="str">
            <v>Excluded: although the study is situated in a Scratch programming context and discusses computational thinking in elementary education, the focus is on students’ identities and self-expression through multimedia projects rather than a clear operationalization or mapping between CT and programming.</v>
          </cell>
        </row>
        <row r="91">
          <cell r="A91" t="str">
            <v>Teachers’ perceptions of the barriers and drivers for the integration of Informatics in primary education</v>
          </cell>
          <cell r="B91" t="str">
            <v>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v>
          </cell>
          <cell r="C91" t="str">
            <v>Excluded</v>
          </cell>
          <cell r="D91" t="str">
            <v>Yes</v>
          </cell>
          <cell r="E91" t="str">
            <v>No</v>
          </cell>
          <cell r="F91" t="str">
            <v>Partially</v>
          </cell>
          <cell r="G91" t="str">
            <v>Excluded</v>
          </cell>
          <cell r="H91" t="str">
            <v>Excluded: although the study discusses Informatics and computational thinking in primary education, the focus is on teachers’ perceptions of barriers and supports for implementation rather than a clear operationalization or mapping between CT and programming.</v>
          </cell>
        </row>
        <row r="92">
          <cell r="A92" t="str">
            <v>CT-LSTM: Detection &amp;amp; Estimation Duplexed System for Robust Object Tracking</v>
          </cell>
          <cell r="B92" t="str">
            <v>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v>
          </cell>
          <cell r="C92" t="str">
            <v>Excluded</v>
          </cell>
          <cell r="D92" t="str">
            <v>No</v>
          </cell>
          <cell r="E92" t="str">
            <v>No</v>
          </cell>
          <cell r="F92" t="str">
            <v>Partially</v>
          </cell>
          <cell r="G92" t="str">
            <v>Excluded</v>
          </cell>
          <cell r="H92" t="str">
            <v>Excluded: the study is unrelated to computational thinking in education and does not address a programming context relevant to the review.</v>
          </cell>
        </row>
        <row r="93">
          <cell r="A93" t="str">
            <v>KnitxCode: Exploring a Craftsmanship-driven Approach to Computational Thinking</v>
          </cell>
          <cell r="B93" t="str">
            <v>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v>
          </cell>
          <cell r="C93" t="str">
            <v>Excluded</v>
          </cell>
          <cell r="D93" t="str">
            <v>Yes</v>
          </cell>
          <cell r="E93" t="str">
            <v>No</v>
          </cell>
          <cell r="F93" t="str">
            <v>Partially</v>
          </cell>
          <cell r="G93" t="str">
            <v>Excluded</v>
          </cell>
          <cell r="H93" t="str">
            <v>Excluded: although the study discusses computational thinking concepts and practices (suggestin Brennan &amp; Resnick), the focus is on a craftsmanship-based learning approach through knitting rather than a programming context with a clear operationalization or mapping between CT and programming.</v>
          </cell>
        </row>
        <row r="94">
          <cell r="A94" t="str">
            <v>Investigating the Role of Cognitive Abilities in Computational Thinking for Young Learners</v>
          </cell>
          <cell r="B94" t="str">
            <v>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v>
          </cell>
          <cell r="C94" t="str">
            <v>Excluded</v>
          </cell>
          <cell r="D94" t="str">
            <v>No</v>
          </cell>
          <cell r="E94" t="str">
            <v>No</v>
          </cell>
          <cell r="F94" t="str">
            <v>Partially</v>
          </cell>
          <cell r="G94" t="str">
            <v>Excluded</v>
          </cell>
          <cell r="H94" t="str">
            <v>Excluded: although the study examines computational thinking performance in a curriculum involving CS/CT learning, the focus is on cognitive abilities and scaffolding rather than a clear operationalization or mapping between CT and programming.</v>
          </cell>
        </row>
        <row r="95">
          <cell r="A95" t="str">
            <v>Unplugged Computational Thinking Activities Framework Development for Novice Programmer</v>
          </cell>
          <cell r="B95" t="str">
            <v>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v>
          </cell>
          <cell r="C95" t="str">
            <v>Excluded</v>
          </cell>
          <cell r="D95" t="str">
            <v>Yes</v>
          </cell>
          <cell r="E95" t="str">
            <v>No</v>
          </cell>
          <cell r="F95" t="str">
            <v>Partially</v>
          </cell>
          <cell r="G95" t="str">
            <v>Excluded</v>
          </cell>
          <cell r="H95" t="str">
            <v>Excluded: although the study discusses computational thinking in relation to programming learning, the focus is on developing unplugged activities and their effectiveness rather than a clear operationalization or mapping between CT and programming.</v>
          </cell>
        </row>
        <row r="96">
          <cell r="A96" t="str">
            <v>Using Structural Equation Modeling to Examine the Relationship Between Preservice Teachers’ Computational Thinking Attitudes and Skills</v>
          </cell>
          <cell r="B96" t="str">
            <v>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v>
          </cell>
          <cell r="C96" t="str">
            <v>Excluded</v>
          </cell>
          <cell r="D96" t="str">
            <v>Yes</v>
          </cell>
          <cell r="E96" t="str">
            <v>No</v>
          </cell>
          <cell r="F96" t="str">
            <v>No</v>
          </cell>
          <cell r="G96" t="str">
            <v>Excluded</v>
          </cell>
          <cell r="H96" t="str">
            <v>Excluded: although the study assesses computational thinking attitudes and skills, the focus is on their relationship among preservice teachers rather than a programming context with a clear operationalization or mapping between CT and programming.</v>
          </cell>
        </row>
        <row r="97">
          <cell r="A97" t="str">
            <v>Integrating Making and Computational Thinking in Early Childhood Education: Preliminary Outcomes from a Teacher Trainer Workshop on Designing an Intervention</v>
          </cell>
          <cell r="B97" t="str">
            <v>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v>
          </cell>
          <cell r="C97" t="str">
            <v>Excluded</v>
          </cell>
          <cell r="D97" t="str">
            <v>Yes</v>
          </cell>
          <cell r="E97" t="str">
            <v>No</v>
          </cell>
          <cell r="F97" t="str">
            <v>Partially</v>
          </cell>
          <cell r="G97" t="str">
            <v>Excluded</v>
          </cell>
          <cell r="H97" t="str">
            <v>Excluded: although the study discusses computational thinking in early childhood education, the focus is on intervention design and teacher training rather than a programming context with a clear operationalization or mapping between CT and programming.</v>
          </cell>
        </row>
        <row r="98">
          <cell r="A98" t="str">
            <v>Computational thinking for the digital age: a systematic review of tools, pedagogical strategies, and assessment practices</v>
          </cell>
          <cell r="B98" t="str">
            <v>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v>
          </cell>
          <cell r="C98" t="str">
            <v>Excluded</v>
          </cell>
          <cell r="D98" t="str">
            <v>Yes</v>
          </cell>
          <cell r="E98" t="str">
            <v>No</v>
          </cell>
          <cell r="F98" t="str">
            <v>No</v>
          </cell>
          <cell r="G98" t="str">
            <v>Excluded</v>
          </cell>
          <cell r="H98" t="str">
            <v>Excluded: although the review discusses computational thinking interventions, tools, and assessment practices, the focus is broad and does not provide a clear operationalization or mapping between CT and programming relevant to the study.</v>
          </cell>
        </row>
        <row r="99">
          <cell r="A99" t="str">
            <v>Cultivating Computational Thinking and Social Play among Neurodiverse Preschoolers in Inclusive Classrooms</v>
          </cell>
          <cell r="B99" t="str">
            <v>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v>
          </cell>
          <cell r="C99" t="str">
            <v>Excluded</v>
          </cell>
          <cell r="D99" t="str">
            <v>Yes</v>
          </cell>
          <cell r="E99" t="str">
            <v>No</v>
          </cell>
          <cell r="F99" t="str">
            <v>Yes</v>
          </cell>
          <cell r="G99" t="str">
            <v>Excluded</v>
          </cell>
          <cell r="H99" t="str">
            <v>Excluded: although the study involves programmable robots and computational thinking learning, the focus is on accessibility, inclusion, and social play rather than a clear operationalization or mapping between CT and programming.</v>
          </cell>
        </row>
        <row r="100">
          <cell r="A100" t="str">
            <v>Efficacy of Digital Videos and Games for Improving Children's Computational Thinking Skills: An Evaluation of "Work It out Wombats!" from PBS KIDS</v>
          </cell>
          <cell r="B100" t="str">
            <v>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v>
          </cell>
          <cell r="C100" t="str">
            <v>Excluded</v>
          </cell>
          <cell r="D100" t="str">
            <v>Yes</v>
          </cell>
          <cell r="E100" t="str">
            <v>No</v>
          </cell>
          <cell r="F100" t="str">
            <v>No</v>
          </cell>
          <cell r="G100" t="str">
            <v>Excluded</v>
          </cell>
          <cell r="H100" t="str">
            <v>Excluded: although the study evaluates computational thinking skills and includes CT elements such as abstraction, sequencing, debugging, and decomposition, the intervention is based on videos, games, and media resources rather than a programming context that supports a clear mapping between CT and programming.</v>
          </cell>
        </row>
        <row r="101">
          <cell r="A101" t="str">
            <v>An operationalized model for defining computational thinking</v>
          </cell>
          <cell r="B101" t="str">
            <v>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v>
          </cell>
          <cell r="C101" t="str">
            <v>Excluded</v>
          </cell>
          <cell r="D101" t="str">
            <v>Yes</v>
          </cell>
          <cell r="E101" t="str">
            <v>No</v>
          </cell>
          <cell r="F101" t="str">
            <v>No</v>
          </cell>
          <cell r="G101" t="str">
            <v>Excluded</v>
          </cell>
          <cell r="H101" t="str">
            <v>Excluded: although the study proposes an operationalized model of computational thinking and discusses CT concepts and interconnections, it does not situate these elements within a programming context or provide a clear mapping between CT and programming.</v>
          </cell>
        </row>
        <row r="102">
          <cell r="A102" t="str">
            <v>Computational thinking integrated in school subjects – A cross-case analysis of students’ experiences</v>
          </cell>
          <cell r="B102" t="str">
            <v>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v>
          </cell>
          <cell r="C102" t="str">
            <v>Excluded</v>
          </cell>
          <cell r="D102" t="str">
            <v>Yes</v>
          </cell>
          <cell r="E102" t="str">
            <v>No</v>
          </cell>
          <cell r="F102" t="str">
            <v>No</v>
          </cell>
          <cell r="G102" t="str">
            <v>Excluded</v>
          </cell>
          <cell r="H102" t="str">
            <v>Excluded: although the study examines computational thinking integration across school subjects and discusses CT concepts and practices, the focus is on interdisciplinary implementation and students’ experiences rather than a programming context with a clear operationalization or mapping between CT and programming.</v>
          </cell>
        </row>
        <row r="103">
          <cell r="A103" t="str">
            <v>Computational Thinking Assessment Tools: A Systematic Review of the Literature (Initial Findings).</v>
          </cell>
          <cell r="B103" t="str">
            <v>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"What tools are available for the assessment of CT skills?". A comprehensive search of academic databases for CT assessment publications since 2006 yielded 202 unique articles. After applying exclusion criteria, 72 relevant articles were analyzed. The selected publications were categorized by tool type, and focus, examining tool reliability and validity. This paper presents initial findings from this review.</v>
          </cell>
          <cell r="C103" t="str">
            <v>Undetermined</v>
          </cell>
          <cell r="D103" t="str">
            <v>Yes</v>
          </cell>
          <cell r="E103" t="str">
            <v>No</v>
          </cell>
          <cell r="F103" t="str">
            <v>Partially</v>
          </cell>
          <cell r="G103" t="str">
            <v>Excluded</v>
          </cell>
          <cell r="H103" t="str">
            <v>Excluded: although the review focuses on computational thinking assessment tools, the abstract does not provide sufficient evidence of a programming context or a clear operationalization or mapping between CT and programming.</v>
          </cell>
        </row>
        <row r="104">
          <cell r="A104" t="str">
            <v>Interpretation of computational thinking evaluation results for enrollment prediction</v>
          </cell>
          <cell r="B104" t="str">
            <v>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v>
          </cell>
          <cell r="C104" t="str">
            <v>Undetermined</v>
          </cell>
          <cell r="D104" t="str">
            <v>Yes</v>
          </cell>
          <cell r="E104" t="str">
            <v>No</v>
          </cell>
          <cell r="F104" t="str">
            <v>Yes</v>
          </cell>
          <cell r="G104" t="str">
            <v>Excluded</v>
          </cell>
          <cell r="H104" t="str">
            <v>Excluded: although the study uses computational thinking evaluations in a programming course, the focus is on predicting student enrollment and retention rather than a clear operationalization or mapping between CT and programming.</v>
          </cell>
        </row>
        <row r="105">
          <cell r="A105" t="str">
            <v>Assessing Middle School Students' Computational Thinking Through Programming Trajectory Analysis</v>
          </cell>
          <cell r="B105" t="str">
            <v>With national K-12 education initiatives such as "CSForAll," block-based programming environments have emerged as widely used tools for teaching novice programming. A key challenge presented by block-based programming environments is assessing students' computational thinking (CT) and programming competencies. Developing assessment methods that can evaluate students' use of CT practices such as testing and refining, and developing and using appropriate algorithms, can help teachers evaluate students learning and provide appropriate scaffolding. In this work, we utilize an evidence-centered assessment design approach to devise a three-dimensional assessment to evaluate students' CT competencies based on evidence extracted from their programming trajectories in a block-based programming environment. In this assessment, the first dimension assesses students' knowledge of essential CT concepts, the second dimension assesses students' dynamic testing and refining strategies, and the third dimension assesses their overall problem-solving efficiency. We apply the assessment framework to data collected from students' interactions with a game-based learning environment designed to develop middle-grade students' CT competencies and programming skills. The results demonstrate that students' knowledge of basic CT constructs, such as appropriate use and combination of control structures, serves as the foundation for designing and implementing effective algorithms. Further, we assessed students testing and refining strategies over the three dimensions of novelty, positivity, and scale. The results demonstrate that students with higher algorithmic capabilities tend to make more novel, positive, and small-scale changes. The results reveal distinctive patterns in students' approaches to computational thinking problem solving and make a step toward identifying and assessing productive computational thinking practices.</v>
          </cell>
          <cell r="C105" t="str">
            <v>Undetermined</v>
          </cell>
          <cell r="D105" t="str">
            <v>Yes</v>
          </cell>
          <cell r="E105" t="str">
            <v>Partially</v>
          </cell>
          <cell r="F105" t="str">
            <v>Yes</v>
          </cell>
          <cell r="G105" t="str">
            <v>Included</v>
          </cell>
          <cell r="H105" t="str">
            <v>The paper mentions CT concepts and practices, suggesting the authors used Brennan &amp; Resnick Framework, however, the third dimension is not Ct perception, instead is problem solving efficiency, which gives an idea of a possible adapted framework that would worth to study in next filtering stage.</v>
          </cell>
        </row>
        <row r="106">
          <cell r="A106" t="str">
            <v>Relationship of knowledge to learn in programming methodology and evaluation of computational thinking</v>
          </cell>
          <cell r="B106" t="str">
            <v>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v>
          </cell>
          <cell r="C106" t="str">
            <v>Undetermined</v>
          </cell>
          <cell r="D106" t="str">
            <v>Yes</v>
          </cell>
          <cell r="E106" t="str">
            <v>Partially</v>
          </cell>
          <cell r="F106" t="str">
            <v>Yes</v>
          </cell>
          <cell r="G106" t="str">
            <v>Included</v>
          </cell>
          <cell r="H106" t="str">
            <v>Although the paper does not mention clearly the use a framework to assess CT elements in programming courses, it mentions learning scenarios created by assessing CT skills. Therefore, as the content should be oriented a programming, we can assume that some mapping between the CT elements (which they define similarly to our study), can be mapped with some programming activities.</v>
          </cell>
        </row>
        <row r="107">
          <cell r="A107" t="str">
            <v>Developing a Digital Game to Assess Lower Primary Students' Computational Thinking Practices based on Evidence-Centered Game Design</v>
          </cell>
          <cell r="B107" t="str">
            <v>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"Magical Adventure" based on the Evidence-Centered Game Design (ECGD) framework, which aimed at assessing the CT practices of young children. The game comprises five scenarios, targeting five CT practices respectively, including pattern recognition, abstraction, problem decomposition, algorithmic thinking, and debugging. Scoring criteria were designed to evaluate students' CT abilities based on the anticipated gameplay process data. This study describes the design and development process of the game. Future steps will include validation of its effectiveness through expert reviews and cognitive interviews, followed by empirical research to optimize and refine the game, enhancing its accuracy in reflecting students' CT practices.</v>
          </cell>
          <cell r="C107" t="str">
            <v>Undetermined</v>
          </cell>
          <cell r="D107" t="str">
            <v>Yes</v>
          </cell>
          <cell r="E107" t="str">
            <v>No</v>
          </cell>
          <cell r="F107" t="str">
            <v>No</v>
          </cell>
          <cell r="G107" t="str">
            <v>Excluded</v>
          </cell>
          <cell r="H107" t="str">
            <v>Excluded: although the study assesses CT practices aligned with elements relevant to this review (e.g., pattern recognition, abstraction, decomposition, algorithmic thinking, and debugging), the abstract does not describe a programming activity or environment that would suggest a clear mapping between CT and programming.</v>
          </cell>
        </row>
        <row r="108">
          <cell r="A108" t="str">
            <v>The assessment of mobile computational thinking</v>
          </cell>
          <cell r="B108" t="str">
            <v>This paper introduces a rubric for analyzing "mobile computational thinking" (MCT) as represented in App Inventor work products. To demonstrate its efficacy, this rubric was used to evaluate and compare student work from the CS and non-CS student cohorts in a mixed-major app design undergraduate course. Our analysis showed some significant differences between the cohorts, which were expected, as well as more subtle differences. The rubric demonstrated that it was sensitive to significant and subtle variations of MCT. The instrument is available for download and use.</v>
          </cell>
          <cell r="C108" t="str">
            <v>Undetermined</v>
          </cell>
          <cell r="D108" t="str">
            <v>No</v>
          </cell>
          <cell r="E108" t="str">
            <v>No</v>
          </cell>
          <cell r="F108" t="str">
            <v>Yes</v>
          </cell>
          <cell r="G108" t="str">
            <v>Excluded</v>
          </cell>
          <cell r="H108" t="str">
            <v>Excluded: although the study introduces an assessment rubric for mobile computational thinking in App Inventor products, the focus is on validating an assessment instrument rather than describing a clear operationalization or mapping between CT and programming concepts.</v>
          </cell>
        </row>
        <row r="109">
          <cell r="A109" t="str">
            <v>The Role of Interactive Dynamics in Robotics Learning Environments for Fostering Computational Thinking</v>
          </cell>
          <cell r="B109" t="str">
            <v>This research investigates how interactive dynamics within robotics learning environments foster Computational Thinking (CT) among primary school students. Adopting classroom observations and semi-structured interviews, the study identified the "3A" CT process—abstraction, automation, and analysis—as a fundamental framework for understanding how students develop computational skills. Findings indicate that student-teacher interactions are crucial during the abstraction stage, aiding students in conceptualizing and structuring programming tasks. Student-robot interactions are essential in the automation stage, providing immediate feedback that helps students refine their programming. Student-student interactions, beneficial during the analysis stage, encourage collaborative problem-solving and critical assessment of programming strategies. These interactive dynamics, analysed through the lens of embodied cognition theory, emphasize the importance of hands-on, tangible learning experiences in enhancing CT. The study’s insights have significant implications for curriculum design, suggesting that targeted interactive dynamics can improve the effectiveness of robotics education and better prepare students for future technological challenges.</v>
          </cell>
          <cell r="C109" t="str">
            <v>Undetermined</v>
          </cell>
          <cell r="D109" t="str">
            <v>Yes</v>
          </cell>
          <cell r="E109" t="str">
            <v>Partially</v>
          </cell>
          <cell r="F109" t="str">
            <v>Yes</v>
          </cell>
          <cell r="G109" t="str">
            <v>Included</v>
          </cell>
          <cell r="H109" t="str">
            <v>Included for full-text screening: the study explicitly focuses on computational thinking in a robotics programming context and discusses abstraction, automation, and analysis in relation to students’ programming interactions, suggesting a possible operationalization between CT concepts and programming practices relevant to the study.</v>
          </cell>
        </row>
        <row r="110">
          <cell r="A110" t="str">
            <v>Evaluating Computational Thinking Practices in Early Childhood Education: Insights from an Intervention Bridging Research and Practice</v>
          </cell>
          <cell r="B110" t="str">
            <v>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Baden-Württemberg, Germany participated in the intervention. The overall evaluation using the TechCheck-K and the observation scale for CT unplugged activities (OSCTU) show significant improvements of students CT skills. I conclude by discussing the implications of these findings for the integration of CT in ECE. These insights contribute to bridging research and practice, offering a foundation for sustainable CT education initiatives for young learners.</v>
          </cell>
          <cell r="C110" t="str">
            <v>Manual_Revision</v>
          </cell>
          <cell r="D110" t="str">
            <v>Yes</v>
          </cell>
          <cell r="E110" t="str">
            <v>No</v>
          </cell>
          <cell r="F110" t="str">
            <v>No</v>
          </cell>
          <cell r="G110" t="str">
            <v>Excluded</v>
          </cell>
          <cell r="H110" t="str">
            <v>Excluded: although the study focuses on computational thinking practices and assessment in early childhood education, the abstract does not describe a programming activity or environment that would suggest a clear mapping between CT and programming.</v>
          </cell>
        </row>
        <row r="111">
          <cell r="A111" t="str">
            <v>Reading AI and Reading the World: Using an Interactive AI System to Promote Children's Understanding of AI Bias</v>
          </cell>
          <cell r="B111" t="str">
            <v>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Gutiérrez’s framework of critical pedagogy and sociocultural theory.</v>
          </cell>
          <cell r="C111" t="str">
            <v>Manual_Revision</v>
          </cell>
          <cell r="D111" t="str">
            <v>No</v>
          </cell>
          <cell r="E111" t="str">
            <v>No</v>
          </cell>
          <cell r="F111" t="str">
            <v>No</v>
          </cell>
          <cell r="G111" t="str">
            <v>Excluded</v>
          </cell>
          <cell r="H111" t="str">
            <v>Excluded: although the study involves an interactive AI system, the focus is on children’s understanding of AI bias and critical reflection rather than computational thinking in a programming context.</v>
          </cell>
        </row>
        <row r="112">
          <cell r="A112" t="str">
            <v>Conceptions and Misconceptions about Computational Thinking among Italian Primary School Teachers</v>
          </cell>
          <cell r="B112" t="str">
            <v>Many advanced countries are recognizing more and more the importance of teaching computing, in some cases even as early as in primary school. "Computational thinking" is the term often used to denote the conceptual core of computer science or "the way a computer scientist thinks", as Wing put it. Such term - given also the lack of a widely accepted definition - has become a "buzzword" meaning different things to different people. We investigated the Italian primary school teachers' conceptions about computational thinking by analyzing the results of a survey (N=972) conducted in the context of "Programma il Futuro" project. Teachers have been asked to provide a definition of computational thinking and to answer three additional related closed-ended questions. The analysis shows that, while almost half of teachers (43.4%) have included in their definitions some fundamental elements of computational thinking, very few (10.8%) have been able to provide an acceptably complete definition. On a more positive note, the majority is aware that computational thinking is not characterized by coding or by the use of information technology.</v>
          </cell>
          <cell r="C112" t="str">
            <v>Manual_Revision</v>
          </cell>
          <cell r="D112" t="str">
            <v>Yes</v>
          </cell>
          <cell r="E112" t="str">
            <v>No</v>
          </cell>
          <cell r="F112" t="str">
            <v>Partially</v>
          </cell>
          <cell r="G112" t="str">
            <v>Excluded</v>
          </cell>
          <cell r="H112" t="str">
            <v>Excluded: although the study examines teachers’ conceptions of computational thinking, the focus is on definitions and perceptions of CT rather than a programming context with a clear operationalization or mapping between CT and programming.</v>
          </cell>
        </row>
        <row r="113">
          <cell r="A113" t="str">
            <v>Computational thinking for teacher education</v>
          </cell>
          <cell r="B113" t="str">
            <v>This framework for developing pre-service teachers' knowledge does not necessarily depend on computers or other educational technology.</v>
          </cell>
          <cell r="C113" t="str">
            <v>Manual_Revision</v>
          </cell>
          <cell r="D113" t="str">
            <v>Yes</v>
          </cell>
          <cell r="E113" t="str">
            <v>No</v>
          </cell>
          <cell r="F113" t="str">
            <v>Partially</v>
          </cell>
          <cell r="G113" t="str">
            <v>Excluded</v>
          </cell>
          <cell r="H113" t="str">
            <v>Excluded: although the study discusses a framework for developing teachers’ computational thinking knowledge, the abstract explicitly states that the approach does not depend on computers or educational technology, suggesting no programming context or mapping between CT and programming.</v>
          </cell>
        </row>
        <row r="114">
          <cell r="A114" t="str">
            <v>Students Want to Create Apps: Leveraging Computational Thinking to Teach Mobile Software Development</v>
          </cell>
          <cell r="B114" t="str">
            <v>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"pen and paper'") of increasing difficulty. The school was repeated twice at our university and was targeted to a reduced class of students concluding the third and the fourth year of high school. Participants were in total 19 and coming from different types of schools. This paper describes the structure of MobileDev and discusses the results to provide directions for further research.</v>
          </cell>
          <cell r="C114" t="str">
            <v>Manual_Revision</v>
          </cell>
          <cell r="D114" t="str">
            <v>Yes</v>
          </cell>
          <cell r="E114" t="str">
            <v>No</v>
          </cell>
          <cell r="F114" t="str">
            <v>Yes</v>
          </cell>
          <cell r="G114" t="str">
            <v>Excluded</v>
          </cell>
          <cell r="H114" t="str">
            <v>Excluded: although the study discusses computational thinking through mobile app programming, the focus is on introducing and motivating CT learning in a summer school setting rather than a clear operationalization or mapping between CT and programming.</v>
          </cell>
        </row>
        <row r="115">
          <cell r="A115" t="str">
            <v>A new perspective on computational thinking</v>
          </cell>
          <cell r="B115" t="str">
            <v>Addressing its cognitive essence, universal value, and curricular practices.</v>
          </cell>
          <cell r="C115" t="str">
            <v>Manual_Revision</v>
          </cell>
          <cell r="D115" t="str">
            <v>Yes</v>
          </cell>
          <cell r="E115" t="str">
            <v>No</v>
          </cell>
          <cell r="F115" t="str">
            <v>No</v>
          </cell>
          <cell r="G115" t="str">
            <v>Excluded</v>
          </cell>
          <cell r="H115" t="str">
            <v>Excluded: the abstract does not provide sufficient information about a programming context or a clear operationalization or mapping between CT and programming.</v>
          </cell>
        </row>
        <row r="116">
          <cell r="A116" t="str">
            <v>Educational Robotics Summer Camp at IPB: A Challenge based learning case study</v>
          </cell>
          <cell r="B116" t="str">
            <v xml:space="preserve">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 ça Portugal, being its technological aspects related with 
mobile robotics. Other than the technological aspects, the students 
participated in many different cultural and social activities, having 
the opportunity to know the city of Bragança and also to know 
different persons, mainly students, professors, researchers and 
laboratory technicians. The applied approach in the summer camp 
was a challenge based learning methodology, being involved in the 
experiment 3 professors, 4 monitors, working with a group of 16 
secondary school students. The described experiment was planned 
as an activity of the RoboSTEAM - Integrating STEAM and 
Computational Thinking development by using robotics and 
physical devices ERASMUS+ Project. </v>
          </cell>
          <cell r="C116" t="str">
            <v>Manual_Revision</v>
          </cell>
          <cell r="D116" t="str">
            <v>Yes</v>
          </cell>
          <cell r="E116" t="str">
            <v>No</v>
          </cell>
          <cell r="F116" t="str">
            <v>Partially</v>
          </cell>
          <cell r="G116" t="str">
            <v>Excluded</v>
          </cell>
          <cell r="H116" t="str">
            <v>Excluded: although the study is situated in an educational robotics context linked to CT development, the abstract focuses on the summer camp experience and challenge-based learning rather than a clear operationalization or mapping between CT and programming.</v>
          </cell>
        </row>
        <row r="117">
          <cell r="A117" t="str">
            <v>Reported Development of Computational Thinking, Through Computer Science and Programming, and its Benefits for Primary School Students: (Abstract Only)</v>
          </cell>
          <cell r="B117" t="str">
            <v>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"Computational Thinking". Like the majority of countries who have introduced these topics, NZ faces challenges in preparing teachers, and in successfully implementing a curriculum which achieves its educational goals. To support this curriculum, we have been conducting studies in primary schools across NZ, trialing resources with teachers and students.
Building on a 2014 exploratory study on CS and programming in intermediate school, this project investigates the existing assumptions around CT education in K-12. It aims to address the specific questions: How do we teach CT concepts and approaches to primary aged students? If they learn CT, does it have the expected positive impacts on students learning? And, what other positive and negative impacts does this have?
Throughout 2015 and 2016 a study was conducted with 18 primary school teachers from across NZ, who used CS Unplugged and educational programming languages in their classrooms. Teachers submitted feedback on these classes through an online form, and participated in semi-structured interviews. The feedback responses and interview transcripts were analysed using a thematic approach, which revealed many positive impacts on students general learning, minimal negative impacts, and observations of CT development.</v>
          </cell>
          <cell r="C117" t="str">
            <v>Manual_Revision</v>
          </cell>
          <cell r="D117" t="str">
            <v>Yes</v>
          </cell>
          <cell r="E117" t="str">
            <v>No</v>
          </cell>
          <cell r="F117" t="str">
            <v>Yes</v>
          </cell>
          <cell r="G117" t="str">
            <v>Excluded</v>
          </cell>
          <cell r="H117" t="str">
            <v>Excluded: although the study discusses computational thinking, computer science, and programming in primary education, the abstract mainly reports perceived impacts and implementation experiences rather than a clear operationalization or mapping between CT and programming.</v>
          </cell>
        </row>
        <row r="118">
          <cell r="A118" t="str">
            <v>Thinking about Computational Thinking: Lessons from Education Research</v>
          </cell>
          <cell r="B118" t="str">
            <v>Computational thinking (CT) is a means to help learners engage in Computational thinking (CT) is a means to help learners engage in authentic disciplinary and problem-solving practices of computer science (CS). For CS classrooms, CT is considered "thinking like a computer scientist". CT is believed to be an important learning goal of introductory CS in addition to CS concepts and programming. Despite the growing attention on CT in K-12 CS education, there is lingering confusion on the what and how of CT, and CT's relationship to coding and CS. Education research on disciplinary thinking skills in science and mathematics education can provide guidance for teaching and learning of CT. For example, (a) The shift in emphasis on disciplinary thinking helps focus on deeper conceptual understanding rather than rote learning of knowledge and facts. Hence thinking like a scientist, or mathematician, historian or computer scientist, draws attention to authentic practices of those disciplines. (b) Thinking skills are best taught in context. Therefore, CT should be taught in CS classrooms or integrated into learning of other subjects rather than taught as a separate skill or subject. (c) Even if there is no transfer beyond the context in which they are taught, a focus on thinking skills helps in deeper conceptual learning; (d) Like critical or creative thinking, CT should be integrated into other subjects to enrich learning. Research on meaningful technology integration across subjects provides useful frameworks to inform CT integration efforts. This talk aims to productively move the discourse on CT toward concrete ideas for K-12 educators, researchers, and curricular designers.</v>
          </cell>
          <cell r="C118" t="str">
            <v>Manual_Revision</v>
          </cell>
          <cell r="D118" t="str">
            <v>Yes</v>
          </cell>
          <cell r="E118" t="str">
            <v>No</v>
          </cell>
          <cell r="F118" t="str">
            <v>No</v>
          </cell>
          <cell r="G118" t="str">
            <v>Excluded</v>
          </cell>
          <cell r="H118" t="str">
            <v>Excluded: although the study discusses the relationship between computational thinking, coding, and computer science, it is primarily conceptual and does not provide a clear operationalization or mapping between CT and programming.</v>
          </cell>
        </row>
        <row r="119">
          <cell r="A119" t="str">
            <v>Observing Computational Thinking Skills of Kindergarten Children</v>
          </cell>
          <cell r="B119" t="str">
            <v>Computational Thinking skills along with reading, writing, andcalculating skills are basic skills for children’s future. ComputationalThinking has much in common with problem-solving and creativethinking in general. With regard to Karl Popper "all life is problem-solving" [26 ], this contribution focuses on the common featuresof problem-solving and unplugged Computational Thinking, byusing a special set of Computational Thinking tasks (INGA-Box).Choosing a mix of deductive and inductive approach, a classificationscheme for observing the development of Computational Thinkingin kindergarten was developed and evaluated with first datasets.</v>
          </cell>
          <cell r="C119" t="str">
            <v>Manual_Revision</v>
          </cell>
          <cell r="D119" t="str">
            <v>Yes</v>
          </cell>
          <cell r="E119" t="str">
            <v>No</v>
          </cell>
          <cell r="F119" t="str">
            <v>No</v>
          </cell>
          <cell r="G119" t="str">
            <v>Excluded</v>
          </cell>
          <cell r="H119" t="str">
            <v>Excluded: although the study examines computational thinking skills through unplugged tasks, the abstract does not describe a programming context or a clear mapping between CT and programming.</v>
          </cell>
        </row>
        <row r="120">
          <cell r="A120" t="str">
            <v>Current status and enhancement strategies for developing computational thinking of high school students in blended learning --Take the high school information technology curriculum as an example</v>
          </cell>
          <cell r="B120" t="str">
            <v>In the information age, computational thinking has become a basic quality necessary for learners. How to effectively improve the teaching effect and cultivate students' computational thinking ability has become the focus of most scholars. With the extensive development of "Internet+", the traditional face-to-face offline teaching mode has been unable to meet the diversified and personalized learning needs of students, and blended learning has become a brand-new teaching mode, and studies have shown that blended learning can effectively improve the computational thinking ability of learners. Therefore, this study analyzes and discusses the current situation of high school students' computational thinking ability in blended learning, which helps us to deeply understand the current situation of high school students' blended learning, think about how to promote high school students' blended learning, and improve high school students' computational thinking ability, so as to promote the quality of education and teaching. In this study, the literature research method, interview analysis method and questionnaire survey method were used to investigate the current situation of blended teaching activities on the cultivation of computational thinking with 138 freshmen, sophomores and juniors in a high school in western China. The results found that the overall situation of computational thinking level in blended learning of students in a high school in western China was moderate. This was characterized by better levels of cooperative and critical thinking skills, and poorer levels of creativity, algorithmic thinking and problem solving skills. By describing the current situation, it can be seen that there are some problems in the level of computational thinking ability of high school students in blended learning, based on this, this study, based on the specific research data, combined with the results of the interviews, puts forward some suggestions for improving the cultivation of high school students' computational thinking ability in blended learning in a high school in western China in three aspects.</v>
          </cell>
          <cell r="C120" t="str">
            <v>Manual_Revision</v>
          </cell>
          <cell r="D120" t="str">
            <v>Yes</v>
          </cell>
          <cell r="E120" t="str">
            <v>No</v>
          </cell>
          <cell r="F120" t="str">
            <v>No</v>
          </cell>
          <cell r="G120" t="str">
            <v>Excluded</v>
          </cell>
          <cell r="H120" t="str">
            <v>Excluded: although the study examines computational thinking development and refers to algorithmic thinking and problem solving, the focus is on blended learning and educational outcomes rather than a programming context with a clear operationalization or mapping between CT and programming.</v>
          </cell>
        </row>
        <row r="121">
          <cell r="A121" t="str">
            <v>Problock: A tool for computational thinking development using problem-based learning</v>
          </cell>
          <cell r="B121" t="str">
            <v>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v>
          </cell>
          <cell r="C121" t="str">
            <v>Manual_Revision</v>
          </cell>
          <cell r="D121" t="str">
            <v>Yes</v>
          </cell>
          <cell r="E121" t="str">
            <v>Partially</v>
          </cell>
          <cell r="F121" t="str">
            <v>Yes</v>
          </cell>
          <cell r="G121" t="str">
            <v>Included</v>
          </cell>
          <cell r="H121" t="str">
            <v>Included for full-text screening: the study explicitly focuses on computational thinking in a context involving programming and algorithms and proposes a tool intended to support CT development through problem-based learning, suggesting a possible operationalization between CT and programming relevant to the study.</v>
          </cell>
        </row>
        <row r="122">
          <cell r="A122" t="str">
            <v>Scaling Up Collaborative Dialogue Analysis: An AI-driven Approach to Understanding Dialogue Patterns in Computational Thinking Education</v>
          </cell>
          <cell r="B122" t="str">
            <v>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v>
          </cell>
          <cell r="C122" t="str">
            <v>Disagreement</v>
          </cell>
          <cell r="D122" t="str">
            <v>Yes</v>
          </cell>
          <cell r="E122" t="str">
            <v>No</v>
          </cell>
          <cell r="F122" t="str">
            <v>Yes</v>
          </cell>
          <cell r="G122" t="str">
            <v>Excluded</v>
          </cell>
          <cell r="H122" t="str">
            <v>Excluded: although the study is situated in a pair-programming context and examines computational thinking performance, the focus is on dialogue analysis and interaction patterns rather than a clear operationalization or mapping between CT and programming.</v>
          </cell>
        </row>
        <row r="123">
          <cell r="A123" t="str">
            <v>Development and Validation of the Computational Thinking Concepts and Skills Test</v>
          </cell>
          <cell r="B123" t="str">
            <v>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v>
          </cell>
          <cell r="C123" t="str">
            <v>Disagreement</v>
          </cell>
          <cell r="D123" t="str">
            <v>Yes</v>
          </cell>
          <cell r="E123" t="str">
            <v>Partially</v>
          </cell>
          <cell r="F123" t="str">
            <v>Yes</v>
          </cell>
          <cell r="G123" t="str">
            <v>Included</v>
          </cell>
          <cell r="H123" t="str">
            <v>Included for full-text screening: the study explicitly focuses on the development of a computational thinking assessment and compares it with computer science knowledge measures, suggesting a possible operationalization of CT concepts and skills that may inform the study.</v>
          </cell>
        </row>
        <row r="124">
          <cell r="A124" t="str">
            <v>The Influence of Problem Solving Based Practice on Pupils' Computational Thinking</v>
          </cell>
          <cell r="B124" t="str">
            <v>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v>
          </cell>
          <cell r="C124" t="str">
            <v>Disagreement</v>
          </cell>
          <cell r="D124" t="str">
            <v>Yes</v>
          </cell>
          <cell r="E124" t="str">
            <v>No</v>
          </cell>
          <cell r="F124" t="str">
            <v>Partially</v>
          </cell>
          <cell r="G124" t="str">
            <v>Excluded</v>
          </cell>
          <cell r="H124" t="str">
            <v>Excluded: although the study discusses computational thinking in relation to programming ability and problem solving, the focus is on the effects of a pedagogical practice on learning outcomes rather than a clear mapping or operationalization between CT and programming.</v>
          </cell>
        </row>
        <row r="125">
          <cell r="A125" t="str">
            <v>ExposAR: Bringing Augmented Reality to the Computational Thinking Agenda through a Collaborative Authoring Tool</v>
          </cell>
          <cell r="B125" t="str">
            <v>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v>
          </cell>
          <cell r="C125" t="str">
            <v>Disagreement</v>
          </cell>
          <cell r="D125" t="str">
            <v>Yes</v>
          </cell>
          <cell r="E125" t="str">
            <v>No</v>
          </cell>
          <cell r="F125" t="str">
            <v>No</v>
          </cell>
          <cell r="G125" t="str">
            <v>Excluded</v>
          </cell>
          <cell r="H125" t="str">
            <v>Excluded: although the study addresses computational thinking through an authoring tool, the focus is on understanding augmented reality concepts and collaborative design rather than a programming context with a clear operationalization or mapping between CT and programming.</v>
          </cell>
        </row>
        <row r="126">
          <cell r="A126" t="str">
            <v>Beyond the Lab: Using Technology Toys to Engage South African Youth in Computational Thinking</v>
          </cell>
          <cell r="B126" t="str">
            <v>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v>
          </cell>
          <cell r="C126" t="str">
            <v>Disagreement</v>
          </cell>
          <cell r="D126" t="str">
            <v>Yes</v>
          </cell>
          <cell r="E126" t="str">
            <v>No</v>
          </cell>
          <cell r="F126" t="str">
            <v>No</v>
          </cell>
          <cell r="G126" t="str">
            <v>Excluded</v>
          </cell>
          <cell r="H126" t="str">
            <v>Excluded: although the study focuses on computational thinking development through technology toys, the programming context and the connection between CT and programming are not sufficiently explicit in the abstract.</v>
          </cell>
        </row>
        <row r="127">
          <cell r="A127" t="str">
            <v>Designing productive gradations of tasks in primary programming education</v>
          </cell>
          <cell r="B127" t="str">
            <v>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v>
          </cell>
          <cell r="C127" t="str">
            <v>Disagreement</v>
          </cell>
          <cell r="D127" t="str">
            <v>Yes</v>
          </cell>
          <cell r="E127" t="str">
            <v>No</v>
          </cell>
          <cell r="F127" t="str">
            <v>Partially</v>
          </cell>
          <cell r="G127" t="str">
            <v>Excluded</v>
          </cell>
          <cell r="H127" t="str">
            <v>Excluded: although the study is situated in primary programming education and mentions early computational thinking, the focus is on task difficulty and pedagogy rather than a clear operationalization or mapping between CT and programming.</v>
          </cell>
        </row>
        <row r="128">
          <cell r="A128" t="str">
            <v>Scaffolded Critique Rubrics: An Approach to Computational Thinking and AI Literacy in Teacher Education</v>
          </cell>
          <cell r="B128" t="str">
            <v>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v>
          </cell>
          <cell r="C128" t="str">
            <v>Disagreement</v>
          </cell>
          <cell r="D128" t="str">
            <v>Yes</v>
          </cell>
          <cell r="E128" t="str">
            <v>No</v>
          </cell>
          <cell r="F128" t="str">
            <v>Yes</v>
          </cell>
          <cell r="G128" t="str">
            <v>Excluded</v>
          </cell>
          <cell r="H128" t="str">
            <v>Excluded: although the study discusses computational thinking and refers to computing tools, the focus is on teacher education and AI literacy rather than a programming context with a clear operationalization or mapping between CT and programming.</v>
          </cell>
        </row>
        <row r="129">
          <cell r="A129" t="str">
            <v>Investigating the Impact of Computing vs Pedagogy Experience in Novices Creation of Computing-Infused Curricula</v>
          </cell>
          <cell r="B129" t="str">
            <v>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v>
          </cell>
          <cell r="C129" t="str">
            <v>Disagreement</v>
          </cell>
          <cell r="D129" t="str">
            <v>No</v>
          </cell>
          <cell r="E129" t="str">
            <v>No</v>
          </cell>
          <cell r="F129" t="str">
            <v>Yes</v>
          </cell>
          <cell r="G129" t="str">
            <v>Excluded</v>
          </cell>
          <cell r="H129" t="str">
            <v>Excluded: although the study involves block-based programming lessons, the focus is on curriculum design, scaffolding, and pedagogical practices rather than a clear operationalization or mapping between CT and programming.</v>
          </cell>
        </row>
        <row r="130">
          <cell r="A130" t="str">
            <v>Application of Concept Map in the Study of Computational Thinking Training</v>
          </cell>
          <cell r="B130" t="str">
            <v>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v>
          </cell>
          <cell r="C130" t="str">
            <v>Disagreement</v>
          </cell>
          <cell r="D130" t="str">
            <v>Yes</v>
          </cell>
          <cell r="E130" t="str">
            <v>Partially</v>
          </cell>
          <cell r="F130" t="str">
            <v>Partially</v>
          </cell>
          <cell r="G130" t="str">
            <v>Excluded</v>
          </cell>
          <cell r="H130" t="str">
            <v>Excluded: although the study explicitly mentions CT-related functions such as abstraction, modeling, and debugging, the focus is on concept maps as a pedagogical strategy to support CT development rather than a clear operationalization or mapping between CT and programming.</v>
          </cell>
        </row>
        <row r="131">
          <cell r="A131" t="str">
            <v>Teachers' Perspective on Implementing Computational Thinking in Elementary Classrooms</v>
          </cell>
          <cell r="B131" t="str">
            <v>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v>
          </cell>
          <cell r="C131" t="str">
            <v>Disagreement</v>
          </cell>
          <cell r="D131" t="str">
            <v>Yes</v>
          </cell>
          <cell r="E131" t="str">
            <v>No</v>
          </cell>
          <cell r="F131" t="str">
            <v>No</v>
          </cell>
          <cell r="G131" t="str">
            <v>Excluded</v>
          </cell>
          <cell r="H131" t="str">
            <v>Excluded: although the study discusses computational thinking concepts and their implementation in STEM learning activities, the focus is on teachers’ perspectives and barriers to implementation rather than a programming context with a clear operationalization or mapping between CT and programming.</v>
          </cell>
        </row>
        <row r="132">
          <cell r="A132" t="str">
            <v>Impact of Computational Thinking in Engineering and K12 Education</v>
          </cell>
          <cell r="B132" t="str">
            <v>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v>
          </cell>
          <cell r="C132" t="str">
            <v>Disagreement</v>
          </cell>
          <cell r="D132" t="str">
            <v>Yes</v>
          </cell>
          <cell r="E132" t="str">
            <v>No</v>
          </cell>
          <cell r="F132" t="str">
            <v>Yes</v>
          </cell>
          <cell r="G132" t="str">
            <v>Excluded</v>
          </cell>
          <cell r="H132" t="str">
            <v>Excluded: although the paper discusses computational thinking and mentions programming, algorithms, and problem-solving strategies, it is primarily conceptual and does not provide sufficient evidence of a clear operationalization or mapping between CT and programming.</v>
          </cell>
        </row>
        <row r="133">
          <cell r="A133" t="str">
            <v>Construction and Practice of Programming Ability Evaluation Framework from the Perspective of Learning Analysis Technology</v>
          </cell>
          <cell r="B133" t="str">
            <v>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v>
          </cell>
          <cell r="C133" t="str">
            <v>Disagreement</v>
          </cell>
          <cell r="D133" t="str">
            <v>No</v>
          </cell>
          <cell r="E133" t="str">
            <v>No</v>
          </cell>
          <cell r="F133" t="str">
            <v>Yes</v>
          </cell>
          <cell r="G133" t="str">
            <v>Excluded</v>
          </cell>
          <cell r="H133" t="str">
            <v>Excluded: although the study focuses on programming ability assessment, computational thinking is not a central focus of the study and the abstract does not provide sufficient evidence of a mapping between CT and programming.</v>
          </cell>
        </row>
        <row r="134">
          <cell r="A134" t="str">
            <v>Computing for the Critters: Exploring Computational Thinking of Children in an Informal Learning Setting</v>
          </cell>
          <cell r="B134" t="str">
            <v>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v>
          </cell>
          <cell r="C134" t="str">
            <v>Disagreement</v>
          </cell>
          <cell r="D134" t="str">
            <v>Yes</v>
          </cell>
          <cell r="E134" t="str">
            <v>No</v>
          </cell>
          <cell r="F134" t="str">
            <v>Yes</v>
          </cell>
          <cell r="G134" t="str">
            <v>Excluded</v>
          </cell>
          <cell r="H134" t="str">
            <v>Excluded: although the study explores computational thinking in a coding game context, the focus is on children’s engagement with CT competencies in an informal setting rather than a clear operationalization or mapping between CT and programming.</v>
          </cell>
        </row>
        <row r="135">
          <cell r="A135" t="str">
            <v>Research on blended teaching reform based on computational thinking</v>
          </cell>
          <cell r="B135" t="str">
            <v>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v>
          </cell>
          <cell r="C135" t="str">
            <v>Disagreement</v>
          </cell>
          <cell r="D135" t="str">
            <v>Yes</v>
          </cell>
          <cell r="E135" t="str">
            <v>No</v>
          </cell>
          <cell r="F135" t="str">
            <v>Yes</v>
          </cell>
          <cell r="G135" t="str">
            <v>Excluded</v>
          </cell>
          <cell r="H135" t="str">
            <v>Excluded: although the study integrates computational thinking into a C programming course, the focus is on a blended teaching model and learning performance rather than a clear operationalization or mapping between CT and programming.</v>
          </cell>
        </row>
        <row r="136">
          <cell r="A136" t="str">
            <v>Discovering Programming Talent and Improving Learning Motivation with CodeCombat in K-12 Education</v>
          </cell>
          <cell r="B136" t="str">
            <v>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v>
          </cell>
          <cell r="C136" t="str">
            <v>Disagreement</v>
          </cell>
          <cell r="D136" t="str">
            <v>Yes</v>
          </cell>
          <cell r="E136" t="str">
            <v>No</v>
          </cell>
          <cell r="F136" t="str">
            <v>Yes</v>
          </cell>
          <cell r="G136" t="str">
            <v>Excluded</v>
          </cell>
          <cell r="H136" t="str">
            <v>Excluded: although the study discusses computational thinking and programming through CodeCombat and CT-related instruments, the focus is on talent identification and learning motivation rather than a clear mapping between CT elements and programming elements.</v>
          </cell>
        </row>
        <row r="137">
          <cell r="A137" t="str">
            <v>Empowering Elementary Students' Scratch Programming Skills Through a Jigsaw Collaborative Learning Method in a Metaverse Virtual Space</v>
          </cell>
          <cell r="B137" t="str">
            <v>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v>
          </cell>
          <cell r="C137" t="str">
            <v>Disagreement</v>
          </cell>
          <cell r="D137" t="str">
            <v>Yes</v>
          </cell>
          <cell r="E137" t="str">
            <v>No</v>
          </cell>
          <cell r="F137" t="str">
            <v>Yes</v>
          </cell>
          <cell r="G137" t="str">
            <v>Excluded</v>
          </cell>
          <cell r="H137" t="str">
            <v>Excluded: although the study focuses on Scratch programming and computational thinking, the abstract mainly evaluates learning performance and CT outcomes rather than describing a clear operationalization or connection between CT and programming.</v>
          </cell>
        </row>
        <row r="138">
          <cell r="A138" t="str">
            <v>Learning Sequencing with Bee-Bot: A Study on Improving Computational Thinking and Motivation for Young Learners in Programming Education</v>
          </cell>
          <cell r="B138" t="str">
            <v>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v>
          </cell>
          <cell r="C138" t="str">
            <v>Disagreement</v>
          </cell>
          <cell r="D138" t="str">
            <v>Yes</v>
          </cell>
          <cell r="E138" t="str">
            <v>Partially</v>
          </cell>
          <cell r="F138" t="str">
            <v>Yes</v>
          </cell>
          <cell r="G138" t="str">
            <v>Included</v>
          </cell>
          <cell r="H138" t="str">
            <v>Included for full-text screening: although the BCT instrument does not explicitly map CT elements to programming elements, the study discusses sequencing, loops, and conditions (CT concepts aligned with Brennan &amp; Resnick) within Bee-Bot programming activities, suggesting a possible connection between CT concepts and programming relevant to the study.</v>
          </cell>
        </row>
        <row r="139">
          <cell r="A139" t="str">
            <v>A Practice-Oriented Computational Thinking Framework for Teaching Neural Networks to Working Professionals</v>
          </cell>
          <cell r="B139" t="str">
            <v>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v>
          </cell>
          <cell r="C139" t="str">
            <v>Disagreement</v>
          </cell>
          <cell r="D139" t="str">
            <v>Yes</v>
          </cell>
          <cell r="E139" t="str">
            <v>No</v>
          </cell>
          <cell r="F139" t="str">
            <v>Yes</v>
          </cell>
          <cell r="G139" t="str">
            <v>Excluded</v>
          </cell>
          <cell r="H139" t="str">
            <v>Excluded: although the study proposes a computational thinking framework, the focus is on neural network applications for working professionals rather than a programming context with a clear operationalization or mapping between CT and programming.</v>
          </cell>
        </row>
        <row r="140">
          <cell r="A140" t="str">
            <v>Intricate but Often Overlooked Challenges of Elementary Students' Programming with Educational Robotics: A Case Study</v>
          </cell>
          <cell r="B140" t="str">
            <v>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v>
          </cell>
          <cell r="C140" t="str">
            <v>Disagreement</v>
          </cell>
          <cell r="D140" t="str">
            <v>Yes</v>
          </cell>
          <cell r="E140" t="str">
            <v>No</v>
          </cell>
          <cell r="F140" t="str">
            <v>Yes</v>
          </cell>
          <cell r="G140" t="str">
            <v>Excluded</v>
          </cell>
          <cell r="H140" t="str">
            <v>Excluded: the abstract does not provide sufficient evidence of a clear connection between computational thinking and programming based on the screening criteria.</v>
          </cell>
        </row>
        <row r="141">
          <cell r="A141" t="str">
            <v>Effect of Scratch on computational thinking skills of Chinese primary school students</v>
          </cell>
          <cell r="B141" t="str">
            <v>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v>
          </cell>
          <cell r="C141" t="str">
            <v>Disagreement</v>
          </cell>
          <cell r="D141" t="str">
            <v>Yes</v>
          </cell>
          <cell r="E141" t="str">
            <v>No</v>
          </cell>
          <cell r="F141" t="str">
            <v>Yes</v>
          </cell>
          <cell r="G141" t="str">
            <v>Excluded</v>
          </cell>
          <cell r="H141" t="str">
            <v>Excluded: although the study examines computational thinking development through Scratch and uses a CT assessment instrument, the focus is on changes in CT outcomes rather than a clear mapping or operationalization between CT and programming elements.</v>
          </cell>
        </row>
        <row r="142">
          <cell r="A142" t="str">
            <v>A Scoping Review of Empirical Research on Recent Computational Thinking Assessments</v>
          </cell>
          <cell r="B142" t="str">
            <v>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v>
          </cell>
          <cell r="C142" t="str">
            <v>Disagreement</v>
          </cell>
          <cell r="D142" t="str">
            <v>Yes</v>
          </cell>
          <cell r="E142" t="str">
            <v>Partially</v>
          </cell>
          <cell r="F142" t="str">
            <v>Yes</v>
          </cell>
          <cell r="G142" t="str">
            <v>Included</v>
          </cell>
          <cell r="H142" t="str">
            <v>Included for full-text screening: the review explicitly examines computational thinking assessments and discusses CT concepts and practices across frameworks, suggesting a possible mapping of CT elements that can be linked to Brennan &amp; Resnick Framework, however, it would be ssefulueuful to make a full-text analysis to provethis..</v>
          </cell>
        </row>
        <row r="143">
          <cell r="A143" t="str">
            <v>The effect of scaffolding programming games and attitudes towards programming on the development of Computational Thinking</v>
          </cell>
          <cell r="B143" t="str">
            <v>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v>
          </cell>
          <cell r="C143" t="str">
            <v>Disagreement</v>
          </cell>
          <cell r="D143" t="str">
            <v>Yes</v>
          </cell>
          <cell r="E143" t="str">
            <v>No</v>
          </cell>
          <cell r="F143" t="str">
            <v>Yes</v>
          </cell>
          <cell r="G143" t="str">
            <v>Excluded</v>
          </cell>
        </row>
        <row r="144">
          <cell r="A144" t="str">
            <v>Physics Teachers’ Motivations to Learn Computational Thinking as a Re-novicing Experience</v>
          </cell>
          <cell r="B144" t="str">
            <v>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v>
          </cell>
          <cell r="C144" t="str">
            <v>Disagreement</v>
          </cell>
          <cell r="D144" t="str">
            <v>Yes</v>
          </cell>
          <cell r="E144" t="str">
            <v>No</v>
          </cell>
          <cell r="F144" t="str">
            <v>Yes</v>
          </cell>
          <cell r="G144" t="str">
            <v>Excluded</v>
          </cell>
          <cell r="H144" t="str">
            <v>Excluded: although the study addresses computational thinking and programming through Python workshops, the focus is on teachers’ motivations and professional learning rather than a clear operationalization or mapping between CT and programming.</v>
          </cell>
        </row>
        <row r="145">
          <cell r="A145" t="str">
            <v>Combining Maker Technologies to Promote Computational Thinking and Heartware skills through Project-based Activities: Design Considerations and Empirical Outputs</v>
          </cell>
          <cell r="B145" t="str">
            <v>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v>
          </cell>
          <cell r="C145" t="str">
            <v>Disagreement</v>
          </cell>
          <cell r="D145" t="str">
            <v>Yes</v>
          </cell>
          <cell r="E145" t="str">
            <v>No</v>
          </cell>
          <cell r="F145" t="str">
            <v>Yes</v>
          </cell>
          <cell r="G145" t="str">
            <v>Excluded</v>
          </cell>
          <cell r="H145" t="str">
            <v>Excluded: although the study focuses on computational thinking in maker and robotics activities, the abstract emphasizes workshop design and CT development outcomes rather than a clear operationalization or connection between CT and programming.</v>
          </cell>
        </row>
        <row r="146">
          <cell r="A146" t="str">
            <v>Combining Game-Based Learning with Design Thinking Using Block-Based Programming to Enhance Computational Thinking and Creative Game for Primary Students</v>
          </cell>
          <cell r="B146" t="str">
            <v>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v>
          </cell>
          <cell r="C146" t="str">
            <v>Disagreement</v>
          </cell>
          <cell r="D146" t="str">
            <v>Yes</v>
          </cell>
          <cell r="E146" t="str">
            <v>No</v>
          </cell>
          <cell r="F146" t="str">
            <v>Yes</v>
          </cell>
          <cell r="G146" t="str">
            <v>Excluded</v>
          </cell>
          <cell r="H146" t="str">
            <v>Excluded: although computational thinking and block-based programming are central to the intervention, the study mainly evaluates learning outcomes and system effectiveness rather than describing a clear mapping or operationalization between CT and programming.</v>
          </cell>
        </row>
        <row r="147">
          <cell r="A147" t="str">
            <v>Unplugged versus Plugged-In: Examining Basic Programming Achievement and Computational Thinking of 6th-Grade Students</v>
          </cell>
          <cell r="B147" t="str">
            <v>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v>
          </cell>
          <cell r="C147" t="str">
            <v>Disagreement</v>
          </cell>
          <cell r="D147" t="str">
            <v>Yes</v>
          </cell>
          <cell r="E147" t="str">
            <v>No</v>
          </cell>
          <cell r="F147" t="str">
            <v>Yes</v>
          </cell>
          <cell r="G147" t="str">
            <v>Excluded</v>
          </cell>
          <cell r="H147" t="str">
            <v>Excluded: although the study examines computational thinking and programming achievement, CT is mainly measured as an educational outcome across unplugged and plugged-in activities, without sufficient evidence of a clear operationalization or mapping between CT and programming</v>
          </cell>
        </row>
        <row r="148">
          <cell r="A148" t="str">
            <v>Digital Equity and Computational Thinking Privilege: The Case of First-Year Engineering and Computing Students’ Attitudes towards Artificial Intelligence.</v>
          </cell>
          <cell r="B148" t="str">
            <v>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v>
          </cell>
          <cell r="C148" t="str">
            <v>Disagreement</v>
          </cell>
          <cell r="D148" t="str">
            <v>Yes</v>
          </cell>
          <cell r="E148" t="str">
            <v>No</v>
          </cell>
          <cell r="F148" t="str">
            <v>No</v>
          </cell>
          <cell r="G148" t="str">
            <v>Excluded</v>
          </cell>
          <cell r="H148" t="str">
            <v>Excluded: although computational thinking and computing are discussed, the study primarily focuses on attitudes toward AI, digital equity, and academic performance rather than a clear connection or operationalization between CT and programming.</v>
          </cell>
        </row>
        <row r="149">
          <cell r="A149" t="str">
            <v>Assessing implicit computational thinking in Zoombinis puzzle gameplay</v>
          </cell>
          <cell r="B149" t="str">
            <v>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v>
          </cell>
          <cell r="C149" t="str">
            <v>Disagreement</v>
          </cell>
          <cell r="D149" t="str">
            <v>Yes</v>
          </cell>
          <cell r="E149" t="str">
            <v>No</v>
          </cell>
          <cell r="F149" t="str">
            <v>No</v>
          </cell>
          <cell r="G149" t="str">
            <v>Excluded</v>
          </cell>
          <cell r="H149" t="str">
            <v>Excluded: although the study focuses on computational thinking assessment through gameplay, the programming context is not sufficiently explicit and the abstract does not provide a clear operationalization between CT and programming.</v>
          </cell>
        </row>
        <row r="150">
          <cell r="A150" t="str">
            <v>The development of students’ computational thinking practices in elementary- and middle-school classes using the learning game, Zoombinis</v>
          </cell>
          <cell r="B150" t="str">
            <v>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v>
          </cell>
          <cell r="C150" t="str">
            <v>Disagreement</v>
          </cell>
          <cell r="D150" t="str">
            <v>Yes</v>
          </cell>
          <cell r="E150" t="str">
            <v>No</v>
          </cell>
          <cell r="F150" t="str">
            <v>No</v>
          </cell>
          <cell r="G150" t="str">
            <v>Excluded</v>
          </cell>
          <cell r="H150" t="str">
            <v>Excluded: although the study examines computational thinking practices through a learning game, the abstract emphasizes gameplay and CT assessment rather than a programming context with a clear connection or operationalization between CT and programming.</v>
          </cell>
        </row>
        <row r="151">
          <cell r="A151" t="str">
            <v>Secondary school students’ computational thinking skills, group cohesion, and performance in problem-based programming education</v>
          </cell>
          <cell r="B151" t="str">
            <v>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v>
          </cell>
          <cell r="C151" t="str">
            <v>Disagreement</v>
          </cell>
          <cell r="D151" t="str">
            <v>Yes</v>
          </cell>
          <cell r="E151" t="str">
            <v>No</v>
          </cell>
          <cell r="F151" t="str">
            <v>Yes</v>
          </cell>
          <cell r="G151" t="str">
            <v>Excluded</v>
          </cell>
          <cell r="H151" t="str">
            <v>Excluded: although the study addresses computational thinking in a Scratch programming context, the focus is on the effects of problem-based learning on performance, collaboration, and CT outcomes rather than a clear operationalization or mapping between CT and programming.</v>
          </cell>
        </row>
        <row r="152">
          <cell r="A152" t="str">
            <v>Computational thinking and programming with Arduino in education: A systematic review for secondary education</v>
          </cell>
          <cell r="B152" t="str">
            <v>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v>
          </cell>
          <cell r="C152" t="str">
            <v>Disagreement</v>
          </cell>
          <cell r="D152" t="str">
            <v>Yes</v>
          </cell>
          <cell r="E152" t="str">
            <v>No</v>
          </cell>
          <cell r="F152" t="str">
            <v>Yes</v>
          </cell>
          <cell r="G152" t="str">
            <v>Excluded</v>
          </cell>
          <cell r="H152" t="str">
            <v>Excluded: although the review discusses computational thinking and programming in Arduino-based educational initiatives, the focus is on implementation, benefits, and educational outcomes rather than a clear operationalization or mapping between CT and programming.</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6"/>
  <sheetViews>
    <sheetView workbookViewId="0">
      <pane ySplit="1" topLeftCell="A2" activePane="bottomLeft" state="frozen"/>
      <selection pane="bottomLeft" activeCell="A2" sqref="A2"/>
    </sheetView>
  </sheetViews>
  <sheetFormatPr defaultRowHeight="15" x14ac:dyDescent="0.25"/>
  <cols>
    <col min="1" max="2" width="55" customWidth="1"/>
    <col min="3" max="3" width="18" customWidth="1"/>
    <col min="4" max="4" width="55" customWidth="1"/>
    <col min="5" max="5" width="23" customWidth="1"/>
    <col min="6" max="7" width="29" customWidth="1"/>
    <col min="8" max="9" width="16" customWidth="1"/>
    <col min="10" max="10" width="20" customWidth="1"/>
    <col min="11" max="11" width="13" customWidth="1"/>
    <col min="12" max="14" width="14" customWidth="1"/>
    <col min="15" max="15" width="16" customWidth="1"/>
    <col min="16" max="16" width="18" customWidth="1"/>
    <col min="17" max="17" width="25" customWidth="1"/>
    <col min="18" max="18" width="55" customWidth="1"/>
    <col min="19" max="19" width="27" customWidth="1"/>
    <col min="20" max="20" width="55" customWidth="1"/>
    <col min="21" max="23" width="14" customWidth="1"/>
    <col min="24" max="24" width="16" customWidth="1"/>
    <col min="25" max="25" width="18" customWidth="1"/>
    <col min="26" max="26" width="25" customWidth="1"/>
    <col min="27" max="27" width="55" customWidth="1"/>
    <col min="28" max="28" width="27" customWidth="1"/>
    <col min="29" max="29" width="55" customWidth="1"/>
    <col min="30" max="32" width="14" customWidth="1"/>
    <col min="33" max="33" width="16" customWidth="1"/>
    <col min="34" max="34" width="18" customWidth="1"/>
    <col min="35" max="35" width="25" customWidth="1"/>
    <col min="36" max="36" width="55" customWidth="1"/>
    <col min="37" max="37" width="27" customWidth="1"/>
    <col min="38" max="38" width="55" customWidth="1"/>
  </cols>
  <sheetData>
    <row r="1" spans="1:38"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405" x14ac:dyDescent="0.25">
      <c r="A2" s="2" t="s">
        <v>38</v>
      </c>
      <c r="B2" s="2" t="s">
        <v>39</v>
      </c>
      <c r="C2" s="2" t="s">
        <v>40</v>
      </c>
      <c r="D2" s="2"/>
      <c r="E2" s="2" t="s">
        <v>40</v>
      </c>
      <c r="F2" s="2" t="s">
        <v>41</v>
      </c>
      <c r="G2" s="2" t="s">
        <v>42</v>
      </c>
      <c r="H2" s="2">
        <v>3</v>
      </c>
      <c r="I2" s="2">
        <v>0</v>
      </c>
      <c r="J2" s="2">
        <v>0</v>
      </c>
      <c r="K2" s="2">
        <v>0</v>
      </c>
      <c r="L2" s="2" t="s">
        <v>43</v>
      </c>
      <c r="M2" s="2" t="s">
        <v>43</v>
      </c>
      <c r="N2" s="2" t="s">
        <v>43</v>
      </c>
      <c r="O2" s="2" t="s">
        <v>40</v>
      </c>
      <c r="P2" s="2" t="s">
        <v>44</v>
      </c>
      <c r="Q2" s="2" t="s">
        <v>45</v>
      </c>
      <c r="R2" s="2" t="s">
        <v>46</v>
      </c>
      <c r="S2" s="2" t="s">
        <v>42</v>
      </c>
      <c r="T2" s="2" t="s">
        <v>47</v>
      </c>
      <c r="U2" s="2" t="s">
        <v>43</v>
      </c>
      <c r="V2" s="2" t="s">
        <v>43</v>
      </c>
      <c r="W2" s="2" t="s">
        <v>43</v>
      </c>
      <c r="X2" s="2" t="s">
        <v>40</v>
      </c>
      <c r="Y2" s="2" t="s">
        <v>44</v>
      </c>
      <c r="Z2" s="2" t="s">
        <v>45</v>
      </c>
      <c r="AA2" s="2" t="s">
        <v>46</v>
      </c>
      <c r="AB2" s="2" t="s">
        <v>48</v>
      </c>
      <c r="AC2" s="2" t="s">
        <v>49</v>
      </c>
      <c r="AD2" s="2" t="s">
        <v>43</v>
      </c>
      <c r="AE2" s="2" t="s">
        <v>43</v>
      </c>
      <c r="AF2" s="2" t="s">
        <v>43</v>
      </c>
      <c r="AG2" s="2" t="s">
        <v>40</v>
      </c>
      <c r="AH2" s="2" t="s">
        <v>44</v>
      </c>
      <c r="AI2" s="2" t="s">
        <v>45</v>
      </c>
      <c r="AJ2" s="2" t="s">
        <v>46</v>
      </c>
      <c r="AK2" s="2" t="s">
        <v>42</v>
      </c>
      <c r="AL2" s="2" t="s">
        <v>50</v>
      </c>
    </row>
    <row r="3" spans="1:38" ht="300" x14ac:dyDescent="0.25">
      <c r="A3" s="2" t="s">
        <v>51</v>
      </c>
      <c r="B3" s="2" t="s">
        <v>52</v>
      </c>
      <c r="C3" s="2" t="s">
        <v>40</v>
      </c>
      <c r="D3" s="2"/>
      <c r="E3" s="2" t="s">
        <v>40</v>
      </c>
      <c r="F3" s="2" t="s">
        <v>41</v>
      </c>
      <c r="G3" s="2" t="s">
        <v>42</v>
      </c>
      <c r="H3" s="2">
        <v>3</v>
      </c>
      <c r="I3" s="2">
        <v>0</v>
      </c>
      <c r="J3" s="2">
        <v>0</v>
      </c>
      <c r="K3" s="2">
        <v>0</v>
      </c>
      <c r="L3" s="2" t="s">
        <v>43</v>
      </c>
      <c r="M3" s="2" t="s">
        <v>53</v>
      </c>
      <c r="N3" s="2" t="s">
        <v>43</v>
      </c>
      <c r="O3" s="2" t="s">
        <v>40</v>
      </c>
      <c r="P3" s="2" t="s">
        <v>54</v>
      </c>
      <c r="Q3" s="2" t="s">
        <v>45</v>
      </c>
      <c r="R3" s="2" t="s">
        <v>46</v>
      </c>
      <c r="S3" s="2" t="s">
        <v>42</v>
      </c>
      <c r="T3" s="2" t="s">
        <v>55</v>
      </c>
      <c r="U3" s="2" t="s">
        <v>43</v>
      </c>
      <c r="V3" s="2" t="s">
        <v>53</v>
      </c>
      <c r="W3" s="2" t="s">
        <v>43</v>
      </c>
      <c r="X3" s="2" t="s">
        <v>40</v>
      </c>
      <c r="Y3" s="2" t="s">
        <v>54</v>
      </c>
      <c r="Z3" s="2" t="s">
        <v>45</v>
      </c>
      <c r="AA3" s="2" t="s">
        <v>46</v>
      </c>
      <c r="AB3" s="2" t="s">
        <v>42</v>
      </c>
      <c r="AC3" s="2" t="s">
        <v>56</v>
      </c>
      <c r="AD3" s="2" t="s">
        <v>43</v>
      </c>
      <c r="AE3" s="2" t="s">
        <v>53</v>
      </c>
      <c r="AF3" s="2" t="s">
        <v>43</v>
      </c>
      <c r="AG3" s="2" t="s">
        <v>40</v>
      </c>
      <c r="AH3" s="2" t="s">
        <v>54</v>
      </c>
      <c r="AI3" s="2" t="s">
        <v>45</v>
      </c>
      <c r="AJ3" s="2" t="s">
        <v>46</v>
      </c>
      <c r="AK3" s="2" t="s">
        <v>42</v>
      </c>
      <c r="AL3" s="2" t="s">
        <v>57</v>
      </c>
    </row>
    <row r="4" spans="1:38" ht="409.5" x14ac:dyDescent="0.25">
      <c r="A4" s="2" t="s">
        <v>58</v>
      </c>
      <c r="B4" s="2" t="s">
        <v>59</v>
      </c>
      <c r="C4" s="2" t="s">
        <v>40</v>
      </c>
      <c r="D4" s="2"/>
      <c r="E4" s="2" t="s">
        <v>40</v>
      </c>
      <c r="F4" s="2" t="s">
        <v>41</v>
      </c>
      <c r="G4" s="2" t="s">
        <v>42</v>
      </c>
      <c r="H4" s="2">
        <v>3</v>
      </c>
      <c r="I4" s="2">
        <v>0</v>
      </c>
      <c r="J4" s="2">
        <v>0</v>
      </c>
      <c r="K4" s="2">
        <v>0</v>
      </c>
      <c r="L4" s="2" t="s">
        <v>43</v>
      </c>
      <c r="M4" s="2" t="s">
        <v>43</v>
      </c>
      <c r="N4" s="2" t="s">
        <v>43</v>
      </c>
      <c r="O4" s="2" t="s">
        <v>40</v>
      </c>
      <c r="P4" s="2" t="s">
        <v>44</v>
      </c>
      <c r="Q4" s="2" t="s">
        <v>45</v>
      </c>
      <c r="R4" s="2" t="s">
        <v>46</v>
      </c>
      <c r="S4" s="2" t="s">
        <v>42</v>
      </c>
      <c r="T4" s="2" t="s">
        <v>60</v>
      </c>
      <c r="U4" s="2" t="s">
        <v>43</v>
      </c>
      <c r="V4" s="2" t="s">
        <v>53</v>
      </c>
      <c r="W4" s="2" t="s">
        <v>43</v>
      </c>
      <c r="X4" s="2" t="s">
        <v>40</v>
      </c>
      <c r="Y4" s="2" t="s">
        <v>44</v>
      </c>
      <c r="Z4" s="2" t="s">
        <v>45</v>
      </c>
      <c r="AA4" s="2" t="s">
        <v>46</v>
      </c>
      <c r="AB4" s="2" t="s">
        <v>42</v>
      </c>
      <c r="AC4" s="2" t="s">
        <v>61</v>
      </c>
      <c r="AD4" s="2" t="s">
        <v>43</v>
      </c>
      <c r="AE4" s="2" t="s">
        <v>43</v>
      </c>
      <c r="AF4" s="2" t="s">
        <v>43</v>
      </c>
      <c r="AG4" s="2" t="s">
        <v>40</v>
      </c>
      <c r="AH4" s="2" t="s">
        <v>44</v>
      </c>
      <c r="AI4" s="2" t="s">
        <v>45</v>
      </c>
      <c r="AJ4" s="2" t="s">
        <v>46</v>
      </c>
      <c r="AK4" s="2" t="s">
        <v>42</v>
      </c>
      <c r="AL4" s="2" t="s">
        <v>60</v>
      </c>
    </row>
    <row r="5" spans="1:38" ht="409.5" x14ac:dyDescent="0.25">
      <c r="A5" s="2" t="s">
        <v>62</v>
      </c>
      <c r="B5" s="2" t="s">
        <v>63</v>
      </c>
      <c r="C5" s="2" t="s">
        <v>40</v>
      </c>
      <c r="D5" s="2"/>
      <c r="E5" s="2" t="s">
        <v>40</v>
      </c>
      <c r="F5" s="2" t="s">
        <v>41</v>
      </c>
      <c r="G5" s="2" t="s">
        <v>42</v>
      </c>
      <c r="H5" s="2">
        <v>3</v>
      </c>
      <c r="I5" s="2">
        <v>0</v>
      </c>
      <c r="J5" s="2">
        <v>0</v>
      </c>
      <c r="K5" s="2">
        <v>0</v>
      </c>
      <c r="L5" s="2" t="s">
        <v>43</v>
      </c>
      <c r="M5" s="2" t="s">
        <v>43</v>
      </c>
      <c r="N5" s="2" t="s">
        <v>43</v>
      </c>
      <c r="O5" s="2" t="s">
        <v>40</v>
      </c>
      <c r="P5" s="2" t="s">
        <v>44</v>
      </c>
      <c r="Q5" s="2" t="s">
        <v>45</v>
      </c>
      <c r="R5" s="2" t="s">
        <v>46</v>
      </c>
      <c r="S5" s="2" t="s">
        <v>42</v>
      </c>
      <c r="T5" s="2" t="s">
        <v>64</v>
      </c>
      <c r="U5" s="2" t="s">
        <v>43</v>
      </c>
      <c r="V5" s="2" t="s">
        <v>43</v>
      </c>
      <c r="W5" s="2" t="s">
        <v>43</v>
      </c>
      <c r="X5" s="2" t="s">
        <v>40</v>
      </c>
      <c r="Y5" s="2" t="s">
        <v>44</v>
      </c>
      <c r="Z5" s="2" t="s">
        <v>45</v>
      </c>
      <c r="AA5" s="2" t="s">
        <v>46</v>
      </c>
      <c r="AB5" s="2" t="s">
        <v>42</v>
      </c>
      <c r="AC5" s="2" t="s">
        <v>65</v>
      </c>
      <c r="AD5" s="2" t="s">
        <v>43</v>
      </c>
      <c r="AE5" s="2" t="s">
        <v>43</v>
      </c>
      <c r="AF5" s="2" t="s">
        <v>43</v>
      </c>
      <c r="AG5" s="2" t="s">
        <v>40</v>
      </c>
      <c r="AH5" s="2" t="s">
        <v>44</v>
      </c>
      <c r="AI5" s="2" t="s">
        <v>45</v>
      </c>
      <c r="AJ5" s="2" t="s">
        <v>46</v>
      </c>
      <c r="AK5" s="2" t="s">
        <v>42</v>
      </c>
      <c r="AL5" s="2" t="s">
        <v>66</v>
      </c>
    </row>
    <row r="6" spans="1:38" ht="409.5" x14ac:dyDescent="0.25">
      <c r="A6" s="2" t="s">
        <v>67</v>
      </c>
      <c r="B6" s="2" t="s">
        <v>68</v>
      </c>
      <c r="C6" s="2" t="s">
        <v>40</v>
      </c>
      <c r="D6" s="2"/>
      <c r="E6" s="2" t="s">
        <v>40</v>
      </c>
      <c r="F6" s="2" t="s">
        <v>41</v>
      </c>
      <c r="G6" s="2" t="s">
        <v>48</v>
      </c>
      <c r="H6" s="2">
        <v>3</v>
      </c>
      <c r="I6" s="2">
        <v>0</v>
      </c>
      <c r="J6" s="2">
        <v>0</v>
      </c>
      <c r="K6" s="2">
        <v>0</v>
      </c>
      <c r="L6" s="2" t="s">
        <v>43</v>
      </c>
      <c r="M6" s="2" t="s">
        <v>43</v>
      </c>
      <c r="N6" s="2" t="s">
        <v>43</v>
      </c>
      <c r="O6" s="2" t="s">
        <v>40</v>
      </c>
      <c r="P6" s="2" t="s">
        <v>44</v>
      </c>
      <c r="Q6" s="2" t="s">
        <v>45</v>
      </c>
      <c r="R6" s="2" t="s">
        <v>46</v>
      </c>
      <c r="S6" s="2" t="s">
        <v>48</v>
      </c>
      <c r="T6" s="2" t="s">
        <v>69</v>
      </c>
      <c r="U6" s="2" t="s">
        <v>43</v>
      </c>
      <c r="V6" s="2" t="s">
        <v>43</v>
      </c>
      <c r="W6" s="2" t="s">
        <v>43</v>
      </c>
      <c r="X6" s="2" t="s">
        <v>40</v>
      </c>
      <c r="Y6" s="2" t="s">
        <v>44</v>
      </c>
      <c r="Z6" s="2" t="s">
        <v>45</v>
      </c>
      <c r="AA6" s="2" t="s">
        <v>46</v>
      </c>
      <c r="AB6" s="2" t="s">
        <v>48</v>
      </c>
      <c r="AC6" s="2" t="s">
        <v>70</v>
      </c>
      <c r="AD6" s="2" t="s">
        <v>43</v>
      </c>
      <c r="AE6" s="2" t="s">
        <v>43</v>
      </c>
      <c r="AF6" s="2" t="s">
        <v>43</v>
      </c>
      <c r="AG6" s="2" t="s">
        <v>40</v>
      </c>
      <c r="AH6" s="2" t="s">
        <v>44</v>
      </c>
      <c r="AI6" s="2" t="s">
        <v>45</v>
      </c>
      <c r="AJ6" s="2" t="s">
        <v>46</v>
      </c>
      <c r="AK6" s="2" t="s">
        <v>42</v>
      </c>
      <c r="AL6" s="2" t="s">
        <v>70</v>
      </c>
    </row>
    <row r="7" spans="1:38" ht="285" x14ac:dyDescent="0.25">
      <c r="A7" s="2" t="s">
        <v>71</v>
      </c>
      <c r="B7" s="2" t="s">
        <v>72</v>
      </c>
      <c r="C7" s="2" t="s">
        <v>40</v>
      </c>
      <c r="D7" s="2"/>
      <c r="E7" s="2" t="s">
        <v>40</v>
      </c>
      <c r="F7" s="2" t="s">
        <v>41</v>
      </c>
      <c r="G7" s="2" t="s">
        <v>42</v>
      </c>
      <c r="H7" s="2">
        <v>3</v>
      </c>
      <c r="I7" s="2">
        <v>0</v>
      </c>
      <c r="J7" s="2">
        <v>0</v>
      </c>
      <c r="K7" s="2">
        <v>0</v>
      </c>
      <c r="L7" s="2" t="s">
        <v>43</v>
      </c>
      <c r="M7" s="2" t="s">
        <v>43</v>
      </c>
      <c r="N7" s="2" t="s">
        <v>43</v>
      </c>
      <c r="O7" s="2" t="s">
        <v>40</v>
      </c>
      <c r="P7" s="2" t="s">
        <v>44</v>
      </c>
      <c r="Q7" s="2" t="s">
        <v>45</v>
      </c>
      <c r="R7" s="2" t="s">
        <v>46</v>
      </c>
      <c r="S7" s="2" t="s">
        <v>42</v>
      </c>
      <c r="T7" s="2" t="s">
        <v>73</v>
      </c>
      <c r="U7" s="2" t="s">
        <v>43</v>
      </c>
      <c r="V7" s="2" t="s">
        <v>43</v>
      </c>
      <c r="W7" s="2" t="s">
        <v>43</v>
      </c>
      <c r="X7" s="2" t="s">
        <v>40</v>
      </c>
      <c r="Y7" s="2" t="s">
        <v>44</v>
      </c>
      <c r="Z7" s="2" t="s">
        <v>45</v>
      </c>
      <c r="AA7" s="2" t="s">
        <v>46</v>
      </c>
      <c r="AB7" s="2" t="s">
        <v>42</v>
      </c>
      <c r="AC7" s="2" t="s">
        <v>74</v>
      </c>
      <c r="AD7" s="2" t="s">
        <v>43</v>
      </c>
      <c r="AE7" s="2" t="s">
        <v>43</v>
      </c>
      <c r="AF7" s="2" t="s">
        <v>43</v>
      </c>
      <c r="AG7" s="2" t="s">
        <v>40</v>
      </c>
      <c r="AH7" s="2" t="s">
        <v>44</v>
      </c>
      <c r="AI7" s="2" t="s">
        <v>45</v>
      </c>
      <c r="AJ7" s="2" t="s">
        <v>46</v>
      </c>
      <c r="AK7" s="2" t="s">
        <v>42</v>
      </c>
      <c r="AL7" s="2" t="s">
        <v>74</v>
      </c>
    </row>
    <row r="8" spans="1:38" ht="210" x14ac:dyDescent="0.25">
      <c r="A8" s="2" t="s">
        <v>75</v>
      </c>
      <c r="B8" s="2" t="s">
        <v>76</v>
      </c>
      <c r="C8" s="2" t="s">
        <v>40</v>
      </c>
      <c r="D8" s="2"/>
      <c r="E8" s="2" t="s">
        <v>40</v>
      </c>
      <c r="F8" s="2" t="s">
        <v>41</v>
      </c>
      <c r="G8" s="2" t="s">
        <v>42</v>
      </c>
      <c r="H8" s="2">
        <v>3</v>
      </c>
      <c r="I8" s="2">
        <v>0</v>
      </c>
      <c r="J8" s="2">
        <v>0</v>
      </c>
      <c r="K8" s="2">
        <v>0</v>
      </c>
      <c r="L8" s="2" t="s">
        <v>43</v>
      </c>
      <c r="M8" s="2" t="s">
        <v>43</v>
      </c>
      <c r="N8" s="2" t="s">
        <v>43</v>
      </c>
      <c r="O8" s="2" t="s">
        <v>40</v>
      </c>
      <c r="P8" s="2" t="s">
        <v>44</v>
      </c>
      <c r="Q8" s="2" t="s">
        <v>45</v>
      </c>
      <c r="R8" s="2" t="s">
        <v>46</v>
      </c>
      <c r="S8" s="2" t="s">
        <v>42</v>
      </c>
      <c r="T8" s="2" t="s">
        <v>77</v>
      </c>
      <c r="U8" s="2" t="s">
        <v>43</v>
      </c>
      <c r="V8" s="2" t="s">
        <v>43</v>
      </c>
      <c r="W8" s="2" t="s">
        <v>43</v>
      </c>
      <c r="X8" s="2" t="s">
        <v>40</v>
      </c>
      <c r="Y8" s="2" t="s">
        <v>44</v>
      </c>
      <c r="Z8" s="2" t="s">
        <v>45</v>
      </c>
      <c r="AA8" s="2" t="s">
        <v>46</v>
      </c>
      <c r="AB8" s="2" t="s">
        <v>42</v>
      </c>
      <c r="AC8" s="2" t="s">
        <v>77</v>
      </c>
      <c r="AD8" s="2" t="s">
        <v>43</v>
      </c>
      <c r="AE8" s="2" t="s">
        <v>43</v>
      </c>
      <c r="AF8" s="2" t="s">
        <v>43</v>
      </c>
      <c r="AG8" s="2" t="s">
        <v>40</v>
      </c>
      <c r="AH8" s="2" t="s">
        <v>44</v>
      </c>
      <c r="AI8" s="2" t="s">
        <v>45</v>
      </c>
      <c r="AJ8" s="2" t="s">
        <v>46</v>
      </c>
      <c r="AK8" s="2" t="s">
        <v>42</v>
      </c>
      <c r="AL8" s="2" t="s">
        <v>77</v>
      </c>
    </row>
    <row r="9" spans="1:38" ht="285" x14ac:dyDescent="0.25">
      <c r="A9" s="2" t="s">
        <v>78</v>
      </c>
      <c r="B9" s="2" t="s">
        <v>79</v>
      </c>
      <c r="C9" s="2" t="s">
        <v>40</v>
      </c>
      <c r="D9" s="2"/>
      <c r="E9" s="2" t="s">
        <v>40</v>
      </c>
      <c r="F9" s="2" t="s">
        <v>41</v>
      </c>
      <c r="G9" s="2" t="s">
        <v>42</v>
      </c>
      <c r="H9" s="2">
        <v>3</v>
      </c>
      <c r="I9" s="2">
        <v>0</v>
      </c>
      <c r="J9" s="2">
        <v>0</v>
      </c>
      <c r="K9" s="2">
        <v>0</v>
      </c>
      <c r="L9" s="2" t="s">
        <v>43</v>
      </c>
      <c r="M9" s="2" t="s">
        <v>53</v>
      </c>
      <c r="N9" s="2" t="s">
        <v>43</v>
      </c>
      <c r="O9" s="2" t="s">
        <v>40</v>
      </c>
      <c r="P9" s="2" t="s">
        <v>54</v>
      </c>
      <c r="Q9" s="2" t="s">
        <v>45</v>
      </c>
      <c r="R9" s="2" t="s">
        <v>46</v>
      </c>
      <c r="S9" s="2" t="s">
        <v>42</v>
      </c>
      <c r="T9" s="2" t="s">
        <v>80</v>
      </c>
      <c r="U9" s="2" t="s">
        <v>43</v>
      </c>
      <c r="V9" s="2" t="s">
        <v>53</v>
      </c>
      <c r="W9" s="2" t="s">
        <v>43</v>
      </c>
      <c r="X9" s="2" t="s">
        <v>40</v>
      </c>
      <c r="Y9" s="2" t="s">
        <v>54</v>
      </c>
      <c r="Z9" s="2" t="s">
        <v>45</v>
      </c>
      <c r="AA9" s="2" t="s">
        <v>46</v>
      </c>
      <c r="AB9" s="2" t="s">
        <v>42</v>
      </c>
      <c r="AC9" s="2" t="s">
        <v>81</v>
      </c>
      <c r="AD9" s="2" t="s">
        <v>43</v>
      </c>
      <c r="AE9" s="2" t="s">
        <v>53</v>
      </c>
      <c r="AF9" s="2" t="s">
        <v>43</v>
      </c>
      <c r="AG9" s="2" t="s">
        <v>40</v>
      </c>
      <c r="AH9" s="2" t="s">
        <v>54</v>
      </c>
      <c r="AI9" s="2" t="s">
        <v>45</v>
      </c>
      <c r="AJ9" s="2" t="s">
        <v>46</v>
      </c>
      <c r="AK9" s="2" t="s">
        <v>42</v>
      </c>
      <c r="AL9" s="2" t="s">
        <v>81</v>
      </c>
    </row>
    <row r="10" spans="1:38" ht="345" x14ac:dyDescent="0.25">
      <c r="A10" s="2" t="s">
        <v>82</v>
      </c>
      <c r="B10" s="2" t="s">
        <v>83</v>
      </c>
      <c r="C10" s="2" t="s">
        <v>40</v>
      </c>
      <c r="D10" s="2"/>
      <c r="E10" s="2" t="s">
        <v>40</v>
      </c>
      <c r="F10" s="2" t="s">
        <v>41</v>
      </c>
      <c r="G10" s="2" t="s">
        <v>42</v>
      </c>
      <c r="H10" s="2">
        <v>3</v>
      </c>
      <c r="I10" s="2">
        <v>0</v>
      </c>
      <c r="J10" s="2">
        <v>0</v>
      </c>
      <c r="K10" s="2">
        <v>0</v>
      </c>
      <c r="L10" s="2" t="s">
        <v>43</v>
      </c>
      <c r="M10" s="2" t="s">
        <v>53</v>
      </c>
      <c r="N10" s="2" t="s">
        <v>43</v>
      </c>
      <c r="O10" s="2" t="s">
        <v>40</v>
      </c>
      <c r="P10" s="2" t="s">
        <v>44</v>
      </c>
      <c r="Q10" s="2" t="s">
        <v>45</v>
      </c>
      <c r="R10" s="2" t="s">
        <v>46</v>
      </c>
      <c r="S10" s="2" t="s">
        <v>42</v>
      </c>
      <c r="T10" s="2" t="s">
        <v>84</v>
      </c>
      <c r="U10" s="2" t="s">
        <v>43</v>
      </c>
      <c r="V10" s="2" t="s">
        <v>53</v>
      </c>
      <c r="W10" s="2" t="s">
        <v>43</v>
      </c>
      <c r="X10" s="2" t="s">
        <v>40</v>
      </c>
      <c r="Y10" s="2" t="s">
        <v>44</v>
      </c>
      <c r="Z10" s="2" t="s">
        <v>45</v>
      </c>
      <c r="AA10" s="2" t="s">
        <v>46</v>
      </c>
      <c r="AB10" s="2" t="s">
        <v>42</v>
      </c>
      <c r="AC10" s="2" t="s">
        <v>85</v>
      </c>
      <c r="AD10" s="2" t="s">
        <v>43</v>
      </c>
      <c r="AE10" s="2" t="s">
        <v>53</v>
      </c>
      <c r="AF10" s="2" t="s">
        <v>43</v>
      </c>
      <c r="AG10" s="2" t="s">
        <v>40</v>
      </c>
      <c r="AH10" s="2" t="s">
        <v>44</v>
      </c>
      <c r="AI10" s="2" t="s">
        <v>45</v>
      </c>
      <c r="AJ10" s="2" t="s">
        <v>46</v>
      </c>
      <c r="AK10" s="2" t="s">
        <v>42</v>
      </c>
      <c r="AL10" s="2" t="s">
        <v>86</v>
      </c>
    </row>
    <row r="11" spans="1:38" ht="345" x14ac:dyDescent="0.25">
      <c r="A11" s="2" t="s">
        <v>87</v>
      </c>
      <c r="B11" s="2" t="s">
        <v>88</v>
      </c>
      <c r="C11" s="2" t="s">
        <v>40</v>
      </c>
      <c r="D11" s="2"/>
      <c r="E11" s="2" t="s">
        <v>40</v>
      </c>
      <c r="F11" s="2" t="s">
        <v>41</v>
      </c>
      <c r="G11" s="2" t="s">
        <v>48</v>
      </c>
      <c r="H11" s="2">
        <v>3</v>
      </c>
      <c r="I11" s="2">
        <v>0</v>
      </c>
      <c r="J11" s="2">
        <v>0</v>
      </c>
      <c r="K11" s="2">
        <v>0</v>
      </c>
      <c r="L11" s="2" t="s">
        <v>43</v>
      </c>
      <c r="M11" s="2" t="s">
        <v>43</v>
      </c>
      <c r="N11" s="2" t="s">
        <v>43</v>
      </c>
      <c r="O11" s="2" t="s">
        <v>40</v>
      </c>
      <c r="P11" s="2" t="s">
        <v>44</v>
      </c>
      <c r="Q11" s="2" t="s">
        <v>45</v>
      </c>
      <c r="R11" s="2" t="s">
        <v>46</v>
      </c>
      <c r="S11" s="2" t="s">
        <v>48</v>
      </c>
      <c r="T11" s="2" t="s">
        <v>89</v>
      </c>
      <c r="U11" s="2" t="s">
        <v>43</v>
      </c>
      <c r="V11" s="2" t="s">
        <v>43</v>
      </c>
      <c r="W11" s="2" t="s">
        <v>43</v>
      </c>
      <c r="X11" s="2" t="s">
        <v>40</v>
      </c>
      <c r="Y11" s="2" t="s">
        <v>44</v>
      </c>
      <c r="Z11" s="2" t="s">
        <v>45</v>
      </c>
      <c r="AA11" s="2" t="s">
        <v>46</v>
      </c>
      <c r="AB11" s="2" t="s">
        <v>48</v>
      </c>
      <c r="AC11" s="2" t="s">
        <v>90</v>
      </c>
      <c r="AD11" s="2" t="s">
        <v>43</v>
      </c>
      <c r="AE11" s="2" t="s">
        <v>43</v>
      </c>
      <c r="AF11" s="2" t="s">
        <v>43</v>
      </c>
      <c r="AG11" s="2" t="s">
        <v>40</v>
      </c>
      <c r="AH11" s="2" t="s">
        <v>44</v>
      </c>
      <c r="AI11" s="2" t="s">
        <v>45</v>
      </c>
      <c r="AJ11" s="2" t="s">
        <v>46</v>
      </c>
      <c r="AK11" s="2" t="s">
        <v>48</v>
      </c>
      <c r="AL11" s="2" t="s">
        <v>89</v>
      </c>
    </row>
    <row r="12" spans="1:38" ht="150" x14ac:dyDescent="0.25">
      <c r="A12" s="2" t="s">
        <v>91</v>
      </c>
      <c r="B12" s="2" t="s">
        <v>92</v>
      </c>
      <c r="C12" s="2" t="s">
        <v>40</v>
      </c>
      <c r="D12" s="2"/>
      <c r="E12" s="2" t="s">
        <v>40</v>
      </c>
      <c r="F12" s="2" t="s">
        <v>41</v>
      </c>
      <c r="G12" s="2" t="s">
        <v>42</v>
      </c>
      <c r="H12" s="2">
        <v>3</v>
      </c>
      <c r="I12" s="2">
        <v>0</v>
      </c>
      <c r="J12" s="2">
        <v>0</v>
      </c>
      <c r="K12" s="2">
        <v>0</v>
      </c>
      <c r="L12" s="2" t="s">
        <v>43</v>
      </c>
      <c r="M12" s="2" t="s">
        <v>43</v>
      </c>
      <c r="N12" s="2" t="s">
        <v>43</v>
      </c>
      <c r="O12" s="2" t="s">
        <v>40</v>
      </c>
      <c r="P12" s="2" t="s">
        <v>44</v>
      </c>
      <c r="Q12" s="2" t="s">
        <v>45</v>
      </c>
      <c r="R12" s="2" t="s">
        <v>46</v>
      </c>
      <c r="S12" s="2" t="s">
        <v>42</v>
      </c>
      <c r="T12" s="2" t="s">
        <v>93</v>
      </c>
      <c r="U12" s="2" t="s">
        <v>43</v>
      </c>
      <c r="V12" s="2" t="s">
        <v>43</v>
      </c>
      <c r="W12" s="2" t="s">
        <v>43</v>
      </c>
      <c r="X12" s="2" t="s">
        <v>40</v>
      </c>
      <c r="Y12" s="2" t="s">
        <v>44</v>
      </c>
      <c r="Z12" s="2" t="s">
        <v>45</v>
      </c>
      <c r="AA12" s="2" t="s">
        <v>46</v>
      </c>
      <c r="AB12" s="2" t="s">
        <v>42</v>
      </c>
      <c r="AC12" s="2" t="s">
        <v>94</v>
      </c>
      <c r="AD12" s="2" t="s">
        <v>43</v>
      </c>
      <c r="AE12" s="2" t="s">
        <v>43</v>
      </c>
      <c r="AF12" s="2" t="s">
        <v>43</v>
      </c>
      <c r="AG12" s="2" t="s">
        <v>40</v>
      </c>
      <c r="AH12" s="2" t="s">
        <v>44</v>
      </c>
      <c r="AI12" s="2" t="s">
        <v>45</v>
      </c>
      <c r="AJ12" s="2" t="s">
        <v>46</v>
      </c>
      <c r="AK12" s="2" t="s">
        <v>42</v>
      </c>
      <c r="AL12" s="2" t="s">
        <v>95</v>
      </c>
    </row>
    <row r="13" spans="1:38" ht="285" x14ac:dyDescent="0.25">
      <c r="A13" s="2" t="s">
        <v>96</v>
      </c>
      <c r="B13" s="2" t="s">
        <v>97</v>
      </c>
      <c r="C13" s="2" t="s">
        <v>40</v>
      </c>
      <c r="D13" s="2"/>
      <c r="E13" s="2" t="s">
        <v>40</v>
      </c>
      <c r="F13" s="2" t="s">
        <v>41</v>
      </c>
      <c r="G13" s="2" t="s">
        <v>42</v>
      </c>
      <c r="H13" s="2">
        <v>3</v>
      </c>
      <c r="I13" s="2">
        <v>0</v>
      </c>
      <c r="J13" s="2">
        <v>0</v>
      </c>
      <c r="K13" s="2">
        <v>0</v>
      </c>
      <c r="L13" s="2" t="s">
        <v>43</v>
      </c>
      <c r="M13" s="2" t="s">
        <v>53</v>
      </c>
      <c r="N13" s="2" t="s">
        <v>43</v>
      </c>
      <c r="O13" s="2" t="s">
        <v>40</v>
      </c>
      <c r="P13" s="2" t="s">
        <v>54</v>
      </c>
      <c r="Q13" s="2" t="s">
        <v>45</v>
      </c>
      <c r="R13" s="2" t="s">
        <v>46</v>
      </c>
      <c r="S13" s="2" t="s">
        <v>42</v>
      </c>
      <c r="T13" s="2" t="s">
        <v>98</v>
      </c>
      <c r="U13" s="2" t="s">
        <v>43</v>
      </c>
      <c r="V13" s="2" t="s">
        <v>53</v>
      </c>
      <c r="W13" s="2" t="s">
        <v>43</v>
      </c>
      <c r="X13" s="2" t="s">
        <v>40</v>
      </c>
      <c r="Y13" s="2" t="s">
        <v>54</v>
      </c>
      <c r="Z13" s="2" t="s">
        <v>45</v>
      </c>
      <c r="AA13" s="2" t="s">
        <v>46</v>
      </c>
      <c r="AB13" s="2" t="s">
        <v>42</v>
      </c>
      <c r="AC13" s="2" t="s">
        <v>99</v>
      </c>
      <c r="AD13" s="2" t="s">
        <v>43</v>
      </c>
      <c r="AE13" s="2" t="s">
        <v>53</v>
      </c>
      <c r="AF13" s="2" t="s">
        <v>43</v>
      </c>
      <c r="AG13" s="2" t="s">
        <v>40</v>
      </c>
      <c r="AH13" s="2" t="s">
        <v>54</v>
      </c>
      <c r="AI13" s="2" t="s">
        <v>45</v>
      </c>
      <c r="AJ13" s="2" t="s">
        <v>46</v>
      </c>
      <c r="AK13" s="2" t="s">
        <v>42</v>
      </c>
      <c r="AL13" s="2" t="s">
        <v>99</v>
      </c>
    </row>
    <row r="14" spans="1:38" ht="240" x14ac:dyDescent="0.25">
      <c r="A14" s="2" t="s">
        <v>100</v>
      </c>
      <c r="B14" s="2" t="s">
        <v>101</v>
      </c>
      <c r="C14" s="2" t="s">
        <v>40</v>
      </c>
      <c r="D14" s="2"/>
      <c r="E14" s="2" t="s">
        <v>40</v>
      </c>
      <c r="F14" s="2" t="s">
        <v>41</v>
      </c>
      <c r="G14" s="2" t="s">
        <v>42</v>
      </c>
      <c r="H14" s="2">
        <v>3</v>
      </c>
      <c r="I14" s="2">
        <v>0</v>
      </c>
      <c r="J14" s="2">
        <v>0</v>
      </c>
      <c r="K14" s="2">
        <v>0</v>
      </c>
      <c r="L14" s="2" t="s">
        <v>43</v>
      </c>
      <c r="M14" s="2" t="s">
        <v>43</v>
      </c>
      <c r="N14" s="2" t="s">
        <v>43</v>
      </c>
      <c r="O14" s="2" t="s">
        <v>40</v>
      </c>
      <c r="P14" s="2" t="s">
        <v>44</v>
      </c>
      <c r="Q14" s="2" t="s">
        <v>45</v>
      </c>
      <c r="R14" s="2" t="s">
        <v>46</v>
      </c>
      <c r="S14" s="2" t="s">
        <v>42</v>
      </c>
      <c r="T14" s="2" t="s">
        <v>102</v>
      </c>
      <c r="U14" s="2" t="s">
        <v>43</v>
      </c>
      <c r="V14" s="2" t="s">
        <v>43</v>
      </c>
      <c r="W14" s="2" t="s">
        <v>43</v>
      </c>
      <c r="X14" s="2" t="s">
        <v>40</v>
      </c>
      <c r="Y14" s="2" t="s">
        <v>44</v>
      </c>
      <c r="Z14" s="2" t="s">
        <v>45</v>
      </c>
      <c r="AA14" s="2" t="s">
        <v>46</v>
      </c>
      <c r="AB14" s="2" t="s">
        <v>42</v>
      </c>
      <c r="AC14" s="2" t="s">
        <v>103</v>
      </c>
      <c r="AD14" s="2" t="s">
        <v>43</v>
      </c>
      <c r="AE14" s="2" t="s">
        <v>53</v>
      </c>
      <c r="AF14" s="2" t="s">
        <v>43</v>
      </c>
      <c r="AG14" s="2" t="s">
        <v>40</v>
      </c>
      <c r="AH14" s="2" t="s">
        <v>44</v>
      </c>
      <c r="AI14" s="2" t="s">
        <v>45</v>
      </c>
      <c r="AJ14" s="2" t="s">
        <v>46</v>
      </c>
      <c r="AK14" s="2" t="s">
        <v>42</v>
      </c>
      <c r="AL14" s="2" t="s">
        <v>104</v>
      </c>
    </row>
    <row r="15" spans="1:38" ht="315" x14ac:dyDescent="0.25">
      <c r="A15" s="2" t="s">
        <v>105</v>
      </c>
      <c r="B15" s="2" t="s">
        <v>106</v>
      </c>
      <c r="C15" s="2" t="s">
        <v>40</v>
      </c>
      <c r="D15" s="2"/>
      <c r="E15" s="2" t="s">
        <v>40</v>
      </c>
      <c r="F15" s="2" t="s">
        <v>41</v>
      </c>
      <c r="G15" s="2" t="s">
        <v>48</v>
      </c>
      <c r="H15" s="2">
        <v>3</v>
      </c>
      <c r="I15" s="2">
        <v>0</v>
      </c>
      <c r="J15" s="2">
        <v>0</v>
      </c>
      <c r="K15" s="2">
        <v>0</v>
      </c>
      <c r="L15" s="2" t="s">
        <v>43</v>
      </c>
      <c r="M15" s="2" t="s">
        <v>43</v>
      </c>
      <c r="N15" s="2" t="s">
        <v>43</v>
      </c>
      <c r="O15" s="2" t="s">
        <v>40</v>
      </c>
      <c r="P15" s="2" t="s">
        <v>44</v>
      </c>
      <c r="Q15" s="2" t="s">
        <v>45</v>
      </c>
      <c r="R15" s="2" t="s">
        <v>46</v>
      </c>
      <c r="S15" s="2" t="s">
        <v>48</v>
      </c>
      <c r="T15" s="2" t="s">
        <v>107</v>
      </c>
      <c r="U15" s="2" t="s">
        <v>43</v>
      </c>
      <c r="V15" s="2" t="s">
        <v>43</v>
      </c>
      <c r="W15" s="2" t="s">
        <v>43</v>
      </c>
      <c r="X15" s="2" t="s">
        <v>40</v>
      </c>
      <c r="Y15" s="2" t="s">
        <v>44</v>
      </c>
      <c r="Z15" s="2" t="s">
        <v>45</v>
      </c>
      <c r="AA15" s="2" t="s">
        <v>46</v>
      </c>
      <c r="AB15" s="2" t="s">
        <v>48</v>
      </c>
      <c r="AC15" s="2" t="s">
        <v>107</v>
      </c>
      <c r="AD15" s="2" t="s">
        <v>43</v>
      </c>
      <c r="AE15" s="2" t="s">
        <v>43</v>
      </c>
      <c r="AF15" s="2" t="s">
        <v>43</v>
      </c>
      <c r="AG15" s="2" t="s">
        <v>40</v>
      </c>
      <c r="AH15" s="2" t="s">
        <v>44</v>
      </c>
      <c r="AI15" s="2" t="s">
        <v>45</v>
      </c>
      <c r="AJ15" s="2" t="s">
        <v>46</v>
      </c>
      <c r="AK15" s="2" t="s">
        <v>48</v>
      </c>
      <c r="AL15" s="2" t="s">
        <v>107</v>
      </c>
    </row>
    <row r="16" spans="1:38" ht="409.5" x14ac:dyDescent="0.25">
      <c r="A16" s="2" t="s">
        <v>108</v>
      </c>
      <c r="B16" s="2" t="s">
        <v>109</v>
      </c>
      <c r="C16" s="2" t="s">
        <v>40</v>
      </c>
      <c r="D16" s="2"/>
      <c r="E16" s="2" t="s">
        <v>40</v>
      </c>
      <c r="F16" s="2" t="s">
        <v>41</v>
      </c>
      <c r="G16" s="2" t="s">
        <v>48</v>
      </c>
      <c r="H16" s="2">
        <v>3</v>
      </c>
      <c r="I16" s="2">
        <v>0</v>
      </c>
      <c r="J16" s="2">
        <v>0</v>
      </c>
      <c r="K16" s="2">
        <v>0</v>
      </c>
      <c r="L16" s="2" t="s">
        <v>43</v>
      </c>
      <c r="M16" s="2" t="s">
        <v>43</v>
      </c>
      <c r="N16" s="2" t="s">
        <v>43</v>
      </c>
      <c r="O16" s="2" t="s">
        <v>40</v>
      </c>
      <c r="P16" s="2" t="s">
        <v>44</v>
      </c>
      <c r="Q16" s="2" t="s">
        <v>45</v>
      </c>
      <c r="R16" s="2" t="s">
        <v>46</v>
      </c>
      <c r="S16" s="2" t="s">
        <v>48</v>
      </c>
      <c r="T16" s="2" t="s">
        <v>110</v>
      </c>
      <c r="U16" s="2" t="s">
        <v>43</v>
      </c>
      <c r="V16" s="2" t="s">
        <v>43</v>
      </c>
      <c r="W16" s="2" t="s">
        <v>43</v>
      </c>
      <c r="X16" s="2" t="s">
        <v>40</v>
      </c>
      <c r="Y16" s="2" t="s">
        <v>44</v>
      </c>
      <c r="Z16" s="2" t="s">
        <v>45</v>
      </c>
      <c r="AA16" s="2" t="s">
        <v>46</v>
      </c>
      <c r="AB16" s="2" t="s">
        <v>48</v>
      </c>
      <c r="AC16" s="2" t="s">
        <v>110</v>
      </c>
      <c r="AD16" s="2" t="s">
        <v>43</v>
      </c>
      <c r="AE16" s="2" t="s">
        <v>43</v>
      </c>
      <c r="AF16" s="2" t="s">
        <v>43</v>
      </c>
      <c r="AG16" s="2" t="s">
        <v>40</v>
      </c>
      <c r="AH16" s="2" t="s">
        <v>44</v>
      </c>
      <c r="AI16" s="2" t="s">
        <v>45</v>
      </c>
      <c r="AJ16" s="2" t="s">
        <v>46</v>
      </c>
      <c r="AK16" s="2" t="s">
        <v>42</v>
      </c>
      <c r="AL16" s="2" t="s">
        <v>111</v>
      </c>
    </row>
    <row r="17" spans="1:38" ht="345" x14ac:dyDescent="0.25">
      <c r="A17" s="2" t="s">
        <v>112</v>
      </c>
      <c r="B17" s="2" t="s">
        <v>113</v>
      </c>
      <c r="C17" s="2" t="s">
        <v>40</v>
      </c>
      <c r="D17" s="2"/>
      <c r="E17" s="2" t="s">
        <v>40</v>
      </c>
      <c r="F17" s="2" t="s">
        <v>114</v>
      </c>
      <c r="G17" s="2" t="s">
        <v>48</v>
      </c>
      <c r="H17" s="2">
        <v>2</v>
      </c>
      <c r="I17" s="2">
        <v>1</v>
      </c>
      <c r="J17" s="2">
        <v>0</v>
      </c>
      <c r="K17" s="2">
        <v>0</v>
      </c>
      <c r="L17" s="2" t="s">
        <v>43</v>
      </c>
      <c r="M17" s="2" t="s">
        <v>45</v>
      </c>
      <c r="N17" s="2" t="s">
        <v>43</v>
      </c>
      <c r="O17" s="2" t="s">
        <v>115</v>
      </c>
      <c r="P17" s="2" t="s">
        <v>44</v>
      </c>
      <c r="Q17" s="2" t="s">
        <v>45</v>
      </c>
      <c r="R17" s="2" t="s">
        <v>46</v>
      </c>
      <c r="S17" s="2" t="s">
        <v>48</v>
      </c>
      <c r="T17" s="2" t="s">
        <v>116</v>
      </c>
      <c r="U17" s="2" t="s">
        <v>43</v>
      </c>
      <c r="V17" s="2" t="s">
        <v>53</v>
      </c>
      <c r="W17" s="2" t="s">
        <v>43</v>
      </c>
      <c r="X17" s="2" t="s">
        <v>40</v>
      </c>
      <c r="Y17" s="2" t="s">
        <v>44</v>
      </c>
      <c r="Z17" s="2" t="s">
        <v>45</v>
      </c>
      <c r="AA17" s="2" t="s">
        <v>46</v>
      </c>
      <c r="AB17" s="2" t="s">
        <v>42</v>
      </c>
      <c r="AC17" s="2" t="s">
        <v>117</v>
      </c>
      <c r="AD17" s="2" t="s">
        <v>43</v>
      </c>
      <c r="AE17" s="2" t="s">
        <v>53</v>
      </c>
      <c r="AF17" s="2" t="s">
        <v>43</v>
      </c>
      <c r="AG17" s="2" t="s">
        <v>40</v>
      </c>
      <c r="AH17" s="2" t="s">
        <v>44</v>
      </c>
      <c r="AI17" s="2" t="s">
        <v>45</v>
      </c>
      <c r="AJ17" s="2" t="s">
        <v>46</v>
      </c>
      <c r="AK17" s="2" t="s">
        <v>48</v>
      </c>
      <c r="AL17" s="2" t="s">
        <v>118</v>
      </c>
    </row>
    <row r="18" spans="1:38" ht="255" x14ac:dyDescent="0.25">
      <c r="A18" s="2" t="s">
        <v>119</v>
      </c>
      <c r="B18" s="2" t="s">
        <v>120</v>
      </c>
      <c r="C18" s="2" t="s">
        <v>40</v>
      </c>
      <c r="D18" s="2"/>
      <c r="E18" s="2" t="s">
        <v>40</v>
      </c>
      <c r="F18" s="2" t="s">
        <v>41</v>
      </c>
      <c r="G18" s="2" t="s">
        <v>42</v>
      </c>
      <c r="H18" s="2">
        <v>3</v>
      </c>
      <c r="I18" s="2">
        <v>0</v>
      </c>
      <c r="J18" s="2">
        <v>0</v>
      </c>
      <c r="K18" s="2">
        <v>0</v>
      </c>
      <c r="L18" s="2" t="s">
        <v>43</v>
      </c>
      <c r="M18" s="2" t="s">
        <v>43</v>
      </c>
      <c r="N18" s="2" t="s">
        <v>43</v>
      </c>
      <c r="O18" s="2" t="s">
        <v>40</v>
      </c>
      <c r="P18" s="2" t="s">
        <v>44</v>
      </c>
      <c r="Q18" s="2" t="s">
        <v>45</v>
      </c>
      <c r="R18" s="2" t="s">
        <v>46</v>
      </c>
      <c r="S18" s="2" t="s">
        <v>42</v>
      </c>
      <c r="T18" s="2" t="s">
        <v>121</v>
      </c>
      <c r="U18" s="2" t="s">
        <v>43</v>
      </c>
      <c r="V18" s="2" t="s">
        <v>43</v>
      </c>
      <c r="W18" s="2" t="s">
        <v>43</v>
      </c>
      <c r="X18" s="2" t="s">
        <v>40</v>
      </c>
      <c r="Y18" s="2" t="s">
        <v>44</v>
      </c>
      <c r="Z18" s="2" t="s">
        <v>45</v>
      </c>
      <c r="AA18" s="2" t="s">
        <v>46</v>
      </c>
      <c r="AB18" s="2" t="s">
        <v>42</v>
      </c>
      <c r="AC18" s="2" t="s">
        <v>122</v>
      </c>
      <c r="AD18" s="2" t="s">
        <v>43</v>
      </c>
      <c r="AE18" s="2" t="s">
        <v>43</v>
      </c>
      <c r="AF18" s="2" t="s">
        <v>43</v>
      </c>
      <c r="AG18" s="2" t="s">
        <v>40</v>
      </c>
      <c r="AH18" s="2" t="s">
        <v>44</v>
      </c>
      <c r="AI18" s="2" t="s">
        <v>45</v>
      </c>
      <c r="AJ18" s="2" t="s">
        <v>46</v>
      </c>
      <c r="AK18" s="2" t="s">
        <v>42</v>
      </c>
      <c r="AL18" s="2" t="s">
        <v>123</v>
      </c>
    </row>
    <row r="19" spans="1:38" ht="409.5" x14ac:dyDescent="0.25">
      <c r="A19" s="2" t="s">
        <v>124</v>
      </c>
      <c r="B19" s="2" t="s">
        <v>125</v>
      </c>
      <c r="C19" s="2" t="s">
        <v>40</v>
      </c>
      <c r="D19" s="2"/>
      <c r="E19" s="2" t="s">
        <v>40</v>
      </c>
      <c r="F19" s="2" t="s">
        <v>41</v>
      </c>
      <c r="G19" s="2" t="s">
        <v>42</v>
      </c>
      <c r="H19" s="2">
        <v>3</v>
      </c>
      <c r="I19" s="2">
        <v>0</v>
      </c>
      <c r="J19" s="2">
        <v>0</v>
      </c>
      <c r="K19" s="2">
        <v>0</v>
      </c>
      <c r="L19" s="2" t="s">
        <v>43</v>
      </c>
      <c r="M19" s="2" t="s">
        <v>53</v>
      </c>
      <c r="N19" s="2" t="s">
        <v>43</v>
      </c>
      <c r="O19" s="2" t="s">
        <v>40</v>
      </c>
      <c r="P19" s="2" t="s">
        <v>44</v>
      </c>
      <c r="Q19" s="2" t="s">
        <v>45</v>
      </c>
      <c r="R19" s="2" t="s">
        <v>46</v>
      </c>
      <c r="S19" s="2" t="s">
        <v>42</v>
      </c>
      <c r="T19" s="2" t="s">
        <v>126</v>
      </c>
      <c r="U19" s="2" t="s">
        <v>43</v>
      </c>
      <c r="V19" s="2" t="s">
        <v>53</v>
      </c>
      <c r="W19" s="2" t="s">
        <v>43</v>
      </c>
      <c r="X19" s="2" t="s">
        <v>40</v>
      </c>
      <c r="Y19" s="2" t="s">
        <v>44</v>
      </c>
      <c r="Z19" s="2" t="s">
        <v>45</v>
      </c>
      <c r="AA19" s="2" t="s">
        <v>46</v>
      </c>
      <c r="AB19" s="2" t="s">
        <v>42</v>
      </c>
      <c r="AC19" s="2" t="s">
        <v>127</v>
      </c>
      <c r="AD19" s="2" t="s">
        <v>43</v>
      </c>
      <c r="AE19" s="2" t="s">
        <v>53</v>
      </c>
      <c r="AF19" s="2" t="s">
        <v>43</v>
      </c>
      <c r="AG19" s="2" t="s">
        <v>40</v>
      </c>
      <c r="AH19" s="2" t="s">
        <v>44</v>
      </c>
      <c r="AI19" s="2" t="s">
        <v>45</v>
      </c>
      <c r="AJ19" s="2" t="s">
        <v>46</v>
      </c>
      <c r="AK19" s="2" t="s">
        <v>42</v>
      </c>
      <c r="AL19" s="2" t="s">
        <v>126</v>
      </c>
    </row>
    <row r="20" spans="1:38" ht="405" x14ac:dyDescent="0.25">
      <c r="A20" s="2" t="s">
        <v>128</v>
      </c>
      <c r="B20" s="2" t="s">
        <v>129</v>
      </c>
      <c r="C20" s="2" t="s">
        <v>40</v>
      </c>
      <c r="D20" s="2"/>
      <c r="E20" s="2" t="s">
        <v>40</v>
      </c>
      <c r="F20" s="2" t="s">
        <v>41</v>
      </c>
      <c r="G20" s="2" t="s">
        <v>48</v>
      </c>
      <c r="H20" s="2">
        <v>3</v>
      </c>
      <c r="I20" s="2">
        <v>0</v>
      </c>
      <c r="J20" s="2">
        <v>0</v>
      </c>
      <c r="K20" s="2">
        <v>0</v>
      </c>
      <c r="L20" s="2" t="s">
        <v>43</v>
      </c>
      <c r="M20" s="2" t="s">
        <v>43</v>
      </c>
      <c r="N20" s="2" t="s">
        <v>43</v>
      </c>
      <c r="O20" s="2" t="s">
        <v>40</v>
      </c>
      <c r="P20" s="2" t="s">
        <v>44</v>
      </c>
      <c r="Q20" s="2" t="s">
        <v>45</v>
      </c>
      <c r="R20" s="2" t="s">
        <v>46</v>
      </c>
      <c r="S20" s="2" t="s">
        <v>42</v>
      </c>
      <c r="T20" s="2" t="s">
        <v>130</v>
      </c>
      <c r="U20" s="2" t="s">
        <v>43</v>
      </c>
      <c r="V20" s="2" t="s">
        <v>43</v>
      </c>
      <c r="W20" s="2" t="s">
        <v>43</v>
      </c>
      <c r="X20" s="2" t="s">
        <v>40</v>
      </c>
      <c r="Y20" s="2" t="s">
        <v>44</v>
      </c>
      <c r="Z20" s="2" t="s">
        <v>45</v>
      </c>
      <c r="AA20" s="2" t="s">
        <v>46</v>
      </c>
      <c r="AB20" s="2" t="s">
        <v>48</v>
      </c>
      <c r="AC20" s="2" t="s">
        <v>131</v>
      </c>
      <c r="AD20" s="2" t="s">
        <v>43</v>
      </c>
      <c r="AE20" s="2" t="s">
        <v>43</v>
      </c>
      <c r="AF20" s="2" t="s">
        <v>43</v>
      </c>
      <c r="AG20" s="2" t="s">
        <v>40</v>
      </c>
      <c r="AH20" s="2" t="s">
        <v>44</v>
      </c>
      <c r="AI20" s="2" t="s">
        <v>45</v>
      </c>
      <c r="AJ20" s="2" t="s">
        <v>46</v>
      </c>
      <c r="AK20" s="2" t="s">
        <v>48</v>
      </c>
      <c r="AL20" s="2" t="s">
        <v>131</v>
      </c>
    </row>
    <row r="21" spans="1:38" ht="409.5" x14ac:dyDescent="0.25">
      <c r="A21" s="2" t="s">
        <v>132</v>
      </c>
      <c r="B21" s="2" t="s">
        <v>133</v>
      </c>
      <c r="C21" s="2" t="s">
        <v>40</v>
      </c>
      <c r="D21" s="2"/>
      <c r="E21" s="2" t="s">
        <v>40</v>
      </c>
      <c r="F21" s="2" t="s">
        <v>41</v>
      </c>
      <c r="G21" s="2" t="s">
        <v>42</v>
      </c>
      <c r="H21" s="2">
        <v>3</v>
      </c>
      <c r="I21" s="2">
        <v>0</v>
      </c>
      <c r="J21" s="2">
        <v>0</v>
      </c>
      <c r="K21" s="2">
        <v>0</v>
      </c>
      <c r="L21" s="2" t="s">
        <v>43</v>
      </c>
      <c r="M21" s="2" t="s">
        <v>43</v>
      </c>
      <c r="N21" s="2" t="s">
        <v>43</v>
      </c>
      <c r="O21" s="2" t="s">
        <v>40</v>
      </c>
      <c r="P21" s="2" t="s">
        <v>44</v>
      </c>
      <c r="Q21" s="2" t="s">
        <v>45</v>
      </c>
      <c r="R21" s="2" t="s">
        <v>46</v>
      </c>
      <c r="S21" s="2" t="s">
        <v>42</v>
      </c>
      <c r="T21" s="2" t="s">
        <v>134</v>
      </c>
      <c r="U21" s="2" t="s">
        <v>43</v>
      </c>
      <c r="V21" s="2" t="s">
        <v>43</v>
      </c>
      <c r="W21" s="2" t="s">
        <v>43</v>
      </c>
      <c r="X21" s="2" t="s">
        <v>40</v>
      </c>
      <c r="Y21" s="2" t="s">
        <v>44</v>
      </c>
      <c r="Z21" s="2" t="s">
        <v>45</v>
      </c>
      <c r="AA21" s="2" t="s">
        <v>46</v>
      </c>
      <c r="AB21" s="2" t="s">
        <v>42</v>
      </c>
      <c r="AC21" s="2" t="s">
        <v>135</v>
      </c>
      <c r="AD21" s="2" t="s">
        <v>43</v>
      </c>
      <c r="AE21" s="2" t="s">
        <v>43</v>
      </c>
      <c r="AF21" s="2" t="s">
        <v>43</v>
      </c>
      <c r="AG21" s="2" t="s">
        <v>40</v>
      </c>
      <c r="AH21" s="2" t="s">
        <v>44</v>
      </c>
      <c r="AI21" s="2" t="s">
        <v>45</v>
      </c>
      <c r="AJ21" s="2" t="s">
        <v>46</v>
      </c>
      <c r="AK21" s="2" t="s">
        <v>42</v>
      </c>
      <c r="AL21" s="2" t="s">
        <v>136</v>
      </c>
    </row>
    <row r="22" spans="1:38" ht="409.5" x14ac:dyDescent="0.25">
      <c r="A22" s="2" t="s">
        <v>137</v>
      </c>
      <c r="B22" s="2" t="s">
        <v>138</v>
      </c>
      <c r="C22" s="2" t="s">
        <v>40</v>
      </c>
      <c r="D22" s="2"/>
      <c r="E22" s="2" t="s">
        <v>40</v>
      </c>
      <c r="F22" s="2" t="s">
        <v>41</v>
      </c>
      <c r="G22" s="2" t="s">
        <v>42</v>
      </c>
      <c r="H22" s="2">
        <v>3</v>
      </c>
      <c r="I22" s="2">
        <v>0</v>
      </c>
      <c r="J22" s="2">
        <v>0</v>
      </c>
      <c r="K22" s="2">
        <v>0</v>
      </c>
      <c r="L22" s="2" t="s">
        <v>43</v>
      </c>
      <c r="M22" s="2" t="s">
        <v>53</v>
      </c>
      <c r="N22" s="2" t="s">
        <v>43</v>
      </c>
      <c r="O22" s="2" t="s">
        <v>40</v>
      </c>
      <c r="P22" s="2" t="s">
        <v>44</v>
      </c>
      <c r="Q22" s="2" t="s">
        <v>45</v>
      </c>
      <c r="R22" s="2" t="s">
        <v>46</v>
      </c>
      <c r="S22" s="2" t="s">
        <v>42</v>
      </c>
      <c r="T22" s="2" t="s">
        <v>139</v>
      </c>
      <c r="U22" s="2" t="s">
        <v>43</v>
      </c>
      <c r="V22" s="2" t="s">
        <v>53</v>
      </c>
      <c r="W22" s="2" t="s">
        <v>43</v>
      </c>
      <c r="X22" s="2" t="s">
        <v>40</v>
      </c>
      <c r="Y22" s="2" t="s">
        <v>44</v>
      </c>
      <c r="Z22" s="2" t="s">
        <v>45</v>
      </c>
      <c r="AA22" s="2" t="s">
        <v>46</v>
      </c>
      <c r="AB22" s="2" t="s">
        <v>42</v>
      </c>
      <c r="AC22" s="2" t="s">
        <v>140</v>
      </c>
      <c r="AD22" s="2" t="s">
        <v>43</v>
      </c>
      <c r="AE22" s="2" t="s">
        <v>53</v>
      </c>
      <c r="AF22" s="2" t="s">
        <v>43</v>
      </c>
      <c r="AG22" s="2" t="s">
        <v>40</v>
      </c>
      <c r="AH22" s="2" t="s">
        <v>44</v>
      </c>
      <c r="AI22" s="2" t="s">
        <v>45</v>
      </c>
      <c r="AJ22" s="2" t="s">
        <v>46</v>
      </c>
      <c r="AK22" s="2" t="s">
        <v>42</v>
      </c>
      <c r="AL22" s="2" t="s">
        <v>141</v>
      </c>
    </row>
    <row r="23" spans="1:38" ht="409.5" x14ac:dyDescent="0.25">
      <c r="A23" s="2" t="s">
        <v>142</v>
      </c>
      <c r="B23" s="2" t="s">
        <v>143</v>
      </c>
      <c r="C23" s="2" t="s">
        <v>40</v>
      </c>
      <c r="D23" s="2"/>
      <c r="E23" s="2" t="s">
        <v>40</v>
      </c>
      <c r="F23" s="2" t="s">
        <v>41</v>
      </c>
      <c r="G23" s="2" t="s">
        <v>48</v>
      </c>
      <c r="H23" s="2">
        <v>3</v>
      </c>
      <c r="I23" s="2">
        <v>0</v>
      </c>
      <c r="J23" s="2">
        <v>0</v>
      </c>
      <c r="K23" s="2">
        <v>0</v>
      </c>
      <c r="L23" s="2" t="s">
        <v>43</v>
      </c>
      <c r="M23" s="2" t="s">
        <v>43</v>
      </c>
      <c r="N23" s="2" t="s">
        <v>43</v>
      </c>
      <c r="O23" s="2" t="s">
        <v>40</v>
      </c>
      <c r="P23" s="2" t="s">
        <v>44</v>
      </c>
      <c r="Q23" s="2" t="s">
        <v>45</v>
      </c>
      <c r="R23" s="2" t="s">
        <v>46</v>
      </c>
      <c r="S23" s="2" t="s">
        <v>48</v>
      </c>
      <c r="T23" s="2" t="s">
        <v>144</v>
      </c>
      <c r="U23" s="2" t="s">
        <v>43</v>
      </c>
      <c r="V23" s="2" t="s">
        <v>43</v>
      </c>
      <c r="W23" s="2" t="s">
        <v>43</v>
      </c>
      <c r="X23" s="2" t="s">
        <v>40</v>
      </c>
      <c r="Y23" s="2" t="s">
        <v>44</v>
      </c>
      <c r="Z23" s="2" t="s">
        <v>45</v>
      </c>
      <c r="AA23" s="2" t="s">
        <v>46</v>
      </c>
      <c r="AB23" s="2" t="s">
        <v>48</v>
      </c>
      <c r="AC23" s="2" t="s">
        <v>145</v>
      </c>
      <c r="AD23" s="2" t="s">
        <v>43</v>
      </c>
      <c r="AE23" s="2" t="s">
        <v>43</v>
      </c>
      <c r="AF23" s="2" t="s">
        <v>43</v>
      </c>
      <c r="AG23" s="2" t="s">
        <v>40</v>
      </c>
      <c r="AH23" s="2" t="s">
        <v>44</v>
      </c>
      <c r="AI23" s="2" t="s">
        <v>45</v>
      </c>
      <c r="AJ23" s="2" t="s">
        <v>46</v>
      </c>
      <c r="AK23" s="2" t="s">
        <v>48</v>
      </c>
      <c r="AL23" s="2" t="s">
        <v>146</v>
      </c>
    </row>
    <row r="24" spans="1:38" ht="285" x14ac:dyDescent="0.25">
      <c r="A24" s="2" t="s">
        <v>147</v>
      </c>
      <c r="B24" s="2" t="s">
        <v>148</v>
      </c>
      <c r="C24" s="2" t="s">
        <v>40</v>
      </c>
      <c r="D24" s="2"/>
      <c r="E24" s="2" t="s">
        <v>40</v>
      </c>
      <c r="F24" s="2" t="s">
        <v>41</v>
      </c>
      <c r="G24" s="2" t="s">
        <v>42</v>
      </c>
      <c r="H24" s="2">
        <v>3</v>
      </c>
      <c r="I24" s="2">
        <v>0</v>
      </c>
      <c r="J24" s="2">
        <v>0</v>
      </c>
      <c r="K24" s="2">
        <v>0</v>
      </c>
      <c r="L24" s="2" t="s">
        <v>43</v>
      </c>
      <c r="M24" s="2" t="s">
        <v>53</v>
      </c>
      <c r="N24" s="2" t="s">
        <v>43</v>
      </c>
      <c r="O24" s="2" t="s">
        <v>40</v>
      </c>
      <c r="P24" s="2" t="s">
        <v>54</v>
      </c>
      <c r="Q24" s="2" t="s">
        <v>45</v>
      </c>
      <c r="R24" s="2" t="s">
        <v>46</v>
      </c>
      <c r="S24" s="2" t="s">
        <v>42</v>
      </c>
      <c r="T24" s="2" t="s">
        <v>149</v>
      </c>
      <c r="U24" s="2" t="s">
        <v>43</v>
      </c>
      <c r="V24" s="2" t="s">
        <v>53</v>
      </c>
      <c r="W24" s="2" t="s">
        <v>43</v>
      </c>
      <c r="X24" s="2" t="s">
        <v>40</v>
      </c>
      <c r="Y24" s="2" t="s">
        <v>54</v>
      </c>
      <c r="Z24" s="2" t="s">
        <v>45</v>
      </c>
      <c r="AA24" s="2" t="s">
        <v>46</v>
      </c>
      <c r="AB24" s="2" t="s">
        <v>42</v>
      </c>
      <c r="AC24" s="2" t="s">
        <v>150</v>
      </c>
      <c r="AD24" s="2" t="s">
        <v>43</v>
      </c>
      <c r="AE24" s="2" t="s">
        <v>53</v>
      </c>
      <c r="AF24" s="2" t="s">
        <v>43</v>
      </c>
      <c r="AG24" s="2" t="s">
        <v>40</v>
      </c>
      <c r="AH24" s="2" t="s">
        <v>54</v>
      </c>
      <c r="AI24" s="2" t="s">
        <v>45</v>
      </c>
      <c r="AJ24" s="2" t="s">
        <v>46</v>
      </c>
      <c r="AK24" s="2" t="s">
        <v>42</v>
      </c>
      <c r="AL24" s="2" t="s">
        <v>150</v>
      </c>
    </row>
    <row r="25" spans="1:38" ht="390" x14ac:dyDescent="0.25">
      <c r="A25" s="2" t="s">
        <v>151</v>
      </c>
      <c r="B25" s="2" t="s">
        <v>152</v>
      </c>
      <c r="C25" s="2" t="s">
        <v>40</v>
      </c>
      <c r="D25" s="2"/>
      <c r="E25" s="2" t="s">
        <v>40</v>
      </c>
      <c r="F25" s="2" t="s">
        <v>41</v>
      </c>
      <c r="G25" s="2" t="s">
        <v>42</v>
      </c>
      <c r="H25" s="2">
        <v>3</v>
      </c>
      <c r="I25" s="2">
        <v>0</v>
      </c>
      <c r="J25" s="2">
        <v>0</v>
      </c>
      <c r="K25" s="2">
        <v>0</v>
      </c>
      <c r="L25" s="2" t="s">
        <v>43</v>
      </c>
      <c r="M25" s="2" t="s">
        <v>43</v>
      </c>
      <c r="N25" s="2" t="s">
        <v>43</v>
      </c>
      <c r="O25" s="2" t="s">
        <v>40</v>
      </c>
      <c r="P25" s="2" t="s">
        <v>44</v>
      </c>
      <c r="Q25" s="2" t="s">
        <v>45</v>
      </c>
      <c r="R25" s="2" t="s">
        <v>46</v>
      </c>
      <c r="S25" s="2" t="s">
        <v>42</v>
      </c>
      <c r="T25" s="2" t="s">
        <v>153</v>
      </c>
      <c r="U25" s="2" t="s">
        <v>43</v>
      </c>
      <c r="V25" s="2" t="s">
        <v>43</v>
      </c>
      <c r="W25" s="2" t="s">
        <v>43</v>
      </c>
      <c r="X25" s="2" t="s">
        <v>40</v>
      </c>
      <c r="Y25" s="2" t="s">
        <v>44</v>
      </c>
      <c r="Z25" s="2" t="s">
        <v>45</v>
      </c>
      <c r="AA25" s="2" t="s">
        <v>46</v>
      </c>
      <c r="AB25" s="2" t="s">
        <v>42</v>
      </c>
      <c r="AC25" s="2" t="s">
        <v>153</v>
      </c>
      <c r="AD25" s="2" t="s">
        <v>43</v>
      </c>
      <c r="AE25" s="2" t="s">
        <v>43</v>
      </c>
      <c r="AF25" s="2" t="s">
        <v>43</v>
      </c>
      <c r="AG25" s="2" t="s">
        <v>40</v>
      </c>
      <c r="AH25" s="2" t="s">
        <v>44</v>
      </c>
      <c r="AI25" s="2" t="s">
        <v>45</v>
      </c>
      <c r="AJ25" s="2" t="s">
        <v>46</v>
      </c>
      <c r="AK25" s="2" t="s">
        <v>42</v>
      </c>
      <c r="AL25" s="2" t="s">
        <v>154</v>
      </c>
    </row>
    <row r="26" spans="1:38" ht="409.5" x14ac:dyDescent="0.25">
      <c r="A26" s="2" t="s">
        <v>155</v>
      </c>
      <c r="B26" s="2" t="s">
        <v>156</v>
      </c>
      <c r="C26" s="2" t="s">
        <v>40</v>
      </c>
      <c r="D26" s="2"/>
      <c r="E26" s="2" t="s">
        <v>40</v>
      </c>
      <c r="F26" s="2" t="s">
        <v>41</v>
      </c>
      <c r="G26" s="2" t="s">
        <v>42</v>
      </c>
      <c r="H26" s="2">
        <v>3</v>
      </c>
      <c r="I26" s="2">
        <v>0</v>
      </c>
      <c r="J26" s="2">
        <v>0</v>
      </c>
      <c r="K26" s="2">
        <v>0</v>
      </c>
      <c r="L26" s="2" t="s">
        <v>43</v>
      </c>
      <c r="M26" s="2" t="s">
        <v>43</v>
      </c>
      <c r="N26" s="2" t="s">
        <v>43</v>
      </c>
      <c r="O26" s="2" t="s">
        <v>40</v>
      </c>
      <c r="P26" s="2" t="s">
        <v>44</v>
      </c>
      <c r="Q26" s="2" t="s">
        <v>45</v>
      </c>
      <c r="R26" s="2" t="s">
        <v>46</v>
      </c>
      <c r="S26" s="2" t="s">
        <v>42</v>
      </c>
      <c r="T26" s="2" t="s">
        <v>157</v>
      </c>
      <c r="U26" s="2" t="s">
        <v>43</v>
      </c>
      <c r="V26" s="2" t="s">
        <v>43</v>
      </c>
      <c r="W26" s="2" t="s">
        <v>43</v>
      </c>
      <c r="X26" s="2" t="s">
        <v>40</v>
      </c>
      <c r="Y26" s="2" t="s">
        <v>44</v>
      </c>
      <c r="Z26" s="2" t="s">
        <v>45</v>
      </c>
      <c r="AA26" s="2" t="s">
        <v>46</v>
      </c>
      <c r="AB26" s="2" t="s">
        <v>42</v>
      </c>
      <c r="AC26" s="2" t="s">
        <v>158</v>
      </c>
      <c r="AD26" s="2" t="s">
        <v>43</v>
      </c>
      <c r="AE26" s="2" t="s">
        <v>43</v>
      </c>
      <c r="AF26" s="2" t="s">
        <v>43</v>
      </c>
      <c r="AG26" s="2" t="s">
        <v>40</v>
      </c>
      <c r="AH26" s="2" t="s">
        <v>44</v>
      </c>
      <c r="AI26" s="2" t="s">
        <v>45</v>
      </c>
      <c r="AJ26" s="2" t="s">
        <v>46</v>
      </c>
      <c r="AK26" s="2" t="s">
        <v>42</v>
      </c>
      <c r="AL26" s="2" t="s">
        <v>159</v>
      </c>
    </row>
    <row r="27" spans="1:38" ht="409.5" x14ac:dyDescent="0.25">
      <c r="A27" s="2" t="s">
        <v>160</v>
      </c>
      <c r="B27" s="2" t="s">
        <v>161</v>
      </c>
      <c r="C27" s="2" t="s">
        <v>40</v>
      </c>
      <c r="D27" s="2"/>
      <c r="E27" s="2" t="s">
        <v>40</v>
      </c>
      <c r="F27" s="2" t="s">
        <v>41</v>
      </c>
      <c r="G27" s="2" t="s">
        <v>42</v>
      </c>
      <c r="H27" s="2">
        <v>3</v>
      </c>
      <c r="I27" s="2">
        <v>0</v>
      </c>
      <c r="J27" s="2">
        <v>0</v>
      </c>
      <c r="K27" s="2">
        <v>0</v>
      </c>
      <c r="L27" s="2" t="s">
        <v>43</v>
      </c>
      <c r="M27" s="2" t="s">
        <v>53</v>
      </c>
      <c r="N27" s="2" t="s">
        <v>43</v>
      </c>
      <c r="O27" s="2" t="s">
        <v>40</v>
      </c>
      <c r="P27" s="2" t="s">
        <v>44</v>
      </c>
      <c r="Q27" s="2" t="s">
        <v>45</v>
      </c>
      <c r="R27" s="2" t="s">
        <v>46</v>
      </c>
      <c r="S27" s="2" t="s">
        <v>42</v>
      </c>
      <c r="T27" s="2" t="s">
        <v>162</v>
      </c>
      <c r="U27" s="2" t="s">
        <v>43</v>
      </c>
      <c r="V27" s="2" t="s">
        <v>53</v>
      </c>
      <c r="W27" s="2" t="s">
        <v>43</v>
      </c>
      <c r="X27" s="2" t="s">
        <v>40</v>
      </c>
      <c r="Y27" s="2" t="s">
        <v>44</v>
      </c>
      <c r="Z27" s="2" t="s">
        <v>45</v>
      </c>
      <c r="AA27" s="2" t="s">
        <v>46</v>
      </c>
      <c r="AB27" s="2" t="s">
        <v>42</v>
      </c>
      <c r="AC27" s="2" t="s">
        <v>163</v>
      </c>
      <c r="AD27" s="2" t="s">
        <v>43</v>
      </c>
      <c r="AE27" s="2" t="s">
        <v>53</v>
      </c>
      <c r="AF27" s="2" t="s">
        <v>43</v>
      </c>
      <c r="AG27" s="2" t="s">
        <v>40</v>
      </c>
      <c r="AH27" s="2" t="s">
        <v>44</v>
      </c>
      <c r="AI27" s="2" t="s">
        <v>45</v>
      </c>
      <c r="AJ27" s="2" t="s">
        <v>46</v>
      </c>
      <c r="AK27" s="2" t="s">
        <v>42</v>
      </c>
      <c r="AL27" s="2" t="s">
        <v>164</v>
      </c>
    </row>
    <row r="28" spans="1:38" ht="270" x14ac:dyDescent="0.25">
      <c r="A28" s="2" t="s">
        <v>165</v>
      </c>
      <c r="B28" s="2" t="s">
        <v>166</v>
      </c>
      <c r="C28" s="2" t="s">
        <v>40</v>
      </c>
      <c r="D28" s="2"/>
      <c r="E28" s="2" t="s">
        <v>40</v>
      </c>
      <c r="F28" s="2" t="s">
        <v>41</v>
      </c>
      <c r="G28" s="2" t="s">
        <v>42</v>
      </c>
      <c r="H28" s="2">
        <v>3</v>
      </c>
      <c r="I28" s="2">
        <v>0</v>
      </c>
      <c r="J28" s="2">
        <v>0</v>
      </c>
      <c r="K28" s="2">
        <v>0</v>
      </c>
      <c r="L28" s="2" t="s">
        <v>43</v>
      </c>
      <c r="M28" s="2" t="s">
        <v>53</v>
      </c>
      <c r="N28" s="2" t="s">
        <v>43</v>
      </c>
      <c r="O28" s="2" t="s">
        <v>40</v>
      </c>
      <c r="P28" s="2" t="s">
        <v>54</v>
      </c>
      <c r="Q28" s="2" t="s">
        <v>45</v>
      </c>
      <c r="R28" s="2" t="s">
        <v>46</v>
      </c>
      <c r="S28" s="2" t="s">
        <v>42</v>
      </c>
      <c r="T28" s="2" t="s">
        <v>167</v>
      </c>
      <c r="U28" s="2" t="s">
        <v>43</v>
      </c>
      <c r="V28" s="2" t="s">
        <v>53</v>
      </c>
      <c r="W28" s="2" t="s">
        <v>43</v>
      </c>
      <c r="X28" s="2" t="s">
        <v>40</v>
      </c>
      <c r="Y28" s="2" t="s">
        <v>54</v>
      </c>
      <c r="Z28" s="2" t="s">
        <v>45</v>
      </c>
      <c r="AA28" s="2" t="s">
        <v>46</v>
      </c>
      <c r="AB28" s="2" t="s">
        <v>42</v>
      </c>
      <c r="AC28" s="2" t="s">
        <v>168</v>
      </c>
      <c r="AD28" s="2" t="s">
        <v>43</v>
      </c>
      <c r="AE28" s="2" t="s">
        <v>53</v>
      </c>
      <c r="AF28" s="2" t="s">
        <v>43</v>
      </c>
      <c r="AG28" s="2" t="s">
        <v>40</v>
      </c>
      <c r="AH28" s="2" t="s">
        <v>54</v>
      </c>
      <c r="AI28" s="2" t="s">
        <v>45</v>
      </c>
      <c r="AJ28" s="2" t="s">
        <v>46</v>
      </c>
      <c r="AK28" s="2" t="s">
        <v>42</v>
      </c>
      <c r="AL28" s="2" t="s">
        <v>169</v>
      </c>
    </row>
    <row r="29" spans="1:38" ht="375" x14ac:dyDescent="0.25">
      <c r="A29" s="2" t="s">
        <v>170</v>
      </c>
      <c r="B29" s="2" t="s">
        <v>171</v>
      </c>
      <c r="C29" s="2" t="s">
        <v>40</v>
      </c>
      <c r="D29" s="2"/>
      <c r="E29" s="2" t="s">
        <v>40</v>
      </c>
      <c r="F29" s="2" t="s">
        <v>41</v>
      </c>
      <c r="G29" s="2" t="s">
        <v>42</v>
      </c>
      <c r="H29" s="2">
        <v>3</v>
      </c>
      <c r="I29" s="2">
        <v>0</v>
      </c>
      <c r="J29" s="2">
        <v>0</v>
      </c>
      <c r="K29" s="2">
        <v>0</v>
      </c>
      <c r="L29" s="2" t="s">
        <v>43</v>
      </c>
      <c r="M29" s="2" t="s">
        <v>53</v>
      </c>
      <c r="N29" s="2" t="s">
        <v>43</v>
      </c>
      <c r="O29" s="2" t="s">
        <v>40</v>
      </c>
      <c r="P29" s="2" t="s">
        <v>44</v>
      </c>
      <c r="Q29" s="2" t="s">
        <v>45</v>
      </c>
      <c r="R29" s="2" t="s">
        <v>46</v>
      </c>
      <c r="S29" s="2" t="s">
        <v>42</v>
      </c>
      <c r="T29" s="2" t="s">
        <v>172</v>
      </c>
      <c r="U29" s="2" t="s">
        <v>43</v>
      </c>
      <c r="V29" s="2" t="s">
        <v>53</v>
      </c>
      <c r="W29" s="2" t="s">
        <v>43</v>
      </c>
      <c r="X29" s="2" t="s">
        <v>40</v>
      </c>
      <c r="Y29" s="2" t="s">
        <v>44</v>
      </c>
      <c r="Z29" s="2" t="s">
        <v>45</v>
      </c>
      <c r="AA29" s="2" t="s">
        <v>46</v>
      </c>
      <c r="AB29" s="2" t="s">
        <v>42</v>
      </c>
      <c r="AC29" s="2" t="s">
        <v>173</v>
      </c>
      <c r="AD29" s="2" t="s">
        <v>43</v>
      </c>
      <c r="AE29" s="2" t="s">
        <v>53</v>
      </c>
      <c r="AF29" s="2" t="s">
        <v>43</v>
      </c>
      <c r="AG29" s="2" t="s">
        <v>40</v>
      </c>
      <c r="AH29" s="2" t="s">
        <v>44</v>
      </c>
      <c r="AI29" s="2" t="s">
        <v>45</v>
      </c>
      <c r="AJ29" s="2" t="s">
        <v>46</v>
      </c>
      <c r="AK29" s="2" t="s">
        <v>42</v>
      </c>
      <c r="AL29" s="2" t="s">
        <v>174</v>
      </c>
    </row>
    <row r="30" spans="1:38" ht="409.5" x14ac:dyDescent="0.25">
      <c r="A30" s="2" t="s">
        <v>175</v>
      </c>
      <c r="B30" s="2" t="s">
        <v>176</v>
      </c>
      <c r="C30" s="2" t="s">
        <v>40</v>
      </c>
      <c r="D30" s="2"/>
      <c r="E30" s="2" t="s">
        <v>40</v>
      </c>
      <c r="F30" s="2" t="s">
        <v>41</v>
      </c>
      <c r="G30" s="2" t="s">
        <v>42</v>
      </c>
      <c r="H30" s="2">
        <v>3</v>
      </c>
      <c r="I30" s="2">
        <v>0</v>
      </c>
      <c r="J30" s="2">
        <v>0</v>
      </c>
      <c r="K30" s="2">
        <v>0</v>
      </c>
      <c r="L30" s="2" t="s">
        <v>43</v>
      </c>
      <c r="M30" s="2" t="s">
        <v>53</v>
      </c>
      <c r="N30" s="2" t="s">
        <v>43</v>
      </c>
      <c r="O30" s="2" t="s">
        <v>40</v>
      </c>
      <c r="P30" s="2" t="s">
        <v>44</v>
      </c>
      <c r="Q30" s="2" t="s">
        <v>45</v>
      </c>
      <c r="R30" s="2" t="s">
        <v>46</v>
      </c>
      <c r="S30" s="2" t="s">
        <v>42</v>
      </c>
      <c r="T30" s="2" t="s">
        <v>177</v>
      </c>
      <c r="U30" s="2" t="s">
        <v>43</v>
      </c>
      <c r="V30" s="2" t="s">
        <v>53</v>
      </c>
      <c r="W30" s="2" t="s">
        <v>43</v>
      </c>
      <c r="X30" s="2" t="s">
        <v>40</v>
      </c>
      <c r="Y30" s="2" t="s">
        <v>44</v>
      </c>
      <c r="Z30" s="2" t="s">
        <v>45</v>
      </c>
      <c r="AA30" s="2" t="s">
        <v>46</v>
      </c>
      <c r="AB30" s="2" t="s">
        <v>42</v>
      </c>
      <c r="AC30" s="2" t="s">
        <v>178</v>
      </c>
      <c r="AD30" s="2" t="s">
        <v>43</v>
      </c>
      <c r="AE30" s="2" t="s">
        <v>53</v>
      </c>
      <c r="AF30" s="2" t="s">
        <v>43</v>
      </c>
      <c r="AG30" s="2" t="s">
        <v>40</v>
      </c>
      <c r="AH30" s="2" t="s">
        <v>44</v>
      </c>
      <c r="AI30" s="2" t="s">
        <v>45</v>
      </c>
      <c r="AJ30" s="2" t="s">
        <v>46</v>
      </c>
      <c r="AK30" s="2" t="s">
        <v>42</v>
      </c>
      <c r="AL30" s="2" t="s">
        <v>178</v>
      </c>
    </row>
    <row r="31" spans="1:38" ht="330" x14ac:dyDescent="0.25">
      <c r="A31" s="2" t="s">
        <v>179</v>
      </c>
      <c r="B31" s="2" t="s">
        <v>180</v>
      </c>
      <c r="C31" s="2" t="s">
        <v>40</v>
      </c>
      <c r="D31" s="2"/>
      <c r="E31" s="2" t="s">
        <v>40</v>
      </c>
      <c r="F31" s="2" t="s">
        <v>41</v>
      </c>
      <c r="G31" s="2" t="s">
        <v>42</v>
      </c>
      <c r="H31" s="2">
        <v>3</v>
      </c>
      <c r="I31" s="2">
        <v>0</v>
      </c>
      <c r="J31" s="2">
        <v>0</v>
      </c>
      <c r="K31" s="2">
        <v>0</v>
      </c>
      <c r="L31" s="2" t="s">
        <v>43</v>
      </c>
      <c r="M31" s="2" t="s">
        <v>43</v>
      </c>
      <c r="N31" s="2" t="s">
        <v>43</v>
      </c>
      <c r="O31" s="2" t="s">
        <v>40</v>
      </c>
      <c r="P31" s="2" t="s">
        <v>44</v>
      </c>
      <c r="Q31" s="2" t="s">
        <v>45</v>
      </c>
      <c r="R31" s="2" t="s">
        <v>46</v>
      </c>
      <c r="S31" s="2" t="s">
        <v>42</v>
      </c>
      <c r="T31" s="2" t="s">
        <v>181</v>
      </c>
      <c r="U31" s="2" t="s">
        <v>43</v>
      </c>
      <c r="V31" s="2" t="s">
        <v>43</v>
      </c>
      <c r="W31" s="2" t="s">
        <v>43</v>
      </c>
      <c r="X31" s="2" t="s">
        <v>40</v>
      </c>
      <c r="Y31" s="2" t="s">
        <v>44</v>
      </c>
      <c r="Z31" s="2" t="s">
        <v>45</v>
      </c>
      <c r="AA31" s="2" t="s">
        <v>46</v>
      </c>
      <c r="AB31" s="2" t="s">
        <v>42</v>
      </c>
      <c r="AC31" s="2" t="s">
        <v>182</v>
      </c>
      <c r="AD31" s="2" t="s">
        <v>43</v>
      </c>
      <c r="AE31" s="2" t="s">
        <v>43</v>
      </c>
      <c r="AF31" s="2" t="s">
        <v>43</v>
      </c>
      <c r="AG31" s="2" t="s">
        <v>40</v>
      </c>
      <c r="AH31" s="2" t="s">
        <v>44</v>
      </c>
      <c r="AI31" s="2" t="s">
        <v>45</v>
      </c>
      <c r="AJ31" s="2" t="s">
        <v>46</v>
      </c>
      <c r="AK31" s="2" t="s">
        <v>42</v>
      </c>
      <c r="AL31" s="2" t="s">
        <v>181</v>
      </c>
    </row>
    <row r="32" spans="1:38" ht="409.5" x14ac:dyDescent="0.25">
      <c r="A32" s="2" t="s">
        <v>183</v>
      </c>
      <c r="B32" s="2" t="s">
        <v>184</v>
      </c>
      <c r="C32" s="2" t="s">
        <v>40</v>
      </c>
      <c r="D32" s="2"/>
      <c r="E32" s="2" t="s">
        <v>40</v>
      </c>
      <c r="F32" s="2" t="s">
        <v>41</v>
      </c>
      <c r="G32" s="2" t="s">
        <v>42</v>
      </c>
      <c r="H32" s="2">
        <v>3</v>
      </c>
      <c r="I32" s="2">
        <v>0</v>
      </c>
      <c r="J32" s="2">
        <v>0</v>
      </c>
      <c r="K32" s="2">
        <v>0</v>
      </c>
      <c r="L32" s="2" t="s">
        <v>43</v>
      </c>
      <c r="M32" s="2" t="s">
        <v>53</v>
      </c>
      <c r="N32" s="2" t="s">
        <v>43</v>
      </c>
      <c r="O32" s="2" t="s">
        <v>40</v>
      </c>
      <c r="P32" s="2" t="s">
        <v>44</v>
      </c>
      <c r="Q32" s="2" t="s">
        <v>45</v>
      </c>
      <c r="R32" s="2" t="s">
        <v>46</v>
      </c>
      <c r="S32" s="2" t="s">
        <v>42</v>
      </c>
      <c r="T32" s="2" t="s">
        <v>185</v>
      </c>
      <c r="U32" s="2" t="s">
        <v>43</v>
      </c>
      <c r="V32" s="2" t="s">
        <v>53</v>
      </c>
      <c r="W32" s="2" t="s">
        <v>43</v>
      </c>
      <c r="X32" s="2" t="s">
        <v>40</v>
      </c>
      <c r="Y32" s="2" t="s">
        <v>44</v>
      </c>
      <c r="Z32" s="2" t="s">
        <v>45</v>
      </c>
      <c r="AA32" s="2" t="s">
        <v>46</v>
      </c>
      <c r="AB32" s="2" t="s">
        <v>42</v>
      </c>
      <c r="AC32" s="2" t="s">
        <v>186</v>
      </c>
      <c r="AD32" s="2" t="s">
        <v>43</v>
      </c>
      <c r="AE32" s="2" t="s">
        <v>53</v>
      </c>
      <c r="AF32" s="2" t="s">
        <v>43</v>
      </c>
      <c r="AG32" s="2" t="s">
        <v>40</v>
      </c>
      <c r="AH32" s="2" t="s">
        <v>44</v>
      </c>
      <c r="AI32" s="2" t="s">
        <v>45</v>
      </c>
      <c r="AJ32" s="2" t="s">
        <v>46</v>
      </c>
      <c r="AK32" s="2" t="s">
        <v>42</v>
      </c>
      <c r="AL32" s="2" t="s">
        <v>187</v>
      </c>
    </row>
    <row r="33" spans="1:38" ht="409.5" x14ac:dyDescent="0.25">
      <c r="A33" s="2" t="s">
        <v>188</v>
      </c>
      <c r="B33" s="2" t="s">
        <v>189</v>
      </c>
      <c r="C33" s="2" t="s">
        <v>40</v>
      </c>
      <c r="D33" s="2"/>
      <c r="E33" s="2" t="s">
        <v>40</v>
      </c>
      <c r="F33" s="2" t="s">
        <v>41</v>
      </c>
      <c r="G33" s="2" t="s">
        <v>42</v>
      </c>
      <c r="H33" s="2">
        <v>3</v>
      </c>
      <c r="I33" s="2">
        <v>0</v>
      </c>
      <c r="J33" s="2">
        <v>0</v>
      </c>
      <c r="K33" s="2">
        <v>0</v>
      </c>
      <c r="L33" s="2" t="s">
        <v>43</v>
      </c>
      <c r="M33" s="2" t="s">
        <v>43</v>
      </c>
      <c r="N33" s="2" t="s">
        <v>43</v>
      </c>
      <c r="O33" s="2" t="s">
        <v>40</v>
      </c>
      <c r="P33" s="2" t="s">
        <v>44</v>
      </c>
      <c r="Q33" s="2" t="s">
        <v>45</v>
      </c>
      <c r="R33" s="2" t="s">
        <v>46</v>
      </c>
      <c r="S33" s="2" t="s">
        <v>42</v>
      </c>
      <c r="T33" s="2" t="s">
        <v>190</v>
      </c>
      <c r="U33" s="2" t="s">
        <v>43</v>
      </c>
      <c r="V33" s="2" t="s">
        <v>43</v>
      </c>
      <c r="W33" s="2" t="s">
        <v>43</v>
      </c>
      <c r="X33" s="2" t="s">
        <v>40</v>
      </c>
      <c r="Y33" s="2" t="s">
        <v>44</v>
      </c>
      <c r="Z33" s="2" t="s">
        <v>45</v>
      </c>
      <c r="AA33" s="2" t="s">
        <v>46</v>
      </c>
      <c r="AB33" s="2" t="s">
        <v>48</v>
      </c>
      <c r="AC33" s="2" t="s">
        <v>191</v>
      </c>
      <c r="AD33" s="2" t="s">
        <v>43</v>
      </c>
      <c r="AE33" s="2" t="s">
        <v>43</v>
      </c>
      <c r="AF33" s="2" t="s">
        <v>43</v>
      </c>
      <c r="AG33" s="2" t="s">
        <v>40</v>
      </c>
      <c r="AH33" s="2" t="s">
        <v>44</v>
      </c>
      <c r="AI33" s="2" t="s">
        <v>45</v>
      </c>
      <c r="AJ33" s="2" t="s">
        <v>46</v>
      </c>
      <c r="AK33" s="2" t="s">
        <v>42</v>
      </c>
      <c r="AL33" s="2" t="s">
        <v>192</v>
      </c>
    </row>
    <row r="34" spans="1:38" ht="409.5" x14ac:dyDescent="0.25">
      <c r="A34" s="2" t="s">
        <v>193</v>
      </c>
      <c r="B34" s="2" t="s">
        <v>194</v>
      </c>
      <c r="C34" s="2" t="s">
        <v>40</v>
      </c>
      <c r="D34" s="2"/>
      <c r="E34" s="2" t="s">
        <v>40</v>
      </c>
      <c r="F34" s="2" t="s">
        <v>41</v>
      </c>
      <c r="G34" s="2" t="s">
        <v>48</v>
      </c>
      <c r="H34" s="2">
        <v>3</v>
      </c>
      <c r="I34" s="2">
        <v>0</v>
      </c>
      <c r="J34" s="2">
        <v>0</v>
      </c>
      <c r="K34" s="2">
        <v>0</v>
      </c>
      <c r="L34" s="2" t="s">
        <v>43</v>
      </c>
      <c r="M34" s="2" t="s">
        <v>43</v>
      </c>
      <c r="N34" s="2" t="s">
        <v>43</v>
      </c>
      <c r="O34" s="2" t="s">
        <v>40</v>
      </c>
      <c r="P34" s="2" t="s">
        <v>44</v>
      </c>
      <c r="Q34" s="2" t="s">
        <v>45</v>
      </c>
      <c r="R34" s="2" t="s">
        <v>46</v>
      </c>
      <c r="S34" s="2" t="s">
        <v>48</v>
      </c>
      <c r="T34" s="2" t="s">
        <v>195</v>
      </c>
      <c r="U34" s="2" t="s">
        <v>43</v>
      </c>
      <c r="V34" s="2" t="s">
        <v>43</v>
      </c>
      <c r="W34" s="2" t="s">
        <v>43</v>
      </c>
      <c r="X34" s="2" t="s">
        <v>40</v>
      </c>
      <c r="Y34" s="2" t="s">
        <v>44</v>
      </c>
      <c r="Z34" s="2" t="s">
        <v>45</v>
      </c>
      <c r="AA34" s="2" t="s">
        <v>46</v>
      </c>
      <c r="AB34" s="2" t="s">
        <v>42</v>
      </c>
      <c r="AC34" s="2" t="s">
        <v>196</v>
      </c>
      <c r="AD34" s="2" t="s">
        <v>43</v>
      </c>
      <c r="AE34" s="2" t="s">
        <v>43</v>
      </c>
      <c r="AF34" s="2" t="s">
        <v>43</v>
      </c>
      <c r="AG34" s="2" t="s">
        <v>40</v>
      </c>
      <c r="AH34" s="2" t="s">
        <v>44</v>
      </c>
      <c r="AI34" s="2" t="s">
        <v>45</v>
      </c>
      <c r="AJ34" s="2" t="s">
        <v>46</v>
      </c>
      <c r="AK34" s="2" t="s">
        <v>48</v>
      </c>
      <c r="AL34" s="2" t="s">
        <v>197</v>
      </c>
    </row>
    <row r="35" spans="1:38" ht="360" x14ac:dyDescent="0.25">
      <c r="A35" s="2" t="s">
        <v>198</v>
      </c>
      <c r="B35" s="2" t="s">
        <v>199</v>
      </c>
      <c r="C35" s="2" t="s">
        <v>40</v>
      </c>
      <c r="D35" s="2"/>
      <c r="E35" s="2" t="s">
        <v>40</v>
      </c>
      <c r="F35" s="2" t="s">
        <v>41</v>
      </c>
      <c r="G35" s="2" t="s">
        <v>48</v>
      </c>
      <c r="H35" s="2">
        <v>3</v>
      </c>
      <c r="I35" s="2">
        <v>0</v>
      </c>
      <c r="J35" s="2">
        <v>0</v>
      </c>
      <c r="K35" s="2">
        <v>0</v>
      </c>
      <c r="L35" s="2" t="s">
        <v>43</v>
      </c>
      <c r="M35" s="2" t="s">
        <v>53</v>
      </c>
      <c r="N35" s="2" t="s">
        <v>43</v>
      </c>
      <c r="O35" s="2" t="s">
        <v>40</v>
      </c>
      <c r="P35" s="2" t="s">
        <v>44</v>
      </c>
      <c r="Q35" s="2" t="s">
        <v>45</v>
      </c>
      <c r="R35" s="2" t="s">
        <v>46</v>
      </c>
      <c r="S35" s="2" t="s">
        <v>48</v>
      </c>
      <c r="T35" s="2" t="s">
        <v>200</v>
      </c>
      <c r="U35" s="2" t="s">
        <v>43</v>
      </c>
      <c r="V35" s="2" t="s">
        <v>53</v>
      </c>
      <c r="W35" s="2" t="s">
        <v>43</v>
      </c>
      <c r="X35" s="2" t="s">
        <v>40</v>
      </c>
      <c r="Y35" s="2" t="s">
        <v>44</v>
      </c>
      <c r="Z35" s="2" t="s">
        <v>45</v>
      </c>
      <c r="AA35" s="2" t="s">
        <v>46</v>
      </c>
      <c r="AB35" s="2" t="s">
        <v>48</v>
      </c>
      <c r="AC35" s="2" t="s">
        <v>201</v>
      </c>
      <c r="AD35" s="2" t="s">
        <v>43</v>
      </c>
      <c r="AE35" s="2" t="s">
        <v>53</v>
      </c>
      <c r="AF35" s="2" t="s">
        <v>43</v>
      </c>
      <c r="AG35" s="2" t="s">
        <v>40</v>
      </c>
      <c r="AH35" s="2" t="s">
        <v>44</v>
      </c>
      <c r="AI35" s="2" t="s">
        <v>45</v>
      </c>
      <c r="AJ35" s="2" t="s">
        <v>46</v>
      </c>
      <c r="AK35" s="2" t="s">
        <v>42</v>
      </c>
      <c r="AL35" s="2" t="s">
        <v>202</v>
      </c>
    </row>
    <row r="36" spans="1:38" ht="405" x14ac:dyDescent="0.25">
      <c r="A36" s="2" t="s">
        <v>203</v>
      </c>
      <c r="B36" s="2" t="s">
        <v>204</v>
      </c>
      <c r="C36" s="2" t="s">
        <v>40</v>
      </c>
      <c r="D36" s="2"/>
      <c r="E36" s="2" t="s">
        <v>40</v>
      </c>
      <c r="F36" s="2" t="s">
        <v>41</v>
      </c>
      <c r="G36" s="2" t="s">
        <v>48</v>
      </c>
      <c r="H36" s="2">
        <v>3</v>
      </c>
      <c r="I36" s="2">
        <v>0</v>
      </c>
      <c r="J36" s="2">
        <v>0</v>
      </c>
      <c r="K36" s="2">
        <v>0</v>
      </c>
      <c r="L36" s="2" t="s">
        <v>43</v>
      </c>
      <c r="M36" s="2" t="s">
        <v>43</v>
      </c>
      <c r="N36" s="2" t="s">
        <v>43</v>
      </c>
      <c r="O36" s="2" t="s">
        <v>40</v>
      </c>
      <c r="P36" s="2" t="s">
        <v>44</v>
      </c>
      <c r="Q36" s="2" t="s">
        <v>45</v>
      </c>
      <c r="R36" s="2" t="s">
        <v>46</v>
      </c>
      <c r="S36" s="2" t="s">
        <v>48</v>
      </c>
      <c r="T36" s="2" t="s">
        <v>205</v>
      </c>
      <c r="U36" s="2" t="s">
        <v>43</v>
      </c>
      <c r="V36" s="2" t="s">
        <v>43</v>
      </c>
      <c r="W36" s="2" t="s">
        <v>43</v>
      </c>
      <c r="X36" s="2" t="s">
        <v>40</v>
      </c>
      <c r="Y36" s="2" t="s">
        <v>44</v>
      </c>
      <c r="Z36" s="2" t="s">
        <v>45</v>
      </c>
      <c r="AA36" s="2" t="s">
        <v>46</v>
      </c>
      <c r="AB36" s="2" t="s">
        <v>48</v>
      </c>
      <c r="AC36" s="2" t="s">
        <v>206</v>
      </c>
      <c r="AD36" s="2" t="s">
        <v>43</v>
      </c>
      <c r="AE36" s="2" t="s">
        <v>43</v>
      </c>
      <c r="AF36" s="2" t="s">
        <v>43</v>
      </c>
      <c r="AG36" s="2" t="s">
        <v>40</v>
      </c>
      <c r="AH36" s="2" t="s">
        <v>44</v>
      </c>
      <c r="AI36" s="2" t="s">
        <v>45</v>
      </c>
      <c r="AJ36" s="2" t="s">
        <v>46</v>
      </c>
      <c r="AK36" s="2" t="s">
        <v>48</v>
      </c>
      <c r="AL36" s="2" t="s">
        <v>206</v>
      </c>
    </row>
    <row r="37" spans="1:38" ht="409.5" x14ac:dyDescent="0.25">
      <c r="A37" s="2" t="s">
        <v>207</v>
      </c>
      <c r="B37" s="2" t="s">
        <v>208</v>
      </c>
      <c r="C37" s="2" t="s">
        <v>40</v>
      </c>
      <c r="D37" s="2"/>
      <c r="E37" s="2" t="s">
        <v>40</v>
      </c>
      <c r="F37" s="2" t="s">
        <v>41</v>
      </c>
      <c r="G37" s="2" t="s">
        <v>48</v>
      </c>
      <c r="H37" s="2">
        <v>3</v>
      </c>
      <c r="I37" s="2">
        <v>0</v>
      </c>
      <c r="J37" s="2">
        <v>0</v>
      </c>
      <c r="K37" s="2">
        <v>0</v>
      </c>
      <c r="L37" s="2" t="s">
        <v>43</v>
      </c>
      <c r="M37" s="2" t="s">
        <v>43</v>
      </c>
      <c r="N37" s="2" t="s">
        <v>43</v>
      </c>
      <c r="O37" s="2" t="s">
        <v>40</v>
      </c>
      <c r="P37" s="2" t="s">
        <v>44</v>
      </c>
      <c r="Q37" s="2" t="s">
        <v>45</v>
      </c>
      <c r="R37" s="2" t="s">
        <v>46</v>
      </c>
      <c r="S37" s="2" t="s">
        <v>48</v>
      </c>
      <c r="T37" s="2" t="s">
        <v>209</v>
      </c>
      <c r="U37" s="2" t="s">
        <v>43</v>
      </c>
      <c r="V37" s="2" t="s">
        <v>43</v>
      </c>
      <c r="W37" s="2" t="s">
        <v>43</v>
      </c>
      <c r="X37" s="2" t="s">
        <v>40</v>
      </c>
      <c r="Y37" s="2" t="s">
        <v>44</v>
      </c>
      <c r="Z37" s="2" t="s">
        <v>45</v>
      </c>
      <c r="AA37" s="2" t="s">
        <v>46</v>
      </c>
      <c r="AB37" s="2" t="s">
        <v>48</v>
      </c>
      <c r="AC37" s="2" t="s">
        <v>210</v>
      </c>
      <c r="AD37" s="2" t="s">
        <v>43</v>
      </c>
      <c r="AE37" s="2" t="s">
        <v>43</v>
      </c>
      <c r="AF37" s="2" t="s">
        <v>43</v>
      </c>
      <c r="AG37" s="2" t="s">
        <v>40</v>
      </c>
      <c r="AH37" s="2" t="s">
        <v>44</v>
      </c>
      <c r="AI37" s="2" t="s">
        <v>45</v>
      </c>
      <c r="AJ37" s="2" t="s">
        <v>46</v>
      </c>
      <c r="AK37" s="2" t="s">
        <v>48</v>
      </c>
      <c r="AL37" s="2" t="s">
        <v>209</v>
      </c>
    </row>
    <row r="38" spans="1:38" ht="409.5" x14ac:dyDescent="0.25">
      <c r="A38" s="2" t="s">
        <v>211</v>
      </c>
      <c r="B38" s="2" t="s">
        <v>212</v>
      </c>
      <c r="C38" s="2" t="s">
        <v>40</v>
      </c>
      <c r="D38" s="2"/>
      <c r="E38" s="2" t="s">
        <v>40</v>
      </c>
      <c r="F38" s="2" t="s">
        <v>41</v>
      </c>
      <c r="G38" s="2" t="s">
        <v>48</v>
      </c>
      <c r="H38" s="2">
        <v>3</v>
      </c>
      <c r="I38" s="2">
        <v>0</v>
      </c>
      <c r="J38" s="2">
        <v>0</v>
      </c>
      <c r="K38" s="2">
        <v>0</v>
      </c>
      <c r="L38" s="2" t="s">
        <v>43</v>
      </c>
      <c r="M38" s="2" t="s">
        <v>53</v>
      </c>
      <c r="N38" s="2" t="s">
        <v>43</v>
      </c>
      <c r="O38" s="2" t="s">
        <v>40</v>
      </c>
      <c r="P38" s="2" t="s">
        <v>44</v>
      </c>
      <c r="Q38" s="2" t="s">
        <v>45</v>
      </c>
      <c r="R38" s="2" t="s">
        <v>46</v>
      </c>
      <c r="S38" s="2" t="s">
        <v>42</v>
      </c>
      <c r="T38" s="2" t="s">
        <v>213</v>
      </c>
      <c r="U38" s="2" t="s">
        <v>43</v>
      </c>
      <c r="V38" s="2" t="s">
        <v>53</v>
      </c>
      <c r="W38" s="2" t="s">
        <v>43</v>
      </c>
      <c r="X38" s="2" t="s">
        <v>40</v>
      </c>
      <c r="Y38" s="2" t="s">
        <v>44</v>
      </c>
      <c r="Z38" s="2" t="s">
        <v>45</v>
      </c>
      <c r="AA38" s="2" t="s">
        <v>46</v>
      </c>
      <c r="AB38" s="2" t="s">
        <v>48</v>
      </c>
      <c r="AC38" s="2" t="s">
        <v>214</v>
      </c>
      <c r="AD38" s="2" t="s">
        <v>43</v>
      </c>
      <c r="AE38" s="2" t="s">
        <v>53</v>
      </c>
      <c r="AF38" s="2" t="s">
        <v>43</v>
      </c>
      <c r="AG38" s="2" t="s">
        <v>40</v>
      </c>
      <c r="AH38" s="2" t="s">
        <v>44</v>
      </c>
      <c r="AI38" s="2" t="s">
        <v>45</v>
      </c>
      <c r="AJ38" s="2" t="s">
        <v>46</v>
      </c>
      <c r="AK38" s="2" t="s">
        <v>48</v>
      </c>
      <c r="AL38" s="2" t="s">
        <v>215</v>
      </c>
    </row>
    <row r="39" spans="1:38" ht="330" x14ac:dyDescent="0.25">
      <c r="A39" s="2" t="s">
        <v>216</v>
      </c>
      <c r="B39" s="2" t="s">
        <v>217</v>
      </c>
      <c r="C39" s="2" t="s">
        <v>40</v>
      </c>
      <c r="D39" s="2"/>
      <c r="E39" s="2" t="s">
        <v>40</v>
      </c>
      <c r="F39" s="2" t="s">
        <v>41</v>
      </c>
      <c r="G39" s="2" t="s">
        <v>42</v>
      </c>
      <c r="H39" s="2">
        <v>3</v>
      </c>
      <c r="I39" s="2">
        <v>0</v>
      </c>
      <c r="J39" s="2">
        <v>0</v>
      </c>
      <c r="K39" s="2">
        <v>0</v>
      </c>
      <c r="L39" s="2" t="s">
        <v>43</v>
      </c>
      <c r="M39" s="2" t="s">
        <v>53</v>
      </c>
      <c r="N39" s="2" t="s">
        <v>43</v>
      </c>
      <c r="O39" s="2" t="s">
        <v>40</v>
      </c>
      <c r="P39" s="2" t="s">
        <v>54</v>
      </c>
      <c r="Q39" s="2" t="s">
        <v>45</v>
      </c>
      <c r="R39" s="2" t="s">
        <v>46</v>
      </c>
      <c r="S39" s="2" t="s">
        <v>42</v>
      </c>
      <c r="T39" s="2" t="s">
        <v>218</v>
      </c>
      <c r="U39" s="2" t="s">
        <v>43</v>
      </c>
      <c r="V39" s="2" t="s">
        <v>53</v>
      </c>
      <c r="W39" s="2" t="s">
        <v>43</v>
      </c>
      <c r="X39" s="2" t="s">
        <v>40</v>
      </c>
      <c r="Y39" s="2" t="s">
        <v>54</v>
      </c>
      <c r="Z39" s="2" t="s">
        <v>45</v>
      </c>
      <c r="AA39" s="2" t="s">
        <v>46</v>
      </c>
      <c r="AB39" s="2" t="s">
        <v>42</v>
      </c>
      <c r="AC39" s="2" t="s">
        <v>219</v>
      </c>
      <c r="AD39" s="2" t="s">
        <v>43</v>
      </c>
      <c r="AE39" s="2" t="s">
        <v>53</v>
      </c>
      <c r="AF39" s="2" t="s">
        <v>43</v>
      </c>
      <c r="AG39" s="2" t="s">
        <v>40</v>
      </c>
      <c r="AH39" s="2" t="s">
        <v>44</v>
      </c>
      <c r="AI39" s="2" t="s">
        <v>45</v>
      </c>
      <c r="AJ39" s="2" t="s">
        <v>46</v>
      </c>
      <c r="AK39" s="2" t="s">
        <v>42</v>
      </c>
      <c r="AL39" s="2" t="s">
        <v>220</v>
      </c>
    </row>
    <row r="40" spans="1:38" ht="330" x14ac:dyDescent="0.25">
      <c r="A40" s="2" t="s">
        <v>221</v>
      </c>
      <c r="B40" s="2" t="s">
        <v>222</v>
      </c>
      <c r="C40" s="2" t="s">
        <v>40</v>
      </c>
      <c r="D40" s="2"/>
      <c r="E40" s="2" t="s">
        <v>40</v>
      </c>
      <c r="F40" s="2" t="s">
        <v>41</v>
      </c>
      <c r="G40" s="2" t="s">
        <v>48</v>
      </c>
      <c r="H40" s="2">
        <v>3</v>
      </c>
      <c r="I40" s="2">
        <v>0</v>
      </c>
      <c r="J40" s="2">
        <v>0</v>
      </c>
      <c r="K40" s="2">
        <v>0</v>
      </c>
      <c r="L40" s="2" t="s">
        <v>43</v>
      </c>
      <c r="M40" s="2" t="s">
        <v>43</v>
      </c>
      <c r="N40" s="2" t="s">
        <v>43</v>
      </c>
      <c r="O40" s="2" t="s">
        <v>40</v>
      </c>
      <c r="P40" s="2" t="s">
        <v>44</v>
      </c>
      <c r="Q40" s="2" t="s">
        <v>45</v>
      </c>
      <c r="R40" s="2" t="s">
        <v>46</v>
      </c>
      <c r="S40" s="2" t="s">
        <v>48</v>
      </c>
      <c r="T40" s="2" t="s">
        <v>223</v>
      </c>
      <c r="U40" s="2" t="s">
        <v>43</v>
      </c>
      <c r="V40" s="2" t="s">
        <v>43</v>
      </c>
      <c r="W40" s="2" t="s">
        <v>43</v>
      </c>
      <c r="X40" s="2" t="s">
        <v>40</v>
      </c>
      <c r="Y40" s="2" t="s">
        <v>44</v>
      </c>
      <c r="Z40" s="2" t="s">
        <v>45</v>
      </c>
      <c r="AA40" s="2" t="s">
        <v>46</v>
      </c>
      <c r="AB40" s="2" t="s">
        <v>48</v>
      </c>
      <c r="AC40" s="2" t="s">
        <v>223</v>
      </c>
      <c r="AD40" s="2" t="s">
        <v>43</v>
      </c>
      <c r="AE40" s="2" t="s">
        <v>43</v>
      </c>
      <c r="AF40" s="2" t="s">
        <v>43</v>
      </c>
      <c r="AG40" s="2" t="s">
        <v>40</v>
      </c>
      <c r="AH40" s="2" t="s">
        <v>44</v>
      </c>
      <c r="AI40" s="2" t="s">
        <v>45</v>
      </c>
      <c r="AJ40" s="2" t="s">
        <v>46</v>
      </c>
      <c r="AK40" s="2" t="s">
        <v>48</v>
      </c>
      <c r="AL40" s="2" t="s">
        <v>223</v>
      </c>
    </row>
    <row r="41" spans="1:38" ht="409.5" x14ac:dyDescent="0.25">
      <c r="A41" s="2" t="s">
        <v>224</v>
      </c>
      <c r="B41" s="2" t="s">
        <v>225</v>
      </c>
      <c r="C41" s="2" t="s">
        <v>40</v>
      </c>
      <c r="D41" s="2"/>
      <c r="E41" s="2" t="s">
        <v>40</v>
      </c>
      <c r="F41" s="2" t="s">
        <v>41</v>
      </c>
      <c r="G41" s="2" t="s">
        <v>48</v>
      </c>
      <c r="H41" s="2">
        <v>3</v>
      </c>
      <c r="I41" s="2">
        <v>0</v>
      </c>
      <c r="J41" s="2">
        <v>0</v>
      </c>
      <c r="K41" s="2">
        <v>0</v>
      </c>
      <c r="L41" s="2" t="s">
        <v>43</v>
      </c>
      <c r="M41" s="2" t="s">
        <v>53</v>
      </c>
      <c r="N41" s="2" t="s">
        <v>43</v>
      </c>
      <c r="O41" s="2" t="s">
        <v>40</v>
      </c>
      <c r="P41" s="2" t="s">
        <v>54</v>
      </c>
      <c r="Q41" s="2" t="s">
        <v>45</v>
      </c>
      <c r="R41" s="2" t="s">
        <v>46</v>
      </c>
      <c r="S41" s="2" t="s">
        <v>48</v>
      </c>
      <c r="T41" s="2" t="s">
        <v>226</v>
      </c>
      <c r="U41" s="2" t="s">
        <v>43</v>
      </c>
      <c r="V41" s="2" t="s">
        <v>53</v>
      </c>
      <c r="W41" s="2" t="s">
        <v>43</v>
      </c>
      <c r="X41" s="2" t="s">
        <v>40</v>
      </c>
      <c r="Y41" s="2" t="s">
        <v>54</v>
      </c>
      <c r="Z41" s="2" t="s">
        <v>45</v>
      </c>
      <c r="AA41" s="2" t="s">
        <v>46</v>
      </c>
      <c r="AB41" s="2" t="s">
        <v>42</v>
      </c>
      <c r="AC41" s="2" t="s">
        <v>227</v>
      </c>
      <c r="AD41" s="2" t="s">
        <v>43</v>
      </c>
      <c r="AE41" s="2" t="s">
        <v>53</v>
      </c>
      <c r="AF41" s="2" t="s">
        <v>43</v>
      </c>
      <c r="AG41" s="2" t="s">
        <v>40</v>
      </c>
      <c r="AH41" s="2" t="s">
        <v>54</v>
      </c>
      <c r="AI41" s="2" t="s">
        <v>45</v>
      </c>
      <c r="AJ41" s="2" t="s">
        <v>46</v>
      </c>
      <c r="AK41" s="2" t="s">
        <v>48</v>
      </c>
      <c r="AL41" s="2" t="s">
        <v>228</v>
      </c>
    </row>
    <row r="42" spans="1:38" ht="300" x14ac:dyDescent="0.25">
      <c r="A42" s="2" t="s">
        <v>229</v>
      </c>
      <c r="B42" s="2" t="s">
        <v>230</v>
      </c>
      <c r="C42" s="2" t="s">
        <v>40</v>
      </c>
      <c r="D42" s="2"/>
      <c r="E42" s="2" t="s">
        <v>40</v>
      </c>
      <c r="F42" s="2" t="s">
        <v>41</v>
      </c>
      <c r="G42" s="2" t="s">
        <v>48</v>
      </c>
      <c r="H42" s="2">
        <v>3</v>
      </c>
      <c r="I42" s="2">
        <v>0</v>
      </c>
      <c r="J42" s="2">
        <v>0</v>
      </c>
      <c r="K42" s="2">
        <v>0</v>
      </c>
      <c r="L42" s="2" t="s">
        <v>43</v>
      </c>
      <c r="M42" s="2" t="s">
        <v>53</v>
      </c>
      <c r="N42" s="2" t="s">
        <v>43</v>
      </c>
      <c r="O42" s="2" t="s">
        <v>40</v>
      </c>
      <c r="P42" s="2" t="s">
        <v>44</v>
      </c>
      <c r="Q42" s="2" t="s">
        <v>45</v>
      </c>
      <c r="R42" s="2" t="s">
        <v>46</v>
      </c>
      <c r="S42" s="2" t="s">
        <v>48</v>
      </c>
      <c r="T42" s="2" t="s">
        <v>231</v>
      </c>
      <c r="U42" s="2" t="s">
        <v>43</v>
      </c>
      <c r="V42" s="2" t="s">
        <v>53</v>
      </c>
      <c r="W42" s="2" t="s">
        <v>43</v>
      </c>
      <c r="X42" s="2" t="s">
        <v>40</v>
      </c>
      <c r="Y42" s="2" t="s">
        <v>44</v>
      </c>
      <c r="Z42" s="2" t="s">
        <v>45</v>
      </c>
      <c r="AA42" s="2" t="s">
        <v>46</v>
      </c>
      <c r="AB42" s="2" t="s">
        <v>48</v>
      </c>
      <c r="AC42" s="2" t="s">
        <v>232</v>
      </c>
      <c r="AD42" s="2" t="s">
        <v>43</v>
      </c>
      <c r="AE42" s="2" t="s">
        <v>53</v>
      </c>
      <c r="AF42" s="2" t="s">
        <v>43</v>
      </c>
      <c r="AG42" s="2" t="s">
        <v>40</v>
      </c>
      <c r="AH42" s="2" t="s">
        <v>44</v>
      </c>
      <c r="AI42" s="2" t="s">
        <v>45</v>
      </c>
      <c r="AJ42" s="2" t="s">
        <v>46</v>
      </c>
      <c r="AK42" s="2" t="s">
        <v>48</v>
      </c>
      <c r="AL42" s="2" t="s">
        <v>232</v>
      </c>
    </row>
    <row r="43" spans="1:38" ht="390" x14ac:dyDescent="0.25">
      <c r="A43" s="2" t="s">
        <v>233</v>
      </c>
      <c r="B43" s="2" t="s">
        <v>234</v>
      </c>
      <c r="C43" s="2" t="s">
        <v>40</v>
      </c>
      <c r="D43" s="2"/>
      <c r="E43" s="2" t="s">
        <v>40</v>
      </c>
      <c r="F43" s="2" t="s">
        <v>41</v>
      </c>
      <c r="G43" s="2" t="s">
        <v>48</v>
      </c>
      <c r="H43" s="2">
        <v>3</v>
      </c>
      <c r="I43" s="2">
        <v>0</v>
      </c>
      <c r="J43" s="2">
        <v>0</v>
      </c>
      <c r="K43" s="2">
        <v>0</v>
      </c>
      <c r="L43" s="2" t="s">
        <v>43</v>
      </c>
      <c r="M43" s="2" t="s">
        <v>43</v>
      </c>
      <c r="N43" s="2" t="s">
        <v>43</v>
      </c>
      <c r="O43" s="2" t="s">
        <v>40</v>
      </c>
      <c r="P43" s="2" t="s">
        <v>44</v>
      </c>
      <c r="Q43" s="2" t="s">
        <v>45</v>
      </c>
      <c r="R43" s="2" t="s">
        <v>46</v>
      </c>
      <c r="S43" s="2" t="s">
        <v>48</v>
      </c>
      <c r="T43" s="2" t="s">
        <v>235</v>
      </c>
      <c r="U43" s="2" t="s">
        <v>43</v>
      </c>
      <c r="V43" s="2" t="s">
        <v>43</v>
      </c>
      <c r="W43" s="2" t="s">
        <v>43</v>
      </c>
      <c r="X43" s="2" t="s">
        <v>40</v>
      </c>
      <c r="Y43" s="2" t="s">
        <v>44</v>
      </c>
      <c r="Z43" s="2" t="s">
        <v>45</v>
      </c>
      <c r="AA43" s="2" t="s">
        <v>46</v>
      </c>
      <c r="AB43" s="2" t="s">
        <v>48</v>
      </c>
      <c r="AC43" s="2" t="s">
        <v>236</v>
      </c>
      <c r="AD43" s="2" t="s">
        <v>43</v>
      </c>
      <c r="AE43" s="2" t="s">
        <v>43</v>
      </c>
      <c r="AF43" s="2" t="s">
        <v>43</v>
      </c>
      <c r="AG43" s="2" t="s">
        <v>40</v>
      </c>
      <c r="AH43" s="2" t="s">
        <v>44</v>
      </c>
      <c r="AI43" s="2" t="s">
        <v>45</v>
      </c>
      <c r="AJ43" s="2" t="s">
        <v>46</v>
      </c>
      <c r="AK43" s="2" t="s">
        <v>48</v>
      </c>
      <c r="AL43" s="2" t="s">
        <v>237</v>
      </c>
    </row>
    <row r="44" spans="1:38" ht="409.5" x14ac:dyDescent="0.25">
      <c r="A44" s="2" t="s">
        <v>238</v>
      </c>
      <c r="B44" s="2" t="s">
        <v>239</v>
      </c>
      <c r="C44" s="2" t="s">
        <v>40</v>
      </c>
      <c r="D44" s="2"/>
      <c r="E44" s="2" t="s">
        <v>40</v>
      </c>
      <c r="F44" s="2" t="s">
        <v>41</v>
      </c>
      <c r="G44" s="2" t="s">
        <v>48</v>
      </c>
      <c r="H44" s="2">
        <v>3</v>
      </c>
      <c r="I44" s="2">
        <v>0</v>
      </c>
      <c r="J44" s="2">
        <v>0</v>
      </c>
      <c r="K44" s="2">
        <v>0</v>
      </c>
      <c r="L44" s="2" t="s">
        <v>43</v>
      </c>
      <c r="M44" s="2" t="s">
        <v>43</v>
      </c>
      <c r="N44" s="2" t="s">
        <v>43</v>
      </c>
      <c r="O44" s="2" t="s">
        <v>40</v>
      </c>
      <c r="P44" s="2" t="s">
        <v>44</v>
      </c>
      <c r="Q44" s="2" t="s">
        <v>45</v>
      </c>
      <c r="R44" s="2" t="s">
        <v>46</v>
      </c>
      <c r="S44" s="2" t="s">
        <v>48</v>
      </c>
      <c r="T44" s="2" t="s">
        <v>240</v>
      </c>
      <c r="U44" s="2" t="s">
        <v>43</v>
      </c>
      <c r="V44" s="2" t="s">
        <v>43</v>
      </c>
      <c r="W44" s="2" t="s">
        <v>43</v>
      </c>
      <c r="X44" s="2" t="s">
        <v>40</v>
      </c>
      <c r="Y44" s="2" t="s">
        <v>44</v>
      </c>
      <c r="Z44" s="2" t="s">
        <v>45</v>
      </c>
      <c r="AA44" s="2" t="s">
        <v>46</v>
      </c>
      <c r="AB44" s="2" t="s">
        <v>48</v>
      </c>
      <c r="AC44" s="2" t="s">
        <v>241</v>
      </c>
      <c r="AD44" s="2" t="s">
        <v>43</v>
      </c>
      <c r="AE44" s="2" t="s">
        <v>43</v>
      </c>
      <c r="AF44" s="2" t="s">
        <v>43</v>
      </c>
      <c r="AG44" s="2" t="s">
        <v>40</v>
      </c>
      <c r="AH44" s="2" t="s">
        <v>44</v>
      </c>
      <c r="AI44" s="2" t="s">
        <v>45</v>
      </c>
      <c r="AJ44" s="2" t="s">
        <v>46</v>
      </c>
      <c r="AK44" s="2" t="s">
        <v>48</v>
      </c>
      <c r="AL44" s="2" t="s">
        <v>242</v>
      </c>
    </row>
    <row r="45" spans="1:38" ht="405" x14ac:dyDescent="0.25">
      <c r="A45" s="2" t="s">
        <v>243</v>
      </c>
      <c r="B45" s="2" t="s">
        <v>244</v>
      </c>
      <c r="C45" s="2" t="s">
        <v>115</v>
      </c>
      <c r="D45" s="2"/>
      <c r="E45" s="2" t="s">
        <v>115</v>
      </c>
      <c r="F45" s="2" t="s">
        <v>245</v>
      </c>
      <c r="G45" s="2" t="s">
        <v>42</v>
      </c>
      <c r="H45" s="2">
        <v>0</v>
      </c>
      <c r="I45" s="2">
        <v>3</v>
      </c>
      <c r="J45" s="2">
        <v>0</v>
      </c>
      <c r="K45" s="2">
        <v>0</v>
      </c>
      <c r="L45" s="2" t="s">
        <v>45</v>
      </c>
      <c r="M45" s="2" t="s">
        <v>45</v>
      </c>
      <c r="N45" s="2" t="s">
        <v>45</v>
      </c>
      <c r="O45" s="2" t="s">
        <v>115</v>
      </c>
      <c r="P45" s="2" t="s">
        <v>44</v>
      </c>
      <c r="Q45" s="2" t="s">
        <v>45</v>
      </c>
      <c r="R45" s="2" t="s">
        <v>46</v>
      </c>
      <c r="S45" s="2" t="s">
        <v>48</v>
      </c>
      <c r="T45" s="2" t="s">
        <v>246</v>
      </c>
      <c r="U45" s="2" t="s">
        <v>45</v>
      </c>
      <c r="V45" s="2" t="s">
        <v>45</v>
      </c>
      <c r="W45" s="2" t="s">
        <v>45</v>
      </c>
      <c r="X45" s="2" t="s">
        <v>115</v>
      </c>
      <c r="Y45" s="2" t="s">
        <v>44</v>
      </c>
      <c r="Z45" s="2" t="s">
        <v>45</v>
      </c>
      <c r="AA45" s="2" t="s">
        <v>46</v>
      </c>
      <c r="AB45" s="2" t="s">
        <v>42</v>
      </c>
      <c r="AC45" s="2" t="s">
        <v>247</v>
      </c>
      <c r="AD45" s="2" t="s">
        <v>45</v>
      </c>
      <c r="AE45" s="2" t="s">
        <v>45</v>
      </c>
      <c r="AF45" s="2" t="s">
        <v>45</v>
      </c>
      <c r="AG45" s="2" t="s">
        <v>115</v>
      </c>
      <c r="AH45" s="2" t="s">
        <v>44</v>
      </c>
      <c r="AI45" s="2" t="s">
        <v>45</v>
      </c>
      <c r="AJ45" s="2" t="s">
        <v>46</v>
      </c>
      <c r="AK45" s="2" t="s">
        <v>42</v>
      </c>
      <c r="AL45" s="2" t="s">
        <v>247</v>
      </c>
    </row>
    <row r="46" spans="1:38" ht="390" x14ac:dyDescent="0.25">
      <c r="A46" s="2" t="s">
        <v>248</v>
      </c>
      <c r="B46" s="2" t="s">
        <v>249</v>
      </c>
      <c r="C46" s="2" t="s">
        <v>115</v>
      </c>
      <c r="D46" s="2"/>
      <c r="E46" s="2" t="s">
        <v>115</v>
      </c>
      <c r="F46" s="2" t="s">
        <v>245</v>
      </c>
      <c r="G46" s="2" t="s">
        <v>42</v>
      </c>
      <c r="H46" s="2">
        <v>0</v>
      </c>
      <c r="I46" s="2">
        <v>3</v>
      </c>
      <c r="J46" s="2">
        <v>0</v>
      </c>
      <c r="K46" s="2">
        <v>0</v>
      </c>
      <c r="L46" s="2" t="s">
        <v>53</v>
      </c>
      <c r="M46" s="2" t="s">
        <v>45</v>
      </c>
      <c r="N46" s="2" t="s">
        <v>45</v>
      </c>
      <c r="O46" s="2" t="s">
        <v>115</v>
      </c>
      <c r="P46" s="2" t="s">
        <v>44</v>
      </c>
      <c r="Q46" s="2" t="s">
        <v>45</v>
      </c>
      <c r="R46" s="2" t="s">
        <v>46</v>
      </c>
      <c r="S46" s="2" t="s">
        <v>42</v>
      </c>
      <c r="T46" s="2" t="s">
        <v>250</v>
      </c>
      <c r="U46" s="2" t="s">
        <v>53</v>
      </c>
      <c r="V46" s="2" t="s">
        <v>45</v>
      </c>
      <c r="W46" s="2" t="s">
        <v>45</v>
      </c>
      <c r="X46" s="2" t="s">
        <v>115</v>
      </c>
      <c r="Y46" s="2" t="s">
        <v>44</v>
      </c>
      <c r="Z46" s="2" t="s">
        <v>45</v>
      </c>
      <c r="AA46" s="2" t="s">
        <v>46</v>
      </c>
      <c r="AB46" s="2" t="s">
        <v>42</v>
      </c>
      <c r="AC46" s="2" t="s">
        <v>251</v>
      </c>
      <c r="AD46" s="2" t="s">
        <v>53</v>
      </c>
      <c r="AE46" s="2" t="s">
        <v>45</v>
      </c>
      <c r="AF46" s="2" t="s">
        <v>45</v>
      </c>
      <c r="AG46" s="2" t="s">
        <v>115</v>
      </c>
      <c r="AH46" s="2" t="s">
        <v>44</v>
      </c>
      <c r="AI46" s="2" t="s">
        <v>45</v>
      </c>
      <c r="AJ46" s="2" t="s">
        <v>46</v>
      </c>
      <c r="AK46" s="2" t="s">
        <v>42</v>
      </c>
      <c r="AL46" s="2" t="s">
        <v>252</v>
      </c>
    </row>
    <row r="47" spans="1:38" ht="240" x14ac:dyDescent="0.25">
      <c r="A47" s="2" t="s">
        <v>253</v>
      </c>
      <c r="B47" s="2" t="s">
        <v>254</v>
      </c>
      <c r="C47" s="2" t="s">
        <v>115</v>
      </c>
      <c r="D47" s="2"/>
      <c r="E47" s="2" t="s">
        <v>115</v>
      </c>
      <c r="F47" s="2" t="s">
        <v>245</v>
      </c>
      <c r="G47" s="2" t="s">
        <v>42</v>
      </c>
      <c r="H47" s="2">
        <v>0</v>
      </c>
      <c r="I47" s="2">
        <v>3</v>
      </c>
      <c r="J47" s="2">
        <v>0</v>
      </c>
      <c r="K47" s="2">
        <v>0</v>
      </c>
      <c r="L47" s="2" t="s">
        <v>45</v>
      </c>
      <c r="M47" s="2" t="s">
        <v>45</v>
      </c>
      <c r="N47" s="2" t="s">
        <v>45</v>
      </c>
      <c r="O47" s="2" t="s">
        <v>115</v>
      </c>
      <c r="P47" s="2" t="s">
        <v>44</v>
      </c>
      <c r="Q47" s="2" t="s">
        <v>45</v>
      </c>
      <c r="R47" s="2" t="s">
        <v>46</v>
      </c>
      <c r="S47" s="2" t="s">
        <v>42</v>
      </c>
      <c r="T47" s="2" t="s">
        <v>255</v>
      </c>
      <c r="U47" s="2" t="s">
        <v>45</v>
      </c>
      <c r="V47" s="2" t="s">
        <v>45</v>
      </c>
      <c r="W47" s="2" t="s">
        <v>45</v>
      </c>
      <c r="X47" s="2" t="s">
        <v>115</v>
      </c>
      <c r="Y47" s="2" t="s">
        <v>44</v>
      </c>
      <c r="Z47" s="2" t="s">
        <v>45</v>
      </c>
      <c r="AA47" s="2" t="s">
        <v>46</v>
      </c>
      <c r="AB47" s="2" t="s">
        <v>42</v>
      </c>
      <c r="AC47" s="2" t="s">
        <v>256</v>
      </c>
      <c r="AD47" s="2" t="s">
        <v>45</v>
      </c>
      <c r="AE47" s="2" t="s">
        <v>45</v>
      </c>
      <c r="AF47" s="2" t="s">
        <v>45</v>
      </c>
      <c r="AG47" s="2" t="s">
        <v>115</v>
      </c>
      <c r="AH47" s="2" t="s">
        <v>44</v>
      </c>
      <c r="AI47" s="2" t="s">
        <v>45</v>
      </c>
      <c r="AJ47" s="2" t="s">
        <v>46</v>
      </c>
      <c r="AK47" s="2" t="s">
        <v>42</v>
      </c>
      <c r="AL47" s="2" t="s">
        <v>257</v>
      </c>
    </row>
    <row r="48" spans="1:38" ht="330" x14ac:dyDescent="0.25">
      <c r="A48" s="2" t="s">
        <v>258</v>
      </c>
      <c r="B48" s="2" t="s">
        <v>259</v>
      </c>
      <c r="C48" s="2" t="s">
        <v>115</v>
      </c>
      <c r="D48" s="2"/>
      <c r="E48" s="2" t="s">
        <v>115</v>
      </c>
      <c r="F48" s="2" t="s">
        <v>245</v>
      </c>
      <c r="G48" s="2" t="s">
        <v>42</v>
      </c>
      <c r="H48" s="2">
        <v>0</v>
      </c>
      <c r="I48" s="2">
        <v>3</v>
      </c>
      <c r="J48" s="2">
        <v>0</v>
      </c>
      <c r="K48" s="2">
        <v>0</v>
      </c>
      <c r="L48" s="2" t="s">
        <v>43</v>
      </c>
      <c r="M48" s="2" t="s">
        <v>45</v>
      </c>
      <c r="N48" s="2" t="s">
        <v>45</v>
      </c>
      <c r="O48" s="2" t="s">
        <v>115</v>
      </c>
      <c r="P48" s="2" t="s">
        <v>44</v>
      </c>
      <c r="Q48" s="2" t="s">
        <v>45</v>
      </c>
      <c r="R48" s="2" t="s">
        <v>46</v>
      </c>
      <c r="S48" s="2" t="s">
        <v>42</v>
      </c>
      <c r="T48" s="2" t="s">
        <v>260</v>
      </c>
      <c r="U48" s="2" t="s">
        <v>43</v>
      </c>
      <c r="V48" s="2" t="s">
        <v>45</v>
      </c>
      <c r="W48" s="2" t="s">
        <v>45</v>
      </c>
      <c r="X48" s="2" t="s">
        <v>115</v>
      </c>
      <c r="Y48" s="2" t="s">
        <v>44</v>
      </c>
      <c r="Z48" s="2" t="s">
        <v>45</v>
      </c>
      <c r="AA48" s="2" t="s">
        <v>46</v>
      </c>
      <c r="AB48" s="2" t="s">
        <v>42</v>
      </c>
      <c r="AC48" s="2" t="s">
        <v>260</v>
      </c>
      <c r="AD48" s="2" t="s">
        <v>43</v>
      </c>
      <c r="AE48" s="2" t="s">
        <v>45</v>
      </c>
      <c r="AF48" s="2" t="s">
        <v>45</v>
      </c>
      <c r="AG48" s="2" t="s">
        <v>115</v>
      </c>
      <c r="AH48" s="2" t="s">
        <v>44</v>
      </c>
      <c r="AI48" s="2" t="s">
        <v>45</v>
      </c>
      <c r="AJ48" s="2" t="s">
        <v>46</v>
      </c>
      <c r="AK48" s="2" t="s">
        <v>42</v>
      </c>
      <c r="AL48" s="2" t="s">
        <v>261</v>
      </c>
    </row>
    <row r="49" spans="1:38" ht="270" x14ac:dyDescent="0.25">
      <c r="A49" s="2" t="s">
        <v>262</v>
      </c>
      <c r="B49" s="2" t="s">
        <v>263</v>
      </c>
      <c r="C49" s="2" t="s">
        <v>115</v>
      </c>
      <c r="D49" s="2"/>
      <c r="E49" s="2" t="s">
        <v>115</v>
      </c>
      <c r="F49" s="2" t="s">
        <v>245</v>
      </c>
      <c r="G49" s="2" t="s">
        <v>42</v>
      </c>
      <c r="H49" s="2">
        <v>0</v>
      </c>
      <c r="I49" s="2">
        <v>3</v>
      </c>
      <c r="J49" s="2">
        <v>0</v>
      </c>
      <c r="K49" s="2">
        <v>0</v>
      </c>
      <c r="L49" s="2" t="s">
        <v>43</v>
      </c>
      <c r="M49" s="2" t="s">
        <v>45</v>
      </c>
      <c r="N49" s="2" t="s">
        <v>43</v>
      </c>
      <c r="O49" s="2" t="s">
        <v>115</v>
      </c>
      <c r="P49" s="2" t="s">
        <v>44</v>
      </c>
      <c r="Q49" s="2" t="s">
        <v>45</v>
      </c>
      <c r="R49" s="2" t="s">
        <v>46</v>
      </c>
      <c r="S49" s="2" t="s">
        <v>42</v>
      </c>
      <c r="T49" s="2" t="s">
        <v>264</v>
      </c>
      <c r="U49" s="2" t="s">
        <v>43</v>
      </c>
      <c r="V49" s="2" t="s">
        <v>45</v>
      </c>
      <c r="W49" s="2" t="s">
        <v>43</v>
      </c>
      <c r="X49" s="2" t="s">
        <v>115</v>
      </c>
      <c r="Y49" s="2" t="s">
        <v>44</v>
      </c>
      <c r="Z49" s="2" t="s">
        <v>45</v>
      </c>
      <c r="AA49" s="2" t="s">
        <v>46</v>
      </c>
      <c r="AB49" s="2" t="s">
        <v>42</v>
      </c>
      <c r="AC49" s="2" t="s">
        <v>264</v>
      </c>
      <c r="AD49" s="2" t="s">
        <v>43</v>
      </c>
      <c r="AE49" s="2" t="s">
        <v>45</v>
      </c>
      <c r="AF49" s="2" t="s">
        <v>43</v>
      </c>
      <c r="AG49" s="2" t="s">
        <v>115</v>
      </c>
      <c r="AH49" s="2" t="s">
        <v>44</v>
      </c>
      <c r="AI49" s="2" t="s">
        <v>45</v>
      </c>
      <c r="AJ49" s="2" t="s">
        <v>46</v>
      </c>
      <c r="AK49" s="2" t="s">
        <v>42</v>
      </c>
      <c r="AL49" s="2" t="s">
        <v>264</v>
      </c>
    </row>
    <row r="50" spans="1:38" ht="315" x14ac:dyDescent="0.25">
      <c r="A50" s="2" t="s">
        <v>265</v>
      </c>
      <c r="B50" s="2" t="s">
        <v>266</v>
      </c>
      <c r="C50" s="2" t="s">
        <v>115</v>
      </c>
      <c r="D50" s="2"/>
      <c r="E50" s="2" t="s">
        <v>115</v>
      </c>
      <c r="F50" s="2" t="s">
        <v>245</v>
      </c>
      <c r="G50" s="2" t="s">
        <v>42</v>
      </c>
      <c r="H50" s="2">
        <v>0</v>
      </c>
      <c r="I50" s="2">
        <v>3</v>
      </c>
      <c r="J50" s="2">
        <v>0</v>
      </c>
      <c r="K50" s="2">
        <v>0</v>
      </c>
      <c r="L50" s="2" t="s">
        <v>43</v>
      </c>
      <c r="M50" s="2" t="s">
        <v>45</v>
      </c>
      <c r="N50" s="2" t="s">
        <v>43</v>
      </c>
      <c r="O50" s="2" t="s">
        <v>115</v>
      </c>
      <c r="P50" s="2" t="s">
        <v>44</v>
      </c>
      <c r="Q50" s="2" t="s">
        <v>45</v>
      </c>
      <c r="R50" s="2" t="s">
        <v>46</v>
      </c>
      <c r="S50" s="2" t="s">
        <v>48</v>
      </c>
      <c r="T50" s="2" t="s">
        <v>267</v>
      </c>
      <c r="U50" s="2" t="s">
        <v>43</v>
      </c>
      <c r="V50" s="2" t="s">
        <v>45</v>
      </c>
      <c r="W50" s="2" t="s">
        <v>43</v>
      </c>
      <c r="X50" s="2" t="s">
        <v>115</v>
      </c>
      <c r="Y50" s="2" t="s">
        <v>44</v>
      </c>
      <c r="Z50" s="2" t="s">
        <v>45</v>
      </c>
      <c r="AA50" s="2" t="s">
        <v>46</v>
      </c>
      <c r="AB50" s="2" t="s">
        <v>42</v>
      </c>
      <c r="AC50" s="2" t="s">
        <v>268</v>
      </c>
      <c r="AD50" s="2" t="s">
        <v>43</v>
      </c>
      <c r="AE50" s="2" t="s">
        <v>45</v>
      </c>
      <c r="AF50" s="2" t="s">
        <v>43</v>
      </c>
      <c r="AG50" s="2" t="s">
        <v>115</v>
      </c>
      <c r="AH50" s="2" t="s">
        <v>44</v>
      </c>
      <c r="AI50" s="2" t="s">
        <v>45</v>
      </c>
      <c r="AJ50" s="2" t="s">
        <v>46</v>
      </c>
      <c r="AK50" s="2" t="s">
        <v>42</v>
      </c>
      <c r="AL50" s="2" t="s">
        <v>267</v>
      </c>
    </row>
    <row r="51" spans="1:38" ht="300" x14ac:dyDescent="0.25">
      <c r="A51" s="2" t="s">
        <v>269</v>
      </c>
      <c r="B51" s="2" t="s">
        <v>270</v>
      </c>
      <c r="C51" s="2" t="s">
        <v>115</v>
      </c>
      <c r="D51" s="2"/>
      <c r="E51" s="2" t="s">
        <v>115</v>
      </c>
      <c r="F51" s="2" t="s">
        <v>245</v>
      </c>
      <c r="G51" s="2" t="s">
        <v>42</v>
      </c>
      <c r="H51" s="2">
        <v>0</v>
      </c>
      <c r="I51" s="2">
        <v>3</v>
      </c>
      <c r="J51" s="2">
        <v>0</v>
      </c>
      <c r="K51" s="2">
        <v>0</v>
      </c>
      <c r="L51" s="2" t="s">
        <v>43</v>
      </c>
      <c r="M51" s="2" t="s">
        <v>45</v>
      </c>
      <c r="N51" s="2" t="s">
        <v>53</v>
      </c>
      <c r="O51" s="2" t="s">
        <v>115</v>
      </c>
      <c r="P51" s="2" t="s">
        <v>54</v>
      </c>
      <c r="Q51" s="2" t="s">
        <v>45</v>
      </c>
      <c r="R51" s="2" t="s">
        <v>46</v>
      </c>
      <c r="S51" s="2" t="s">
        <v>42</v>
      </c>
      <c r="T51" s="2" t="s">
        <v>271</v>
      </c>
      <c r="U51" s="2" t="s">
        <v>43</v>
      </c>
      <c r="V51" s="2" t="s">
        <v>45</v>
      </c>
      <c r="W51" s="2" t="s">
        <v>53</v>
      </c>
      <c r="X51" s="2" t="s">
        <v>115</v>
      </c>
      <c r="Y51" s="2" t="s">
        <v>54</v>
      </c>
      <c r="Z51" s="2" t="s">
        <v>45</v>
      </c>
      <c r="AA51" s="2" t="s">
        <v>46</v>
      </c>
      <c r="AB51" s="2" t="s">
        <v>42</v>
      </c>
      <c r="AC51" s="2" t="s">
        <v>272</v>
      </c>
      <c r="AD51" s="2" t="s">
        <v>43</v>
      </c>
      <c r="AE51" s="2" t="s">
        <v>45</v>
      </c>
      <c r="AF51" s="2" t="s">
        <v>43</v>
      </c>
      <c r="AG51" s="2" t="s">
        <v>115</v>
      </c>
      <c r="AH51" s="2" t="s">
        <v>44</v>
      </c>
      <c r="AI51" s="2" t="s">
        <v>45</v>
      </c>
      <c r="AJ51" s="2" t="s">
        <v>46</v>
      </c>
      <c r="AK51" s="2" t="s">
        <v>42</v>
      </c>
      <c r="AL51" s="2" t="s">
        <v>273</v>
      </c>
    </row>
    <row r="52" spans="1:38" ht="150" x14ac:dyDescent="0.25">
      <c r="A52" s="2" t="s">
        <v>274</v>
      </c>
      <c r="B52" s="2" t="s">
        <v>275</v>
      </c>
      <c r="C52" s="2" t="s">
        <v>115</v>
      </c>
      <c r="D52" s="2"/>
      <c r="E52" s="2" t="s">
        <v>115</v>
      </c>
      <c r="F52" s="2" t="s">
        <v>245</v>
      </c>
      <c r="G52" s="2" t="s">
        <v>42</v>
      </c>
      <c r="H52" s="2">
        <v>0</v>
      </c>
      <c r="I52" s="2">
        <v>3</v>
      </c>
      <c r="J52" s="2">
        <v>0</v>
      </c>
      <c r="K52" s="2">
        <v>0</v>
      </c>
      <c r="L52" s="2" t="s">
        <v>53</v>
      </c>
      <c r="M52" s="2" t="s">
        <v>45</v>
      </c>
      <c r="N52" s="2" t="s">
        <v>43</v>
      </c>
      <c r="O52" s="2" t="s">
        <v>115</v>
      </c>
      <c r="P52" s="2" t="s">
        <v>54</v>
      </c>
      <c r="Q52" s="2" t="s">
        <v>45</v>
      </c>
      <c r="R52" s="2" t="s">
        <v>46</v>
      </c>
      <c r="S52" s="2" t="s">
        <v>42</v>
      </c>
      <c r="T52" s="2" t="s">
        <v>276</v>
      </c>
      <c r="U52" s="2" t="s">
        <v>53</v>
      </c>
      <c r="V52" s="2" t="s">
        <v>45</v>
      </c>
      <c r="W52" s="2" t="s">
        <v>43</v>
      </c>
      <c r="X52" s="2" t="s">
        <v>115</v>
      </c>
      <c r="Y52" s="2" t="s">
        <v>54</v>
      </c>
      <c r="Z52" s="2" t="s">
        <v>45</v>
      </c>
      <c r="AA52" s="2" t="s">
        <v>46</v>
      </c>
      <c r="AB52" s="2" t="s">
        <v>42</v>
      </c>
      <c r="AC52" s="2" t="s">
        <v>277</v>
      </c>
      <c r="AD52" s="2" t="s">
        <v>53</v>
      </c>
      <c r="AE52" s="2" t="s">
        <v>45</v>
      </c>
      <c r="AF52" s="2" t="s">
        <v>43</v>
      </c>
      <c r="AG52" s="2" t="s">
        <v>115</v>
      </c>
      <c r="AH52" s="2" t="s">
        <v>54</v>
      </c>
      <c r="AI52" s="2" t="s">
        <v>45</v>
      </c>
      <c r="AJ52" s="2" t="s">
        <v>46</v>
      </c>
      <c r="AK52" s="2" t="s">
        <v>42</v>
      </c>
      <c r="AL52" s="2" t="s">
        <v>278</v>
      </c>
    </row>
    <row r="53" spans="1:38" ht="360" x14ac:dyDescent="0.25">
      <c r="A53" s="2" t="s">
        <v>279</v>
      </c>
      <c r="B53" s="2" t="s">
        <v>280</v>
      </c>
      <c r="C53" s="2" t="s">
        <v>115</v>
      </c>
      <c r="D53" s="2"/>
      <c r="E53" s="2" t="s">
        <v>115</v>
      </c>
      <c r="F53" s="2" t="s">
        <v>245</v>
      </c>
      <c r="G53" s="2" t="s">
        <v>42</v>
      </c>
      <c r="H53" s="2">
        <v>0</v>
      </c>
      <c r="I53" s="2">
        <v>3</v>
      </c>
      <c r="J53" s="2">
        <v>0</v>
      </c>
      <c r="K53" s="2">
        <v>0</v>
      </c>
      <c r="L53" s="2" t="s">
        <v>43</v>
      </c>
      <c r="M53" s="2" t="s">
        <v>45</v>
      </c>
      <c r="N53" s="2" t="s">
        <v>45</v>
      </c>
      <c r="O53" s="2" t="s">
        <v>115</v>
      </c>
      <c r="P53" s="2" t="s">
        <v>44</v>
      </c>
      <c r="Q53" s="2" t="s">
        <v>45</v>
      </c>
      <c r="R53" s="2" t="s">
        <v>46</v>
      </c>
      <c r="S53" s="2" t="s">
        <v>42</v>
      </c>
      <c r="T53" s="2" t="s">
        <v>281</v>
      </c>
      <c r="U53" s="2" t="s">
        <v>43</v>
      </c>
      <c r="V53" s="2" t="s">
        <v>45</v>
      </c>
      <c r="W53" s="2" t="s">
        <v>45</v>
      </c>
      <c r="X53" s="2" t="s">
        <v>115</v>
      </c>
      <c r="Y53" s="2" t="s">
        <v>44</v>
      </c>
      <c r="Z53" s="2" t="s">
        <v>45</v>
      </c>
      <c r="AA53" s="2" t="s">
        <v>46</v>
      </c>
      <c r="AB53" s="2" t="s">
        <v>42</v>
      </c>
      <c r="AC53" s="2" t="s">
        <v>282</v>
      </c>
      <c r="AD53" s="2" t="s">
        <v>43</v>
      </c>
      <c r="AE53" s="2" t="s">
        <v>45</v>
      </c>
      <c r="AF53" s="2" t="s">
        <v>45</v>
      </c>
      <c r="AG53" s="2" t="s">
        <v>115</v>
      </c>
      <c r="AH53" s="2" t="s">
        <v>44</v>
      </c>
      <c r="AI53" s="2" t="s">
        <v>45</v>
      </c>
      <c r="AJ53" s="2" t="s">
        <v>46</v>
      </c>
      <c r="AK53" s="2" t="s">
        <v>48</v>
      </c>
      <c r="AL53" s="2" t="s">
        <v>283</v>
      </c>
    </row>
    <row r="54" spans="1:38" ht="255" x14ac:dyDescent="0.25">
      <c r="A54" s="2" t="s">
        <v>284</v>
      </c>
      <c r="B54" s="2" t="s">
        <v>285</v>
      </c>
      <c r="C54" s="2" t="s">
        <v>115</v>
      </c>
      <c r="D54" s="2"/>
      <c r="E54" s="2" t="s">
        <v>115</v>
      </c>
      <c r="F54" s="2" t="s">
        <v>245</v>
      </c>
      <c r="G54" s="2" t="s">
        <v>42</v>
      </c>
      <c r="H54" s="2">
        <v>0</v>
      </c>
      <c r="I54" s="2">
        <v>3</v>
      </c>
      <c r="J54" s="2">
        <v>0</v>
      </c>
      <c r="K54" s="2">
        <v>0</v>
      </c>
      <c r="L54" s="2" t="s">
        <v>43</v>
      </c>
      <c r="M54" s="2" t="s">
        <v>45</v>
      </c>
      <c r="N54" s="2" t="s">
        <v>45</v>
      </c>
      <c r="O54" s="2" t="s">
        <v>115</v>
      </c>
      <c r="P54" s="2" t="s">
        <v>44</v>
      </c>
      <c r="Q54" s="2" t="s">
        <v>45</v>
      </c>
      <c r="R54" s="2" t="s">
        <v>46</v>
      </c>
      <c r="S54" s="2" t="s">
        <v>42</v>
      </c>
      <c r="T54" s="2" t="s">
        <v>286</v>
      </c>
      <c r="U54" s="2" t="s">
        <v>43</v>
      </c>
      <c r="V54" s="2" t="s">
        <v>45</v>
      </c>
      <c r="W54" s="2" t="s">
        <v>45</v>
      </c>
      <c r="X54" s="2" t="s">
        <v>115</v>
      </c>
      <c r="Y54" s="2" t="s">
        <v>44</v>
      </c>
      <c r="Z54" s="2" t="s">
        <v>45</v>
      </c>
      <c r="AA54" s="2" t="s">
        <v>46</v>
      </c>
      <c r="AB54" s="2" t="s">
        <v>42</v>
      </c>
      <c r="AC54" s="2" t="s">
        <v>287</v>
      </c>
      <c r="AD54" s="2" t="s">
        <v>43</v>
      </c>
      <c r="AE54" s="2" t="s">
        <v>45</v>
      </c>
      <c r="AF54" s="2" t="s">
        <v>45</v>
      </c>
      <c r="AG54" s="2" t="s">
        <v>115</v>
      </c>
      <c r="AH54" s="2" t="s">
        <v>44</v>
      </c>
      <c r="AI54" s="2" t="s">
        <v>45</v>
      </c>
      <c r="AJ54" s="2" t="s">
        <v>46</v>
      </c>
      <c r="AK54" s="2" t="s">
        <v>48</v>
      </c>
      <c r="AL54" s="2" t="s">
        <v>288</v>
      </c>
    </row>
    <row r="55" spans="1:38" ht="315" x14ac:dyDescent="0.25">
      <c r="A55" s="2" t="s">
        <v>289</v>
      </c>
      <c r="B55" s="2" t="s">
        <v>290</v>
      </c>
      <c r="C55" s="2" t="s">
        <v>115</v>
      </c>
      <c r="D55" s="2"/>
      <c r="E55" s="2" t="s">
        <v>115</v>
      </c>
      <c r="F55" s="2" t="s">
        <v>114</v>
      </c>
      <c r="G55" s="2" t="s">
        <v>48</v>
      </c>
      <c r="H55" s="2">
        <v>1</v>
      </c>
      <c r="I55" s="2">
        <v>2</v>
      </c>
      <c r="J55" s="2">
        <v>0</v>
      </c>
      <c r="K55" s="2">
        <v>0</v>
      </c>
      <c r="L55" s="2" t="s">
        <v>43</v>
      </c>
      <c r="M55" s="2" t="s">
        <v>45</v>
      </c>
      <c r="N55" s="2" t="s">
        <v>45</v>
      </c>
      <c r="O55" s="2" t="s">
        <v>115</v>
      </c>
      <c r="P55" s="2" t="s">
        <v>54</v>
      </c>
      <c r="Q55" s="2" t="s">
        <v>45</v>
      </c>
      <c r="R55" s="2" t="s">
        <v>46</v>
      </c>
      <c r="S55" s="2" t="s">
        <v>48</v>
      </c>
      <c r="T55" s="2" t="s">
        <v>291</v>
      </c>
      <c r="U55" s="2" t="s">
        <v>43</v>
      </c>
      <c r="V55" s="2" t="s">
        <v>45</v>
      </c>
      <c r="W55" s="2" t="s">
        <v>45</v>
      </c>
      <c r="X55" s="2" t="s">
        <v>115</v>
      </c>
      <c r="Y55" s="2" t="s">
        <v>54</v>
      </c>
      <c r="Z55" s="2" t="s">
        <v>45</v>
      </c>
      <c r="AA55" s="2" t="s">
        <v>46</v>
      </c>
      <c r="AB55" s="2" t="s">
        <v>48</v>
      </c>
      <c r="AC55" s="2" t="s">
        <v>292</v>
      </c>
      <c r="AD55" s="2" t="s">
        <v>43</v>
      </c>
      <c r="AE55" s="2" t="s">
        <v>53</v>
      </c>
      <c r="AF55" s="2" t="s">
        <v>43</v>
      </c>
      <c r="AG55" s="2" t="s">
        <v>40</v>
      </c>
      <c r="AH55" s="2" t="s">
        <v>54</v>
      </c>
      <c r="AI55" s="2" t="s">
        <v>45</v>
      </c>
      <c r="AJ55" s="2" t="s">
        <v>46</v>
      </c>
      <c r="AK55" s="2" t="s">
        <v>48</v>
      </c>
      <c r="AL55" s="2" t="s">
        <v>293</v>
      </c>
    </row>
    <row r="56" spans="1:38" ht="255" x14ac:dyDescent="0.25">
      <c r="A56" s="2" t="s">
        <v>294</v>
      </c>
      <c r="B56" s="2" t="s">
        <v>295</v>
      </c>
      <c r="C56" s="2" t="s">
        <v>115</v>
      </c>
      <c r="D56" s="2"/>
      <c r="E56" s="2" t="s">
        <v>115</v>
      </c>
      <c r="F56" s="2" t="s">
        <v>245</v>
      </c>
      <c r="G56" s="2" t="s">
        <v>42</v>
      </c>
      <c r="H56" s="2">
        <v>0</v>
      </c>
      <c r="I56" s="2">
        <v>3</v>
      </c>
      <c r="J56" s="2">
        <v>0</v>
      </c>
      <c r="K56" s="2">
        <v>0</v>
      </c>
      <c r="L56" s="2" t="s">
        <v>43</v>
      </c>
      <c r="M56" s="2" t="s">
        <v>45</v>
      </c>
      <c r="N56" s="2" t="s">
        <v>53</v>
      </c>
      <c r="O56" s="2" t="s">
        <v>115</v>
      </c>
      <c r="P56" s="2" t="s">
        <v>54</v>
      </c>
      <c r="Q56" s="2" t="s">
        <v>45</v>
      </c>
      <c r="R56" s="2" t="s">
        <v>46</v>
      </c>
      <c r="S56" s="2" t="s">
        <v>42</v>
      </c>
      <c r="T56" s="2" t="s">
        <v>296</v>
      </c>
      <c r="U56" s="2" t="s">
        <v>43</v>
      </c>
      <c r="V56" s="2" t="s">
        <v>45</v>
      </c>
      <c r="W56" s="2" t="s">
        <v>53</v>
      </c>
      <c r="X56" s="2" t="s">
        <v>115</v>
      </c>
      <c r="Y56" s="2" t="s">
        <v>54</v>
      </c>
      <c r="Z56" s="2" t="s">
        <v>45</v>
      </c>
      <c r="AA56" s="2" t="s">
        <v>46</v>
      </c>
      <c r="AB56" s="2" t="s">
        <v>42</v>
      </c>
      <c r="AC56" s="2" t="s">
        <v>297</v>
      </c>
      <c r="AD56" s="2" t="s">
        <v>43</v>
      </c>
      <c r="AE56" s="2" t="s">
        <v>45</v>
      </c>
      <c r="AF56" s="2" t="s">
        <v>53</v>
      </c>
      <c r="AG56" s="2" t="s">
        <v>115</v>
      </c>
      <c r="AH56" s="2" t="s">
        <v>54</v>
      </c>
      <c r="AI56" s="2" t="s">
        <v>45</v>
      </c>
      <c r="AJ56" s="2" t="s">
        <v>46</v>
      </c>
      <c r="AK56" s="2" t="s">
        <v>42</v>
      </c>
      <c r="AL56" s="2" t="s">
        <v>298</v>
      </c>
    </row>
    <row r="57" spans="1:38" ht="409.5" x14ac:dyDescent="0.25">
      <c r="A57" s="2" t="s">
        <v>299</v>
      </c>
      <c r="B57" s="2" t="s">
        <v>300</v>
      </c>
      <c r="C57" s="2" t="s">
        <v>115</v>
      </c>
      <c r="D57" s="2"/>
      <c r="E57" s="2" t="s">
        <v>115</v>
      </c>
      <c r="F57" s="2" t="s">
        <v>245</v>
      </c>
      <c r="G57" s="2" t="s">
        <v>48</v>
      </c>
      <c r="H57" s="2">
        <v>0</v>
      </c>
      <c r="I57" s="2">
        <v>3</v>
      </c>
      <c r="J57" s="2">
        <v>0</v>
      </c>
      <c r="K57" s="2">
        <v>0</v>
      </c>
      <c r="L57" s="2" t="s">
        <v>43</v>
      </c>
      <c r="M57" s="2" t="s">
        <v>45</v>
      </c>
      <c r="N57" s="2" t="s">
        <v>43</v>
      </c>
      <c r="O57" s="2" t="s">
        <v>115</v>
      </c>
      <c r="P57" s="2" t="s">
        <v>44</v>
      </c>
      <c r="Q57" s="2" t="s">
        <v>45</v>
      </c>
      <c r="R57" s="2" t="s">
        <v>46</v>
      </c>
      <c r="S57" s="2" t="s">
        <v>48</v>
      </c>
      <c r="T57" s="2" t="s">
        <v>301</v>
      </c>
      <c r="U57" s="2" t="s">
        <v>43</v>
      </c>
      <c r="V57" s="2" t="s">
        <v>45</v>
      </c>
      <c r="W57" s="2" t="s">
        <v>43</v>
      </c>
      <c r="X57" s="2" t="s">
        <v>115</v>
      </c>
      <c r="Y57" s="2" t="s">
        <v>44</v>
      </c>
      <c r="Z57" s="2" t="s">
        <v>45</v>
      </c>
      <c r="AA57" s="2" t="s">
        <v>46</v>
      </c>
      <c r="AB57" s="2" t="s">
        <v>48</v>
      </c>
      <c r="AC57" s="2" t="s">
        <v>301</v>
      </c>
      <c r="AD57" s="2" t="s">
        <v>43</v>
      </c>
      <c r="AE57" s="2" t="s">
        <v>45</v>
      </c>
      <c r="AF57" s="2" t="s">
        <v>43</v>
      </c>
      <c r="AG57" s="2" t="s">
        <v>115</v>
      </c>
      <c r="AH57" s="2" t="s">
        <v>44</v>
      </c>
      <c r="AI57" s="2" t="s">
        <v>45</v>
      </c>
      <c r="AJ57" s="2" t="s">
        <v>46</v>
      </c>
      <c r="AK57" s="2" t="s">
        <v>48</v>
      </c>
      <c r="AL57" s="2" t="s">
        <v>301</v>
      </c>
    </row>
    <row r="58" spans="1:38" ht="240" x14ac:dyDescent="0.25">
      <c r="A58" s="2" t="s">
        <v>302</v>
      </c>
      <c r="B58" s="2" t="s">
        <v>303</v>
      </c>
      <c r="C58" s="2" t="s">
        <v>115</v>
      </c>
      <c r="D58" s="2"/>
      <c r="E58" s="2" t="s">
        <v>115</v>
      </c>
      <c r="F58" s="2" t="s">
        <v>245</v>
      </c>
      <c r="G58" s="2" t="s">
        <v>42</v>
      </c>
      <c r="H58" s="2">
        <v>0</v>
      </c>
      <c r="I58" s="2">
        <v>3</v>
      </c>
      <c r="J58" s="2">
        <v>0</v>
      </c>
      <c r="K58" s="2">
        <v>0</v>
      </c>
      <c r="L58" s="2" t="s">
        <v>43</v>
      </c>
      <c r="M58" s="2" t="s">
        <v>45</v>
      </c>
      <c r="N58" s="2" t="s">
        <v>45</v>
      </c>
      <c r="O58" s="2" t="s">
        <v>115</v>
      </c>
      <c r="P58" s="2" t="s">
        <v>44</v>
      </c>
      <c r="Q58" s="2" t="s">
        <v>45</v>
      </c>
      <c r="R58" s="2" t="s">
        <v>46</v>
      </c>
      <c r="S58" s="2" t="s">
        <v>42</v>
      </c>
      <c r="T58" s="2" t="s">
        <v>304</v>
      </c>
      <c r="U58" s="2" t="s">
        <v>43</v>
      </c>
      <c r="V58" s="2" t="s">
        <v>45</v>
      </c>
      <c r="W58" s="2" t="s">
        <v>45</v>
      </c>
      <c r="X58" s="2" t="s">
        <v>115</v>
      </c>
      <c r="Y58" s="2" t="s">
        <v>44</v>
      </c>
      <c r="Z58" s="2" t="s">
        <v>45</v>
      </c>
      <c r="AA58" s="2" t="s">
        <v>46</v>
      </c>
      <c r="AB58" s="2" t="s">
        <v>42</v>
      </c>
      <c r="AC58" s="2" t="s">
        <v>305</v>
      </c>
      <c r="AD58" s="2" t="s">
        <v>43</v>
      </c>
      <c r="AE58" s="2" t="s">
        <v>45</v>
      </c>
      <c r="AF58" s="2" t="s">
        <v>45</v>
      </c>
      <c r="AG58" s="2" t="s">
        <v>115</v>
      </c>
      <c r="AH58" s="2" t="s">
        <v>44</v>
      </c>
      <c r="AI58" s="2" t="s">
        <v>45</v>
      </c>
      <c r="AJ58" s="2" t="s">
        <v>46</v>
      </c>
      <c r="AK58" s="2" t="s">
        <v>42</v>
      </c>
      <c r="AL58" s="2" t="s">
        <v>306</v>
      </c>
    </row>
    <row r="59" spans="1:38" ht="405" x14ac:dyDescent="0.25">
      <c r="A59" s="2" t="s">
        <v>307</v>
      </c>
      <c r="B59" s="2" t="s">
        <v>308</v>
      </c>
      <c r="C59" s="2" t="s">
        <v>115</v>
      </c>
      <c r="D59" s="2"/>
      <c r="E59" s="2" t="s">
        <v>115</v>
      </c>
      <c r="F59" s="2" t="s">
        <v>245</v>
      </c>
      <c r="G59" s="2" t="s">
        <v>42</v>
      </c>
      <c r="H59" s="2">
        <v>0</v>
      </c>
      <c r="I59" s="2">
        <v>3</v>
      </c>
      <c r="J59" s="2">
        <v>0</v>
      </c>
      <c r="K59" s="2">
        <v>0</v>
      </c>
      <c r="L59" s="2" t="s">
        <v>43</v>
      </c>
      <c r="M59" s="2" t="s">
        <v>45</v>
      </c>
      <c r="N59" s="2" t="s">
        <v>45</v>
      </c>
      <c r="O59" s="2" t="s">
        <v>115</v>
      </c>
      <c r="P59" s="2" t="s">
        <v>44</v>
      </c>
      <c r="Q59" s="2" t="s">
        <v>45</v>
      </c>
      <c r="R59" s="2" t="s">
        <v>46</v>
      </c>
      <c r="S59" s="2" t="s">
        <v>42</v>
      </c>
      <c r="T59" s="2" t="s">
        <v>309</v>
      </c>
      <c r="U59" s="2" t="s">
        <v>43</v>
      </c>
      <c r="V59" s="2" t="s">
        <v>45</v>
      </c>
      <c r="W59" s="2" t="s">
        <v>45</v>
      </c>
      <c r="X59" s="2" t="s">
        <v>115</v>
      </c>
      <c r="Y59" s="2" t="s">
        <v>44</v>
      </c>
      <c r="Z59" s="2" t="s">
        <v>45</v>
      </c>
      <c r="AA59" s="2" t="s">
        <v>46</v>
      </c>
      <c r="AB59" s="2" t="s">
        <v>42</v>
      </c>
      <c r="AC59" s="2" t="s">
        <v>310</v>
      </c>
      <c r="AD59" s="2" t="s">
        <v>43</v>
      </c>
      <c r="AE59" s="2" t="s">
        <v>45</v>
      </c>
      <c r="AF59" s="2" t="s">
        <v>45</v>
      </c>
      <c r="AG59" s="2" t="s">
        <v>115</v>
      </c>
      <c r="AH59" s="2" t="s">
        <v>44</v>
      </c>
      <c r="AI59" s="2" t="s">
        <v>45</v>
      </c>
      <c r="AJ59" s="2" t="s">
        <v>46</v>
      </c>
      <c r="AK59" s="2" t="s">
        <v>48</v>
      </c>
      <c r="AL59" s="2" t="s">
        <v>311</v>
      </c>
    </row>
    <row r="60" spans="1:38" ht="405" x14ac:dyDescent="0.25">
      <c r="A60" s="2" t="s">
        <v>312</v>
      </c>
      <c r="B60" s="2" t="s">
        <v>313</v>
      </c>
      <c r="C60" s="2" t="s">
        <v>115</v>
      </c>
      <c r="D60" s="2"/>
      <c r="E60" s="2" t="s">
        <v>115</v>
      </c>
      <c r="F60" s="2" t="s">
        <v>245</v>
      </c>
      <c r="G60" s="2" t="s">
        <v>48</v>
      </c>
      <c r="H60" s="2">
        <v>0</v>
      </c>
      <c r="I60" s="2">
        <v>3</v>
      </c>
      <c r="J60" s="2">
        <v>0</v>
      </c>
      <c r="K60" s="2">
        <v>0</v>
      </c>
      <c r="L60" s="2" t="s">
        <v>43</v>
      </c>
      <c r="M60" s="2" t="s">
        <v>45</v>
      </c>
      <c r="N60" s="2" t="s">
        <v>45</v>
      </c>
      <c r="O60" s="2" t="s">
        <v>115</v>
      </c>
      <c r="P60" s="2" t="s">
        <v>44</v>
      </c>
      <c r="Q60" s="2" t="s">
        <v>45</v>
      </c>
      <c r="R60" s="2" t="s">
        <v>46</v>
      </c>
      <c r="S60" s="2" t="s">
        <v>42</v>
      </c>
      <c r="T60" s="2" t="s">
        <v>314</v>
      </c>
      <c r="U60" s="2" t="s">
        <v>43</v>
      </c>
      <c r="V60" s="2" t="s">
        <v>45</v>
      </c>
      <c r="W60" s="2" t="s">
        <v>45</v>
      </c>
      <c r="X60" s="2" t="s">
        <v>115</v>
      </c>
      <c r="Y60" s="2" t="s">
        <v>44</v>
      </c>
      <c r="Z60" s="2" t="s">
        <v>45</v>
      </c>
      <c r="AA60" s="2" t="s">
        <v>46</v>
      </c>
      <c r="AB60" s="2" t="s">
        <v>48</v>
      </c>
      <c r="AC60" s="2" t="s">
        <v>315</v>
      </c>
      <c r="AD60" s="2" t="s">
        <v>43</v>
      </c>
      <c r="AE60" s="2" t="s">
        <v>45</v>
      </c>
      <c r="AF60" s="2" t="s">
        <v>45</v>
      </c>
      <c r="AG60" s="2" t="s">
        <v>115</v>
      </c>
      <c r="AH60" s="2" t="s">
        <v>44</v>
      </c>
      <c r="AI60" s="2" t="s">
        <v>45</v>
      </c>
      <c r="AJ60" s="2" t="s">
        <v>46</v>
      </c>
      <c r="AK60" s="2" t="s">
        <v>48</v>
      </c>
      <c r="AL60" s="2" t="s">
        <v>316</v>
      </c>
    </row>
    <row r="61" spans="1:38" ht="330" x14ac:dyDescent="0.25">
      <c r="A61" s="2" t="s">
        <v>317</v>
      </c>
      <c r="B61" s="2" t="s">
        <v>318</v>
      </c>
      <c r="C61" s="2" t="s">
        <v>115</v>
      </c>
      <c r="D61" s="2"/>
      <c r="E61" s="2" t="s">
        <v>115</v>
      </c>
      <c r="F61" s="2" t="s">
        <v>245</v>
      </c>
      <c r="G61" s="2" t="s">
        <v>42</v>
      </c>
      <c r="H61" s="2" t="s">
        <v>319</v>
      </c>
      <c r="I61" s="2" t="s">
        <v>320</v>
      </c>
      <c r="J61" s="2" t="s">
        <v>319</v>
      </c>
      <c r="K61" s="2" t="s">
        <v>319</v>
      </c>
      <c r="L61" s="2" t="s">
        <v>43</v>
      </c>
      <c r="M61" s="2" t="s">
        <v>45</v>
      </c>
      <c r="N61" s="2" t="s">
        <v>43</v>
      </c>
      <c r="O61" s="2" t="s">
        <v>115</v>
      </c>
      <c r="P61" s="2" t="s">
        <v>54</v>
      </c>
      <c r="Q61" s="2" t="s">
        <v>45</v>
      </c>
      <c r="R61" s="2" t="s">
        <v>46</v>
      </c>
      <c r="S61" s="2" t="s">
        <v>42</v>
      </c>
      <c r="T61" s="2" t="s">
        <v>321</v>
      </c>
      <c r="U61" s="2" t="s">
        <v>43</v>
      </c>
      <c r="V61" s="2" t="s">
        <v>45</v>
      </c>
      <c r="W61" s="2" t="s">
        <v>43</v>
      </c>
      <c r="X61" s="2" t="s">
        <v>115</v>
      </c>
      <c r="Y61" s="2" t="s">
        <v>54</v>
      </c>
      <c r="Z61" s="2" t="s">
        <v>45</v>
      </c>
      <c r="AA61" s="2" t="s">
        <v>46</v>
      </c>
      <c r="AB61" s="2" t="s">
        <v>42</v>
      </c>
      <c r="AC61" s="2" t="s">
        <v>321</v>
      </c>
      <c r="AD61" s="2" t="s">
        <v>43</v>
      </c>
      <c r="AE61" s="2" t="s">
        <v>45</v>
      </c>
      <c r="AF61" s="2" t="s">
        <v>43</v>
      </c>
      <c r="AG61" s="2" t="s">
        <v>115</v>
      </c>
      <c r="AH61" s="2" t="s">
        <v>54</v>
      </c>
      <c r="AI61" s="2" t="s">
        <v>45</v>
      </c>
      <c r="AJ61" s="2" t="s">
        <v>46</v>
      </c>
      <c r="AK61" s="2" t="s">
        <v>42</v>
      </c>
      <c r="AL61" s="2" t="s">
        <v>321</v>
      </c>
    </row>
    <row r="62" spans="1:38" ht="409.5" x14ac:dyDescent="0.25">
      <c r="A62" s="2" t="s">
        <v>322</v>
      </c>
      <c r="B62" s="2" t="s">
        <v>323</v>
      </c>
      <c r="C62" s="2" t="s">
        <v>115</v>
      </c>
      <c r="D62" s="2"/>
      <c r="E62" s="2" t="s">
        <v>115</v>
      </c>
      <c r="F62" s="2" t="s">
        <v>245</v>
      </c>
      <c r="G62" s="2" t="s">
        <v>48</v>
      </c>
      <c r="H62" s="2">
        <v>0</v>
      </c>
      <c r="I62" s="2">
        <v>3</v>
      </c>
      <c r="J62" s="2">
        <v>0</v>
      </c>
      <c r="K62" s="2">
        <v>0</v>
      </c>
      <c r="L62" s="2" t="s">
        <v>43</v>
      </c>
      <c r="M62" s="2" t="s">
        <v>45</v>
      </c>
      <c r="N62" s="2" t="s">
        <v>43</v>
      </c>
      <c r="O62" s="2" t="s">
        <v>115</v>
      </c>
      <c r="P62" s="2" t="s">
        <v>44</v>
      </c>
      <c r="Q62" s="2" t="s">
        <v>45</v>
      </c>
      <c r="R62" s="2" t="s">
        <v>46</v>
      </c>
      <c r="S62" s="2" t="s">
        <v>48</v>
      </c>
      <c r="T62" s="2" t="s">
        <v>324</v>
      </c>
      <c r="U62" s="2" t="s">
        <v>43</v>
      </c>
      <c r="V62" s="2" t="s">
        <v>45</v>
      </c>
      <c r="W62" s="2" t="s">
        <v>43</v>
      </c>
      <c r="X62" s="2" t="s">
        <v>115</v>
      </c>
      <c r="Y62" s="2" t="s">
        <v>44</v>
      </c>
      <c r="Z62" s="2" t="s">
        <v>45</v>
      </c>
      <c r="AA62" s="2" t="s">
        <v>46</v>
      </c>
      <c r="AB62" s="2" t="s">
        <v>48</v>
      </c>
      <c r="AC62" s="2" t="s">
        <v>324</v>
      </c>
      <c r="AD62" s="2" t="s">
        <v>43</v>
      </c>
      <c r="AE62" s="2" t="s">
        <v>45</v>
      </c>
      <c r="AF62" s="2" t="s">
        <v>43</v>
      </c>
      <c r="AG62" s="2" t="s">
        <v>115</v>
      </c>
      <c r="AH62" s="2" t="s">
        <v>44</v>
      </c>
      <c r="AI62" s="2" t="s">
        <v>45</v>
      </c>
      <c r="AJ62" s="2" t="s">
        <v>46</v>
      </c>
      <c r="AK62" s="2" t="s">
        <v>48</v>
      </c>
      <c r="AL62" s="2" t="s">
        <v>325</v>
      </c>
    </row>
    <row r="63" spans="1:38" ht="409.5" x14ac:dyDescent="0.25">
      <c r="A63" s="2" t="s">
        <v>326</v>
      </c>
      <c r="B63" s="2" t="s">
        <v>327</v>
      </c>
      <c r="C63" s="2" t="s">
        <v>115</v>
      </c>
      <c r="D63" s="2"/>
      <c r="E63" s="2" t="s">
        <v>115</v>
      </c>
      <c r="F63" s="2" t="s">
        <v>245</v>
      </c>
      <c r="G63" s="2" t="s">
        <v>42</v>
      </c>
      <c r="H63" s="2">
        <v>0</v>
      </c>
      <c r="I63" s="2">
        <v>3</v>
      </c>
      <c r="J63" s="2">
        <v>0</v>
      </c>
      <c r="K63" s="2">
        <v>0</v>
      </c>
      <c r="L63" s="2" t="s">
        <v>43</v>
      </c>
      <c r="M63" s="2" t="s">
        <v>53</v>
      </c>
      <c r="N63" s="2" t="s">
        <v>45</v>
      </c>
      <c r="O63" s="2" t="s">
        <v>115</v>
      </c>
      <c r="P63" s="2" t="s">
        <v>44</v>
      </c>
      <c r="Q63" s="2" t="s">
        <v>45</v>
      </c>
      <c r="R63" s="2" t="s">
        <v>46</v>
      </c>
      <c r="S63" s="2" t="s">
        <v>42</v>
      </c>
      <c r="T63" s="2" t="s">
        <v>328</v>
      </c>
      <c r="U63" s="2" t="s">
        <v>43</v>
      </c>
      <c r="V63" s="2" t="s">
        <v>45</v>
      </c>
      <c r="W63" s="2" t="s">
        <v>45</v>
      </c>
      <c r="X63" s="2" t="s">
        <v>115</v>
      </c>
      <c r="Y63" s="2" t="s">
        <v>44</v>
      </c>
      <c r="Z63" s="2" t="s">
        <v>45</v>
      </c>
      <c r="AA63" s="2" t="s">
        <v>46</v>
      </c>
      <c r="AB63" s="2" t="s">
        <v>42</v>
      </c>
      <c r="AC63" s="2" t="s">
        <v>329</v>
      </c>
      <c r="AD63" s="2" t="s">
        <v>43</v>
      </c>
      <c r="AE63" s="2" t="s">
        <v>53</v>
      </c>
      <c r="AF63" s="2" t="s">
        <v>45</v>
      </c>
      <c r="AG63" s="2" t="s">
        <v>115</v>
      </c>
      <c r="AH63" s="2" t="s">
        <v>44</v>
      </c>
      <c r="AI63" s="2" t="s">
        <v>45</v>
      </c>
      <c r="AJ63" s="2" t="s">
        <v>46</v>
      </c>
      <c r="AK63" s="2" t="s">
        <v>42</v>
      </c>
      <c r="AL63" s="2" t="s">
        <v>330</v>
      </c>
    </row>
    <row r="64" spans="1:38" ht="240" x14ac:dyDescent="0.25">
      <c r="A64" s="2" t="s">
        <v>331</v>
      </c>
      <c r="B64" s="2" t="s">
        <v>332</v>
      </c>
      <c r="C64" s="2" t="s">
        <v>115</v>
      </c>
      <c r="D64" s="2"/>
      <c r="E64" s="2" t="s">
        <v>115</v>
      </c>
      <c r="F64" s="2" t="s">
        <v>245</v>
      </c>
      <c r="G64" s="2" t="s">
        <v>42</v>
      </c>
      <c r="H64" s="2">
        <v>0</v>
      </c>
      <c r="I64" s="2">
        <v>3</v>
      </c>
      <c r="J64" s="2">
        <v>0</v>
      </c>
      <c r="K64" s="2">
        <v>0</v>
      </c>
      <c r="L64" s="2" t="s">
        <v>45</v>
      </c>
      <c r="M64" s="2" t="s">
        <v>45</v>
      </c>
      <c r="N64" s="2" t="s">
        <v>45</v>
      </c>
      <c r="O64" s="2" t="s">
        <v>115</v>
      </c>
      <c r="P64" s="2" t="s">
        <v>44</v>
      </c>
      <c r="Q64" s="2" t="s">
        <v>45</v>
      </c>
      <c r="R64" s="2" t="s">
        <v>46</v>
      </c>
      <c r="S64" s="2" t="s">
        <v>42</v>
      </c>
      <c r="T64" s="2" t="s">
        <v>333</v>
      </c>
      <c r="U64" s="2" t="s">
        <v>45</v>
      </c>
      <c r="V64" s="2" t="s">
        <v>45</v>
      </c>
      <c r="W64" s="2" t="s">
        <v>45</v>
      </c>
      <c r="X64" s="2" t="s">
        <v>115</v>
      </c>
      <c r="Y64" s="2" t="s">
        <v>44</v>
      </c>
      <c r="Z64" s="2" t="s">
        <v>45</v>
      </c>
      <c r="AA64" s="2" t="s">
        <v>46</v>
      </c>
      <c r="AB64" s="2" t="s">
        <v>42</v>
      </c>
      <c r="AC64" s="2" t="s">
        <v>334</v>
      </c>
      <c r="AD64" s="2" t="s">
        <v>45</v>
      </c>
      <c r="AE64" s="2" t="s">
        <v>45</v>
      </c>
      <c r="AF64" s="2" t="s">
        <v>45</v>
      </c>
      <c r="AG64" s="2" t="s">
        <v>115</v>
      </c>
      <c r="AH64" s="2" t="s">
        <v>44</v>
      </c>
      <c r="AI64" s="2" t="s">
        <v>45</v>
      </c>
      <c r="AJ64" s="2" t="s">
        <v>46</v>
      </c>
      <c r="AK64" s="2" t="s">
        <v>42</v>
      </c>
      <c r="AL64" s="2" t="s">
        <v>333</v>
      </c>
    </row>
    <row r="65" spans="1:38" ht="405" x14ac:dyDescent="0.25">
      <c r="A65" s="2" t="s">
        <v>335</v>
      </c>
      <c r="B65" s="2" t="s">
        <v>336</v>
      </c>
      <c r="C65" s="2" t="s">
        <v>115</v>
      </c>
      <c r="D65" s="2"/>
      <c r="E65" s="2" t="s">
        <v>115</v>
      </c>
      <c r="F65" s="2" t="s">
        <v>245</v>
      </c>
      <c r="G65" s="2" t="s">
        <v>42</v>
      </c>
      <c r="H65" s="2">
        <v>0</v>
      </c>
      <c r="I65" s="2">
        <v>3</v>
      </c>
      <c r="J65" s="2">
        <v>0</v>
      </c>
      <c r="K65" s="2">
        <v>0</v>
      </c>
      <c r="L65" s="2" t="s">
        <v>45</v>
      </c>
      <c r="M65" s="2" t="s">
        <v>45</v>
      </c>
      <c r="N65" s="2" t="s">
        <v>45</v>
      </c>
      <c r="O65" s="2" t="s">
        <v>115</v>
      </c>
      <c r="P65" s="2" t="s">
        <v>44</v>
      </c>
      <c r="Q65" s="2" t="s">
        <v>45</v>
      </c>
      <c r="R65" s="2" t="s">
        <v>46</v>
      </c>
      <c r="S65" s="2" t="s">
        <v>42</v>
      </c>
      <c r="T65" s="2" t="s">
        <v>337</v>
      </c>
      <c r="U65" s="2" t="s">
        <v>45</v>
      </c>
      <c r="V65" s="2" t="s">
        <v>45</v>
      </c>
      <c r="W65" s="2" t="s">
        <v>45</v>
      </c>
      <c r="X65" s="2" t="s">
        <v>115</v>
      </c>
      <c r="Y65" s="2" t="s">
        <v>44</v>
      </c>
      <c r="Z65" s="2" t="s">
        <v>45</v>
      </c>
      <c r="AA65" s="2" t="s">
        <v>46</v>
      </c>
      <c r="AB65" s="2" t="s">
        <v>42</v>
      </c>
      <c r="AC65" s="2" t="s">
        <v>338</v>
      </c>
      <c r="AD65" s="2" t="s">
        <v>43</v>
      </c>
      <c r="AE65" s="2" t="s">
        <v>45</v>
      </c>
      <c r="AF65" s="2" t="s">
        <v>45</v>
      </c>
      <c r="AG65" s="2" t="s">
        <v>115</v>
      </c>
      <c r="AH65" s="2" t="s">
        <v>44</v>
      </c>
      <c r="AI65" s="2" t="s">
        <v>45</v>
      </c>
      <c r="AJ65" s="2" t="s">
        <v>46</v>
      </c>
      <c r="AK65" s="2" t="s">
        <v>42</v>
      </c>
      <c r="AL65" s="2" t="s">
        <v>339</v>
      </c>
    </row>
    <row r="66" spans="1:38" ht="300" x14ac:dyDescent="0.25">
      <c r="A66" s="2" t="s">
        <v>340</v>
      </c>
      <c r="B66" s="2" t="s">
        <v>341</v>
      </c>
      <c r="C66" s="2" t="s">
        <v>115</v>
      </c>
      <c r="D66" s="2"/>
      <c r="E66" s="2" t="s">
        <v>115</v>
      </c>
      <c r="F66" s="2" t="s">
        <v>245</v>
      </c>
      <c r="G66" s="2" t="s">
        <v>42</v>
      </c>
      <c r="H66" s="2">
        <v>0</v>
      </c>
      <c r="I66" s="2">
        <v>3</v>
      </c>
      <c r="J66" s="2">
        <v>0</v>
      </c>
      <c r="K66" s="2">
        <v>0</v>
      </c>
      <c r="L66" s="2" t="s">
        <v>43</v>
      </c>
      <c r="M66" s="2" t="s">
        <v>45</v>
      </c>
      <c r="N66" s="2" t="s">
        <v>43</v>
      </c>
      <c r="O66" s="2" t="s">
        <v>115</v>
      </c>
      <c r="P66" s="2" t="s">
        <v>44</v>
      </c>
      <c r="Q66" s="2" t="s">
        <v>45</v>
      </c>
      <c r="R66" s="2" t="s">
        <v>46</v>
      </c>
      <c r="S66" s="2" t="s">
        <v>42</v>
      </c>
      <c r="T66" s="2" t="s">
        <v>342</v>
      </c>
      <c r="U66" s="2" t="s">
        <v>43</v>
      </c>
      <c r="V66" s="2" t="s">
        <v>45</v>
      </c>
      <c r="W66" s="2" t="s">
        <v>43</v>
      </c>
      <c r="X66" s="2" t="s">
        <v>115</v>
      </c>
      <c r="Y66" s="2" t="s">
        <v>44</v>
      </c>
      <c r="Z66" s="2" t="s">
        <v>45</v>
      </c>
      <c r="AA66" s="2" t="s">
        <v>46</v>
      </c>
      <c r="AB66" s="2" t="s">
        <v>42</v>
      </c>
      <c r="AC66" s="2" t="s">
        <v>343</v>
      </c>
      <c r="AD66" s="2" t="s">
        <v>43</v>
      </c>
      <c r="AE66" s="2" t="s">
        <v>45</v>
      </c>
      <c r="AF66" s="2" t="s">
        <v>43</v>
      </c>
      <c r="AG66" s="2" t="s">
        <v>115</v>
      </c>
      <c r="AH66" s="2" t="s">
        <v>44</v>
      </c>
      <c r="AI66" s="2" t="s">
        <v>45</v>
      </c>
      <c r="AJ66" s="2" t="s">
        <v>46</v>
      </c>
      <c r="AK66" s="2" t="s">
        <v>42</v>
      </c>
      <c r="AL66" s="2" t="s">
        <v>344</v>
      </c>
    </row>
    <row r="67" spans="1:38" ht="315" x14ac:dyDescent="0.25">
      <c r="A67" s="2" t="s">
        <v>345</v>
      </c>
      <c r="B67" s="2" t="s">
        <v>346</v>
      </c>
      <c r="C67" s="2" t="s">
        <v>115</v>
      </c>
      <c r="D67" s="2"/>
      <c r="E67" s="2" t="s">
        <v>115</v>
      </c>
      <c r="F67" s="2" t="s">
        <v>245</v>
      </c>
      <c r="G67" s="2" t="s">
        <v>42</v>
      </c>
      <c r="H67" s="2">
        <v>0</v>
      </c>
      <c r="I67" s="2">
        <v>3</v>
      </c>
      <c r="J67" s="2">
        <v>0</v>
      </c>
      <c r="K67" s="2">
        <v>0</v>
      </c>
      <c r="L67" s="2" t="s">
        <v>43</v>
      </c>
      <c r="M67" s="2" t="s">
        <v>45</v>
      </c>
      <c r="N67" s="2" t="s">
        <v>45</v>
      </c>
      <c r="O67" s="2" t="s">
        <v>115</v>
      </c>
      <c r="P67" s="2" t="s">
        <v>44</v>
      </c>
      <c r="Q67" s="2" t="s">
        <v>45</v>
      </c>
      <c r="R67" s="2" t="s">
        <v>46</v>
      </c>
      <c r="S67" s="2" t="s">
        <v>42</v>
      </c>
      <c r="T67" s="2" t="s">
        <v>347</v>
      </c>
      <c r="U67" s="2" t="s">
        <v>43</v>
      </c>
      <c r="V67" s="2" t="s">
        <v>45</v>
      </c>
      <c r="W67" s="2" t="s">
        <v>45</v>
      </c>
      <c r="X67" s="2" t="s">
        <v>115</v>
      </c>
      <c r="Y67" s="2" t="s">
        <v>44</v>
      </c>
      <c r="Z67" s="2" t="s">
        <v>45</v>
      </c>
      <c r="AA67" s="2" t="s">
        <v>46</v>
      </c>
      <c r="AB67" s="2" t="s">
        <v>42</v>
      </c>
      <c r="AC67" s="2" t="s">
        <v>348</v>
      </c>
      <c r="AD67" s="2" t="s">
        <v>43</v>
      </c>
      <c r="AE67" s="2" t="s">
        <v>45</v>
      </c>
      <c r="AF67" s="2" t="s">
        <v>45</v>
      </c>
      <c r="AG67" s="2" t="s">
        <v>115</v>
      </c>
      <c r="AH67" s="2" t="s">
        <v>44</v>
      </c>
      <c r="AI67" s="2" t="s">
        <v>45</v>
      </c>
      <c r="AJ67" s="2" t="s">
        <v>46</v>
      </c>
      <c r="AK67" s="2" t="s">
        <v>42</v>
      </c>
      <c r="AL67" s="2" t="s">
        <v>347</v>
      </c>
    </row>
    <row r="68" spans="1:38" ht="390" x14ac:dyDescent="0.25">
      <c r="A68" s="2" t="s">
        <v>349</v>
      </c>
      <c r="B68" s="2" t="s">
        <v>350</v>
      </c>
      <c r="C68" s="2" t="s">
        <v>115</v>
      </c>
      <c r="D68" s="2"/>
      <c r="E68" s="2" t="s">
        <v>115</v>
      </c>
      <c r="F68" s="2" t="s">
        <v>245</v>
      </c>
      <c r="G68" s="2" t="s">
        <v>42</v>
      </c>
      <c r="H68" s="2">
        <v>0</v>
      </c>
      <c r="I68" s="2">
        <v>3</v>
      </c>
      <c r="J68" s="2">
        <v>0</v>
      </c>
      <c r="K68" s="2">
        <v>0</v>
      </c>
      <c r="L68" s="2" t="s">
        <v>43</v>
      </c>
      <c r="M68" s="2" t="s">
        <v>45</v>
      </c>
      <c r="N68" s="2" t="s">
        <v>45</v>
      </c>
      <c r="O68" s="2" t="s">
        <v>115</v>
      </c>
      <c r="P68" s="2" t="s">
        <v>44</v>
      </c>
      <c r="Q68" s="2" t="s">
        <v>45</v>
      </c>
      <c r="R68" s="2" t="s">
        <v>46</v>
      </c>
      <c r="S68" s="2" t="s">
        <v>42</v>
      </c>
      <c r="T68" s="2" t="s">
        <v>351</v>
      </c>
      <c r="U68" s="2" t="s">
        <v>43</v>
      </c>
      <c r="V68" s="2" t="s">
        <v>45</v>
      </c>
      <c r="W68" s="2" t="s">
        <v>53</v>
      </c>
      <c r="X68" s="2" t="s">
        <v>115</v>
      </c>
      <c r="Y68" s="2" t="s">
        <v>54</v>
      </c>
      <c r="Z68" s="2" t="s">
        <v>45</v>
      </c>
      <c r="AA68" s="2" t="s">
        <v>46</v>
      </c>
      <c r="AB68" s="2" t="s">
        <v>42</v>
      </c>
      <c r="AC68" s="2" t="s">
        <v>352</v>
      </c>
      <c r="AD68" s="2" t="s">
        <v>43</v>
      </c>
      <c r="AE68" s="2" t="s">
        <v>45</v>
      </c>
      <c r="AF68" s="2" t="s">
        <v>45</v>
      </c>
      <c r="AG68" s="2" t="s">
        <v>115</v>
      </c>
      <c r="AH68" s="2" t="s">
        <v>44</v>
      </c>
      <c r="AI68" s="2" t="s">
        <v>45</v>
      </c>
      <c r="AJ68" s="2" t="s">
        <v>46</v>
      </c>
      <c r="AK68" s="2" t="s">
        <v>42</v>
      </c>
      <c r="AL68" s="2" t="s">
        <v>353</v>
      </c>
    </row>
    <row r="69" spans="1:38" ht="405" x14ac:dyDescent="0.25">
      <c r="A69" s="2" t="s">
        <v>354</v>
      </c>
      <c r="B69" s="2" t="s">
        <v>355</v>
      </c>
      <c r="C69" s="2" t="s">
        <v>115</v>
      </c>
      <c r="D69" s="2"/>
      <c r="E69" s="2" t="s">
        <v>115</v>
      </c>
      <c r="F69" s="2" t="s">
        <v>245</v>
      </c>
      <c r="G69" s="2" t="s">
        <v>42</v>
      </c>
      <c r="H69" s="2">
        <v>0</v>
      </c>
      <c r="I69" s="2">
        <v>3</v>
      </c>
      <c r="J69" s="2">
        <v>0</v>
      </c>
      <c r="K69" s="2">
        <v>0</v>
      </c>
      <c r="L69" s="2" t="s">
        <v>43</v>
      </c>
      <c r="M69" s="2" t="s">
        <v>45</v>
      </c>
      <c r="N69" s="2" t="s">
        <v>45</v>
      </c>
      <c r="O69" s="2" t="s">
        <v>115</v>
      </c>
      <c r="P69" s="2" t="s">
        <v>44</v>
      </c>
      <c r="Q69" s="2" t="s">
        <v>45</v>
      </c>
      <c r="R69" s="2" t="s">
        <v>46</v>
      </c>
      <c r="S69" s="2" t="s">
        <v>42</v>
      </c>
      <c r="T69" s="2" t="s">
        <v>356</v>
      </c>
      <c r="U69" s="2" t="s">
        <v>43</v>
      </c>
      <c r="V69" s="2" t="s">
        <v>45</v>
      </c>
      <c r="W69" s="2" t="s">
        <v>53</v>
      </c>
      <c r="X69" s="2" t="s">
        <v>115</v>
      </c>
      <c r="Y69" s="2" t="s">
        <v>44</v>
      </c>
      <c r="Z69" s="2" t="s">
        <v>45</v>
      </c>
      <c r="AA69" s="2" t="s">
        <v>46</v>
      </c>
      <c r="AB69" s="2" t="s">
        <v>42</v>
      </c>
      <c r="AC69" s="2" t="s">
        <v>357</v>
      </c>
      <c r="AD69" s="2" t="s">
        <v>43</v>
      </c>
      <c r="AE69" s="2" t="s">
        <v>45</v>
      </c>
      <c r="AF69" s="2" t="s">
        <v>53</v>
      </c>
      <c r="AG69" s="2" t="s">
        <v>115</v>
      </c>
      <c r="AH69" s="2" t="s">
        <v>44</v>
      </c>
      <c r="AI69" s="2" t="s">
        <v>45</v>
      </c>
      <c r="AJ69" s="2" t="s">
        <v>46</v>
      </c>
      <c r="AK69" s="2" t="s">
        <v>42</v>
      </c>
      <c r="AL69" s="2" t="s">
        <v>358</v>
      </c>
    </row>
    <row r="70" spans="1:38" ht="409.5" x14ac:dyDescent="0.25">
      <c r="A70" s="2" t="s">
        <v>359</v>
      </c>
      <c r="B70" s="2" t="s">
        <v>360</v>
      </c>
      <c r="C70" s="2" t="s">
        <v>115</v>
      </c>
      <c r="D70" s="2"/>
      <c r="E70" s="2" t="s">
        <v>115</v>
      </c>
      <c r="F70" s="2" t="s">
        <v>245</v>
      </c>
      <c r="G70" s="2" t="s">
        <v>42</v>
      </c>
      <c r="H70" s="2">
        <v>0</v>
      </c>
      <c r="I70" s="2">
        <v>3</v>
      </c>
      <c r="J70" s="2">
        <v>0</v>
      </c>
      <c r="K70" s="2">
        <v>0</v>
      </c>
      <c r="L70" s="2" t="s">
        <v>53</v>
      </c>
      <c r="M70" s="2" t="s">
        <v>45</v>
      </c>
      <c r="N70" s="2" t="s">
        <v>45</v>
      </c>
      <c r="O70" s="2" t="s">
        <v>115</v>
      </c>
      <c r="P70" s="2" t="s">
        <v>44</v>
      </c>
      <c r="Q70" s="2" t="s">
        <v>45</v>
      </c>
      <c r="R70" s="2" t="s">
        <v>46</v>
      </c>
      <c r="S70" s="2" t="s">
        <v>42</v>
      </c>
      <c r="T70" s="2" t="s">
        <v>361</v>
      </c>
      <c r="U70" s="2" t="s">
        <v>53</v>
      </c>
      <c r="V70" s="2" t="s">
        <v>45</v>
      </c>
      <c r="W70" s="2" t="s">
        <v>45</v>
      </c>
      <c r="X70" s="2" t="s">
        <v>115</v>
      </c>
      <c r="Y70" s="2" t="s">
        <v>44</v>
      </c>
      <c r="Z70" s="2" t="s">
        <v>45</v>
      </c>
      <c r="AA70" s="2" t="s">
        <v>46</v>
      </c>
      <c r="AB70" s="2" t="s">
        <v>42</v>
      </c>
      <c r="AC70" s="2" t="s">
        <v>362</v>
      </c>
      <c r="AD70" s="2" t="s">
        <v>53</v>
      </c>
      <c r="AE70" s="2" t="s">
        <v>45</v>
      </c>
      <c r="AF70" s="2" t="s">
        <v>53</v>
      </c>
      <c r="AG70" s="2" t="s">
        <v>115</v>
      </c>
      <c r="AH70" s="2" t="s">
        <v>54</v>
      </c>
      <c r="AI70" s="2" t="s">
        <v>45</v>
      </c>
      <c r="AJ70" s="2" t="s">
        <v>46</v>
      </c>
      <c r="AK70" s="2" t="s">
        <v>42</v>
      </c>
      <c r="AL70" s="2" t="s">
        <v>363</v>
      </c>
    </row>
    <row r="71" spans="1:38" ht="330" x14ac:dyDescent="0.25">
      <c r="A71" s="2" t="s">
        <v>364</v>
      </c>
      <c r="B71" s="2" t="s">
        <v>365</v>
      </c>
      <c r="C71" s="2" t="s">
        <v>115</v>
      </c>
      <c r="D71" s="2"/>
      <c r="E71" s="2" t="s">
        <v>115</v>
      </c>
      <c r="F71" s="2" t="s">
        <v>245</v>
      </c>
      <c r="G71" s="2" t="s">
        <v>42</v>
      </c>
      <c r="H71" s="2">
        <v>0</v>
      </c>
      <c r="I71" s="2">
        <v>3</v>
      </c>
      <c r="J71" s="2">
        <v>0</v>
      </c>
      <c r="K71" s="2">
        <v>0</v>
      </c>
      <c r="L71" s="2" t="s">
        <v>43</v>
      </c>
      <c r="M71" s="2" t="s">
        <v>45</v>
      </c>
      <c r="N71" s="2" t="s">
        <v>45</v>
      </c>
      <c r="O71" s="2" t="s">
        <v>115</v>
      </c>
      <c r="P71" s="2" t="s">
        <v>44</v>
      </c>
      <c r="Q71" s="2" t="s">
        <v>45</v>
      </c>
      <c r="R71" s="2" t="s">
        <v>46</v>
      </c>
      <c r="S71" s="2" t="s">
        <v>42</v>
      </c>
      <c r="T71" s="2" t="s">
        <v>366</v>
      </c>
      <c r="U71" s="2" t="s">
        <v>43</v>
      </c>
      <c r="V71" s="2" t="s">
        <v>45</v>
      </c>
      <c r="W71" s="2" t="s">
        <v>45</v>
      </c>
      <c r="X71" s="2" t="s">
        <v>115</v>
      </c>
      <c r="Y71" s="2" t="s">
        <v>44</v>
      </c>
      <c r="Z71" s="2" t="s">
        <v>45</v>
      </c>
      <c r="AA71" s="2" t="s">
        <v>46</v>
      </c>
      <c r="AB71" s="2" t="s">
        <v>42</v>
      </c>
      <c r="AC71" s="2" t="s">
        <v>367</v>
      </c>
      <c r="AD71" s="2" t="s">
        <v>43</v>
      </c>
      <c r="AE71" s="2" t="s">
        <v>45</v>
      </c>
      <c r="AF71" s="2" t="s">
        <v>45</v>
      </c>
      <c r="AG71" s="2" t="s">
        <v>115</v>
      </c>
      <c r="AH71" s="2" t="s">
        <v>44</v>
      </c>
      <c r="AI71" s="2" t="s">
        <v>45</v>
      </c>
      <c r="AJ71" s="2" t="s">
        <v>46</v>
      </c>
      <c r="AK71" s="2" t="s">
        <v>42</v>
      </c>
      <c r="AL71" s="2" t="s">
        <v>368</v>
      </c>
    </row>
    <row r="72" spans="1:38" ht="409.5" x14ac:dyDescent="0.25">
      <c r="A72" s="2" t="s">
        <v>369</v>
      </c>
      <c r="B72" s="2" t="s">
        <v>370</v>
      </c>
      <c r="C72" s="2" t="s">
        <v>115</v>
      </c>
      <c r="D72" s="2"/>
      <c r="E72" s="2" t="s">
        <v>115</v>
      </c>
      <c r="F72" s="2" t="s">
        <v>245</v>
      </c>
      <c r="G72" s="2" t="s">
        <v>42</v>
      </c>
      <c r="H72" s="2">
        <v>0</v>
      </c>
      <c r="I72" s="2">
        <v>3</v>
      </c>
      <c r="J72" s="2">
        <v>0</v>
      </c>
      <c r="K72" s="2">
        <v>0</v>
      </c>
      <c r="L72" s="2" t="s">
        <v>45</v>
      </c>
      <c r="M72" s="2" t="s">
        <v>45</v>
      </c>
      <c r="N72" s="2" t="s">
        <v>43</v>
      </c>
      <c r="O72" s="2" t="s">
        <v>115</v>
      </c>
      <c r="P72" s="2" t="s">
        <v>44</v>
      </c>
      <c r="Q72" s="2" t="s">
        <v>45</v>
      </c>
      <c r="R72" s="2" t="s">
        <v>46</v>
      </c>
      <c r="S72" s="2" t="s">
        <v>42</v>
      </c>
      <c r="T72" s="2" t="s">
        <v>371</v>
      </c>
      <c r="U72" s="2" t="s">
        <v>45</v>
      </c>
      <c r="V72" s="2" t="s">
        <v>45</v>
      </c>
      <c r="W72" s="2" t="s">
        <v>43</v>
      </c>
      <c r="X72" s="2" t="s">
        <v>115</v>
      </c>
      <c r="Y72" s="2" t="s">
        <v>44</v>
      </c>
      <c r="Z72" s="2" t="s">
        <v>45</v>
      </c>
      <c r="AA72" s="2" t="s">
        <v>46</v>
      </c>
      <c r="AB72" s="2" t="s">
        <v>42</v>
      </c>
      <c r="AC72" s="2" t="s">
        <v>371</v>
      </c>
      <c r="AD72" s="2" t="s">
        <v>45</v>
      </c>
      <c r="AE72" s="2" t="s">
        <v>45</v>
      </c>
      <c r="AF72" s="2" t="s">
        <v>43</v>
      </c>
      <c r="AG72" s="2" t="s">
        <v>115</v>
      </c>
      <c r="AH72" s="2" t="s">
        <v>44</v>
      </c>
      <c r="AI72" s="2" t="s">
        <v>45</v>
      </c>
      <c r="AJ72" s="2" t="s">
        <v>46</v>
      </c>
      <c r="AK72" s="2" t="s">
        <v>42</v>
      </c>
      <c r="AL72" s="2" t="s">
        <v>371</v>
      </c>
    </row>
    <row r="73" spans="1:38" ht="270" x14ac:dyDescent="0.25">
      <c r="A73" s="2" t="s">
        <v>372</v>
      </c>
      <c r="B73" s="2" t="s">
        <v>373</v>
      </c>
      <c r="C73" s="2" t="s">
        <v>115</v>
      </c>
      <c r="D73" s="2"/>
      <c r="E73" s="2" t="s">
        <v>115</v>
      </c>
      <c r="F73" s="2" t="s">
        <v>245</v>
      </c>
      <c r="G73" s="2" t="s">
        <v>42</v>
      </c>
      <c r="H73" s="2">
        <v>0</v>
      </c>
      <c r="I73" s="2">
        <v>3</v>
      </c>
      <c r="J73" s="2">
        <v>0</v>
      </c>
      <c r="K73" s="2">
        <v>0</v>
      </c>
      <c r="L73" s="2" t="s">
        <v>43</v>
      </c>
      <c r="M73" s="2" t="s">
        <v>45</v>
      </c>
      <c r="N73" s="2" t="s">
        <v>45</v>
      </c>
      <c r="O73" s="2" t="s">
        <v>115</v>
      </c>
      <c r="P73" s="2" t="s">
        <v>44</v>
      </c>
      <c r="Q73" s="2" t="s">
        <v>45</v>
      </c>
      <c r="R73" s="2" t="s">
        <v>46</v>
      </c>
      <c r="S73" s="2" t="s">
        <v>42</v>
      </c>
      <c r="T73" s="2" t="s">
        <v>374</v>
      </c>
      <c r="U73" s="2" t="s">
        <v>43</v>
      </c>
      <c r="V73" s="2" t="s">
        <v>45</v>
      </c>
      <c r="W73" s="2" t="s">
        <v>45</v>
      </c>
      <c r="X73" s="2" t="s">
        <v>115</v>
      </c>
      <c r="Y73" s="2" t="s">
        <v>44</v>
      </c>
      <c r="Z73" s="2" t="s">
        <v>45</v>
      </c>
      <c r="AA73" s="2" t="s">
        <v>46</v>
      </c>
      <c r="AB73" s="2" t="s">
        <v>42</v>
      </c>
      <c r="AC73" s="2" t="s">
        <v>375</v>
      </c>
      <c r="AD73" s="2" t="s">
        <v>43</v>
      </c>
      <c r="AE73" s="2" t="s">
        <v>45</v>
      </c>
      <c r="AF73" s="2" t="s">
        <v>45</v>
      </c>
      <c r="AG73" s="2" t="s">
        <v>115</v>
      </c>
      <c r="AH73" s="2" t="s">
        <v>44</v>
      </c>
      <c r="AI73" s="2" t="s">
        <v>45</v>
      </c>
      <c r="AJ73" s="2" t="s">
        <v>46</v>
      </c>
      <c r="AK73" s="2" t="s">
        <v>42</v>
      </c>
      <c r="AL73" s="2" t="s">
        <v>376</v>
      </c>
    </row>
    <row r="74" spans="1:38" ht="375" x14ac:dyDescent="0.25">
      <c r="A74" s="2" t="s">
        <v>377</v>
      </c>
      <c r="B74" s="2" t="s">
        <v>378</v>
      </c>
      <c r="C74" s="2" t="s">
        <v>115</v>
      </c>
      <c r="D74" s="2"/>
      <c r="E74" s="2" t="s">
        <v>115</v>
      </c>
      <c r="F74" s="2" t="s">
        <v>245</v>
      </c>
      <c r="G74" s="2" t="s">
        <v>42</v>
      </c>
      <c r="H74" s="2">
        <v>0</v>
      </c>
      <c r="I74" s="2">
        <v>3</v>
      </c>
      <c r="J74" s="2">
        <v>0</v>
      </c>
      <c r="K74" s="2">
        <v>0</v>
      </c>
      <c r="L74" s="2" t="s">
        <v>43</v>
      </c>
      <c r="M74" s="2" t="s">
        <v>45</v>
      </c>
      <c r="N74" s="2" t="s">
        <v>45</v>
      </c>
      <c r="O74" s="2" t="s">
        <v>115</v>
      </c>
      <c r="P74" s="2" t="s">
        <v>44</v>
      </c>
      <c r="Q74" s="2" t="s">
        <v>45</v>
      </c>
      <c r="R74" s="2" t="s">
        <v>46</v>
      </c>
      <c r="S74" s="2" t="s">
        <v>42</v>
      </c>
      <c r="T74" s="2" t="s">
        <v>379</v>
      </c>
      <c r="U74" s="2" t="s">
        <v>43</v>
      </c>
      <c r="V74" s="2" t="s">
        <v>45</v>
      </c>
      <c r="W74" s="2" t="s">
        <v>45</v>
      </c>
      <c r="X74" s="2" t="s">
        <v>115</v>
      </c>
      <c r="Y74" s="2" t="s">
        <v>44</v>
      </c>
      <c r="Z74" s="2" t="s">
        <v>45</v>
      </c>
      <c r="AA74" s="2" t="s">
        <v>46</v>
      </c>
      <c r="AB74" s="2" t="s">
        <v>42</v>
      </c>
      <c r="AC74" s="2" t="s">
        <v>379</v>
      </c>
      <c r="AD74" s="2" t="s">
        <v>43</v>
      </c>
      <c r="AE74" s="2" t="s">
        <v>45</v>
      </c>
      <c r="AF74" s="2" t="s">
        <v>45</v>
      </c>
      <c r="AG74" s="2" t="s">
        <v>115</v>
      </c>
      <c r="AH74" s="2" t="s">
        <v>44</v>
      </c>
      <c r="AI74" s="2" t="s">
        <v>45</v>
      </c>
      <c r="AJ74" s="2" t="s">
        <v>46</v>
      </c>
      <c r="AK74" s="2" t="s">
        <v>42</v>
      </c>
      <c r="AL74" s="2" t="s">
        <v>379</v>
      </c>
    </row>
    <row r="75" spans="1:38" ht="409.5" x14ac:dyDescent="0.25">
      <c r="A75" s="2" t="s">
        <v>380</v>
      </c>
      <c r="B75" s="2" t="s">
        <v>381</v>
      </c>
      <c r="C75" s="2" t="s">
        <v>115</v>
      </c>
      <c r="D75" s="2"/>
      <c r="E75" s="2" t="s">
        <v>115</v>
      </c>
      <c r="F75" s="2" t="s">
        <v>245</v>
      </c>
      <c r="G75" s="2" t="s">
        <v>42</v>
      </c>
      <c r="H75" s="2">
        <v>0</v>
      </c>
      <c r="I75" s="2">
        <v>3</v>
      </c>
      <c r="J75" s="2">
        <v>0</v>
      </c>
      <c r="K75" s="2">
        <v>0</v>
      </c>
      <c r="L75" s="2" t="s">
        <v>43</v>
      </c>
      <c r="M75" s="2" t="s">
        <v>45</v>
      </c>
      <c r="N75" s="2" t="s">
        <v>45</v>
      </c>
      <c r="O75" s="2" t="s">
        <v>115</v>
      </c>
      <c r="P75" s="2" t="s">
        <v>44</v>
      </c>
      <c r="Q75" s="2" t="s">
        <v>45</v>
      </c>
      <c r="R75" s="2" t="s">
        <v>46</v>
      </c>
      <c r="S75" s="2" t="s">
        <v>42</v>
      </c>
      <c r="T75" s="2" t="s">
        <v>382</v>
      </c>
      <c r="U75" s="2" t="s">
        <v>43</v>
      </c>
      <c r="V75" s="2" t="s">
        <v>45</v>
      </c>
      <c r="W75" s="2" t="s">
        <v>45</v>
      </c>
      <c r="X75" s="2" t="s">
        <v>115</v>
      </c>
      <c r="Y75" s="2" t="s">
        <v>44</v>
      </c>
      <c r="Z75" s="2" t="s">
        <v>45</v>
      </c>
      <c r="AA75" s="2" t="s">
        <v>46</v>
      </c>
      <c r="AB75" s="2" t="s">
        <v>42</v>
      </c>
      <c r="AC75" s="2" t="s">
        <v>382</v>
      </c>
      <c r="AD75" s="2" t="s">
        <v>43</v>
      </c>
      <c r="AE75" s="2" t="s">
        <v>45</v>
      </c>
      <c r="AF75" s="2" t="s">
        <v>45</v>
      </c>
      <c r="AG75" s="2" t="s">
        <v>115</v>
      </c>
      <c r="AH75" s="2" t="s">
        <v>44</v>
      </c>
      <c r="AI75" s="2" t="s">
        <v>45</v>
      </c>
      <c r="AJ75" s="2" t="s">
        <v>46</v>
      </c>
      <c r="AK75" s="2" t="s">
        <v>42</v>
      </c>
      <c r="AL75" s="2" t="s">
        <v>383</v>
      </c>
    </row>
    <row r="76" spans="1:38" ht="240" x14ac:dyDescent="0.25">
      <c r="A76" s="2" t="s">
        <v>384</v>
      </c>
      <c r="B76" s="2" t="s">
        <v>385</v>
      </c>
      <c r="C76" s="2" t="s">
        <v>115</v>
      </c>
      <c r="D76" s="2"/>
      <c r="E76" s="2" t="s">
        <v>115</v>
      </c>
      <c r="F76" s="2" t="s">
        <v>245</v>
      </c>
      <c r="G76" s="2" t="s">
        <v>42</v>
      </c>
      <c r="H76" s="2">
        <v>0</v>
      </c>
      <c r="I76" s="2">
        <v>3</v>
      </c>
      <c r="J76" s="2">
        <v>0</v>
      </c>
      <c r="K76" s="2">
        <v>0</v>
      </c>
      <c r="L76" s="2" t="s">
        <v>43</v>
      </c>
      <c r="M76" s="2" t="s">
        <v>45</v>
      </c>
      <c r="N76" s="2" t="s">
        <v>45</v>
      </c>
      <c r="O76" s="2" t="s">
        <v>115</v>
      </c>
      <c r="P76" s="2" t="s">
        <v>54</v>
      </c>
      <c r="Q76" s="2" t="s">
        <v>45</v>
      </c>
      <c r="R76" s="2" t="s">
        <v>46</v>
      </c>
      <c r="S76" s="2" t="s">
        <v>42</v>
      </c>
      <c r="T76" s="2" t="s">
        <v>386</v>
      </c>
      <c r="U76" s="2" t="s">
        <v>43</v>
      </c>
      <c r="V76" s="2" t="s">
        <v>45</v>
      </c>
      <c r="W76" s="2" t="s">
        <v>45</v>
      </c>
      <c r="X76" s="2" t="s">
        <v>115</v>
      </c>
      <c r="Y76" s="2" t="s">
        <v>44</v>
      </c>
      <c r="Z76" s="2" t="s">
        <v>45</v>
      </c>
      <c r="AA76" s="2" t="s">
        <v>46</v>
      </c>
      <c r="AB76" s="2" t="s">
        <v>42</v>
      </c>
      <c r="AC76" s="2" t="s">
        <v>387</v>
      </c>
      <c r="AD76" s="2" t="s">
        <v>43</v>
      </c>
      <c r="AE76" s="2" t="s">
        <v>45</v>
      </c>
      <c r="AF76" s="2" t="s">
        <v>45</v>
      </c>
      <c r="AG76" s="2" t="s">
        <v>115</v>
      </c>
      <c r="AH76" s="2" t="s">
        <v>44</v>
      </c>
      <c r="AI76" s="2" t="s">
        <v>45</v>
      </c>
      <c r="AJ76" s="2" t="s">
        <v>46</v>
      </c>
      <c r="AK76" s="2" t="s">
        <v>42</v>
      </c>
      <c r="AL76" s="2" t="s">
        <v>388</v>
      </c>
    </row>
    <row r="77" spans="1:38" ht="405" x14ac:dyDescent="0.25">
      <c r="A77" s="2" t="s">
        <v>389</v>
      </c>
      <c r="B77" s="2" t="s">
        <v>390</v>
      </c>
      <c r="C77" s="2" t="s">
        <v>115</v>
      </c>
      <c r="D77" s="2"/>
      <c r="E77" s="2" t="s">
        <v>115</v>
      </c>
      <c r="F77" s="2" t="s">
        <v>245</v>
      </c>
      <c r="G77" s="2" t="s">
        <v>42</v>
      </c>
      <c r="H77" s="2">
        <v>0</v>
      </c>
      <c r="I77" s="2">
        <v>3</v>
      </c>
      <c r="J77" s="2">
        <v>0</v>
      </c>
      <c r="K77" s="2">
        <v>0</v>
      </c>
      <c r="L77" s="2" t="s">
        <v>53</v>
      </c>
      <c r="M77" s="2" t="s">
        <v>45</v>
      </c>
      <c r="N77" s="2" t="s">
        <v>53</v>
      </c>
      <c r="O77" s="2" t="s">
        <v>115</v>
      </c>
      <c r="P77" s="2" t="s">
        <v>54</v>
      </c>
      <c r="Q77" s="2" t="s">
        <v>45</v>
      </c>
      <c r="R77" s="2" t="s">
        <v>46</v>
      </c>
      <c r="S77" s="2" t="s">
        <v>42</v>
      </c>
      <c r="T77" s="2" t="s">
        <v>391</v>
      </c>
      <c r="U77" s="2" t="s">
        <v>53</v>
      </c>
      <c r="V77" s="2" t="s">
        <v>45</v>
      </c>
      <c r="W77" s="2" t="s">
        <v>53</v>
      </c>
      <c r="X77" s="2" t="s">
        <v>115</v>
      </c>
      <c r="Y77" s="2" t="s">
        <v>54</v>
      </c>
      <c r="Z77" s="2" t="s">
        <v>45</v>
      </c>
      <c r="AA77" s="2" t="s">
        <v>46</v>
      </c>
      <c r="AB77" s="2" t="s">
        <v>42</v>
      </c>
      <c r="AC77" s="2" t="s">
        <v>392</v>
      </c>
      <c r="AD77" s="2" t="s">
        <v>53</v>
      </c>
      <c r="AE77" s="2" t="s">
        <v>45</v>
      </c>
      <c r="AF77" s="2" t="s">
        <v>53</v>
      </c>
      <c r="AG77" s="2" t="s">
        <v>115</v>
      </c>
      <c r="AH77" s="2" t="s">
        <v>54</v>
      </c>
      <c r="AI77" s="2" t="s">
        <v>45</v>
      </c>
      <c r="AJ77" s="2" t="s">
        <v>46</v>
      </c>
      <c r="AK77" s="2" t="s">
        <v>42</v>
      </c>
      <c r="AL77" s="2" t="s">
        <v>391</v>
      </c>
    </row>
    <row r="78" spans="1:38" ht="375" x14ac:dyDescent="0.25">
      <c r="A78" s="2" t="s">
        <v>393</v>
      </c>
      <c r="B78" s="2" t="s">
        <v>394</v>
      </c>
      <c r="C78" s="2" t="s">
        <v>115</v>
      </c>
      <c r="D78" s="2"/>
      <c r="E78" s="2" t="s">
        <v>115</v>
      </c>
      <c r="F78" s="2" t="s">
        <v>245</v>
      </c>
      <c r="G78" s="2" t="s">
        <v>42</v>
      </c>
      <c r="H78" s="2">
        <v>0</v>
      </c>
      <c r="I78" s="2">
        <v>3</v>
      </c>
      <c r="J78" s="2">
        <v>0</v>
      </c>
      <c r="K78" s="2">
        <v>0</v>
      </c>
      <c r="L78" s="2" t="s">
        <v>43</v>
      </c>
      <c r="M78" s="2" t="s">
        <v>43</v>
      </c>
      <c r="N78" s="2" t="s">
        <v>45</v>
      </c>
      <c r="O78" s="2" t="s">
        <v>115</v>
      </c>
      <c r="P78" s="2" t="s">
        <v>44</v>
      </c>
      <c r="Q78" s="2" t="s">
        <v>45</v>
      </c>
      <c r="R78" s="2" t="s">
        <v>46</v>
      </c>
      <c r="S78" s="2" t="s">
        <v>42</v>
      </c>
      <c r="T78" s="2" t="s">
        <v>395</v>
      </c>
      <c r="U78" s="2" t="s">
        <v>43</v>
      </c>
      <c r="V78" s="2" t="s">
        <v>43</v>
      </c>
      <c r="W78" s="2" t="s">
        <v>45</v>
      </c>
      <c r="X78" s="2" t="s">
        <v>115</v>
      </c>
      <c r="Y78" s="2" t="s">
        <v>44</v>
      </c>
      <c r="Z78" s="2" t="s">
        <v>45</v>
      </c>
      <c r="AA78" s="2" t="s">
        <v>46</v>
      </c>
      <c r="AB78" s="2" t="s">
        <v>42</v>
      </c>
      <c r="AC78" s="2" t="s">
        <v>396</v>
      </c>
      <c r="AD78" s="2" t="s">
        <v>43</v>
      </c>
      <c r="AE78" s="2" t="s">
        <v>53</v>
      </c>
      <c r="AF78" s="2" t="s">
        <v>45</v>
      </c>
      <c r="AG78" s="2" t="s">
        <v>115</v>
      </c>
      <c r="AH78" s="2" t="s">
        <v>44</v>
      </c>
      <c r="AI78" s="2" t="s">
        <v>45</v>
      </c>
      <c r="AJ78" s="2" t="s">
        <v>46</v>
      </c>
      <c r="AK78" s="2" t="s">
        <v>42</v>
      </c>
      <c r="AL78" s="2" t="s">
        <v>397</v>
      </c>
    </row>
    <row r="79" spans="1:38" ht="285" x14ac:dyDescent="0.25">
      <c r="A79" s="2" t="s">
        <v>398</v>
      </c>
      <c r="B79" s="2" t="s">
        <v>399</v>
      </c>
      <c r="C79" s="2" t="s">
        <v>115</v>
      </c>
      <c r="D79" s="2"/>
      <c r="E79" s="2" t="s">
        <v>115</v>
      </c>
      <c r="F79" s="2" t="s">
        <v>245</v>
      </c>
      <c r="G79" s="2" t="s">
        <v>42</v>
      </c>
      <c r="H79" s="2">
        <v>0</v>
      </c>
      <c r="I79" s="2">
        <v>3</v>
      </c>
      <c r="J79" s="2">
        <v>0</v>
      </c>
      <c r="K79" s="2">
        <v>0</v>
      </c>
      <c r="L79" s="2" t="s">
        <v>43</v>
      </c>
      <c r="M79" s="2" t="s">
        <v>45</v>
      </c>
      <c r="N79" s="2" t="s">
        <v>45</v>
      </c>
      <c r="O79" s="2" t="s">
        <v>115</v>
      </c>
      <c r="P79" s="2" t="s">
        <v>44</v>
      </c>
      <c r="Q79" s="2" t="s">
        <v>45</v>
      </c>
      <c r="R79" s="2" t="s">
        <v>46</v>
      </c>
      <c r="S79" s="2" t="s">
        <v>42</v>
      </c>
      <c r="T79" s="2" t="s">
        <v>400</v>
      </c>
      <c r="U79" s="2" t="s">
        <v>43</v>
      </c>
      <c r="V79" s="2" t="s">
        <v>45</v>
      </c>
      <c r="W79" s="2" t="s">
        <v>45</v>
      </c>
      <c r="X79" s="2" t="s">
        <v>115</v>
      </c>
      <c r="Y79" s="2" t="s">
        <v>44</v>
      </c>
      <c r="Z79" s="2" t="s">
        <v>45</v>
      </c>
      <c r="AA79" s="2" t="s">
        <v>46</v>
      </c>
      <c r="AB79" s="2" t="s">
        <v>42</v>
      </c>
      <c r="AC79" s="2" t="s">
        <v>401</v>
      </c>
      <c r="AD79" s="2" t="s">
        <v>43</v>
      </c>
      <c r="AE79" s="2" t="s">
        <v>45</v>
      </c>
      <c r="AF79" s="2" t="s">
        <v>45</v>
      </c>
      <c r="AG79" s="2" t="s">
        <v>115</v>
      </c>
      <c r="AH79" s="2" t="s">
        <v>44</v>
      </c>
      <c r="AI79" s="2" t="s">
        <v>45</v>
      </c>
      <c r="AJ79" s="2" t="s">
        <v>46</v>
      </c>
      <c r="AK79" s="2" t="s">
        <v>42</v>
      </c>
      <c r="AL79" s="2" t="s">
        <v>400</v>
      </c>
    </row>
    <row r="80" spans="1:38" ht="375" x14ac:dyDescent="0.25">
      <c r="A80" s="2" t="s">
        <v>402</v>
      </c>
      <c r="B80" s="2" t="s">
        <v>403</v>
      </c>
      <c r="C80" s="2" t="s">
        <v>115</v>
      </c>
      <c r="D80" s="2"/>
      <c r="E80" s="2" t="s">
        <v>115</v>
      </c>
      <c r="F80" s="2" t="s">
        <v>245</v>
      </c>
      <c r="G80" s="2" t="s">
        <v>42</v>
      </c>
      <c r="H80" s="2">
        <v>0</v>
      </c>
      <c r="I80" s="2">
        <v>3</v>
      </c>
      <c r="J80" s="2">
        <v>0</v>
      </c>
      <c r="K80" s="2">
        <v>0</v>
      </c>
      <c r="L80" s="2" t="s">
        <v>43</v>
      </c>
      <c r="M80" s="2" t="s">
        <v>45</v>
      </c>
      <c r="N80" s="2" t="s">
        <v>45</v>
      </c>
      <c r="O80" s="2" t="s">
        <v>115</v>
      </c>
      <c r="P80" s="2" t="s">
        <v>44</v>
      </c>
      <c r="Q80" s="2" t="s">
        <v>45</v>
      </c>
      <c r="R80" s="2" t="s">
        <v>46</v>
      </c>
      <c r="S80" s="2" t="s">
        <v>42</v>
      </c>
      <c r="T80" s="2" t="s">
        <v>404</v>
      </c>
      <c r="U80" s="2" t="s">
        <v>43</v>
      </c>
      <c r="V80" s="2" t="s">
        <v>45</v>
      </c>
      <c r="W80" s="2" t="s">
        <v>45</v>
      </c>
      <c r="X80" s="2" t="s">
        <v>115</v>
      </c>
      <c r="Y80" s="2" t="s">
        <v>44</v>
      </c>
      <c r="Z80" s="2" t="s">
        <v>45</v>
      </c>
      <c r="AA80" s="2" t="s">
        <v>46</v>
      </c>
      <c r="AB80" s="2" t="s">
        <v>42</v>
      </c>
      <c r="AC80" s="2" t="s">
        <v>405</v>
      </c>
      <c r="AD80" s="2" t="s">
        <v>43</v>
      </c>
      <c r="AE80" s="2" t="s">
        <v>45</v>
      </c>
      <c r="AF80" s="2" t="s">
        <v>45</v>
      </c>
      <c r="AG80" s="2" t="s">
        <v>115</v>
      </c>
      <c r="AH80" s="2" t="s">
        <v>44</v>
      </c>
      <c r="AI80" s="2" t="s">
        <v>45</v>
      </c>
      <c r="AJ80" s="2" t="s">
        <v>46</v>
      </c>
      <c r="AK80" s="2" t="s">
        <v>42</v>
      </c>
      <c r="AL80" s="2" t="s">
        <v>406</v>
      </c>
    </row>
    <row r="81" spans="1:38" ht="180" x14ac:dyDescent="0.25">
      <c r="A81" s="2" t="s">
        <v>407</v>
      </c>
      <c r="B81" s="2" t="s">
        <v>408</v>
      </c>
      <c r="C81" s="2" t="s">
        <v>115</v>
      </c>
      <c r="D81" s="2"/>
      <c r="E81" s="2" t="s">
        <v>115</v>
      </c>
      <c r="F81" s="2" t="s">
        <v>245</v>
      </c>
      <c r="G81" s="2" t="s">
        <v>409</v>
      </c>
      <c r="H81" s="2">
        <v>0</v>
      </c>
      <c r="I81" s="2">
        <v>3</v>
      </c>
      <c r="J81" s="2">
        <v>0</v>
      </c>
      <c r="K81" s="2">
        <v>0</v>
      </c>
      <c r="L81" s="2" t="s">
        <v>43</v>
      </c>
      <c r="M81" s="2" t="s">
        <v>45</v>
      </c>
      <c r="N81" s="2" t="s">
        <v>45</v>
      </c>
      <c r="O81" s="2" t="s">
        <v>115</v>
      </c>
      <c r="P81" s="2" t="s">
        <v>44</v>
      </c>
      <c r="Q81" s="2" t="s">
        <v>45</v>
      </c>
      <c r="R81" s="2" t="s">
        <v>46</v>
      </c>
      <c r="S81" s="2" t="s">
        <v>409</v>
      </c>
      <c r="T81" s="2" t="s">
        <v>410</v>
      </c>
      <c r="U81" s="2" t="s">
        <v>43</v>
      </c>
      <c r="V81" s="2" t="s">
        <v>45</v>
      </c>
      <c r="W81" s="2" t="s">
        <v>45</v>
      </c>
      <c r="X81" s="2" t="s">
        <v>115</v>
      </c>
      <c r="Y81" s="2" t="s">
        <v>44</v>
      </c>
      <c r="Z81" s="2" t="s">
        <v>45</v>
      </c>
      <c r="AA81" s="2" t="s">
        <v>46</v>
      </c>
      <c r="AB81" s="2" t="s">
        <v>409</v>
      </c>
      <c r="AC81" s="2" t="s">
        <v>411</v>
      </c>
      <c r="AD81" s="2" t="s">
        <v>43</v>
      </c>
      <c r="AE81" s="2" t="s">
        <v>45</v>
      </c>
      <c r="AF81" s="2" t="s">
        <v>45</v>
      </c>
      <c r="AG81" s="2" t="s">
        <v>115</v>
      </c>
      <c r="AH81" s="2" t="s">
        <v>44</v>
      </c>
      <c r="AI81" s="2" t="s">
        <v>45</v>
      </c>
      <c r="AJ81" s="2" t="s">
        <v>46</v>
      </c>
      <c r="AK81" s="2" t="s">
        <v>409</v>
      </c>
      <c r="AL81" s="2" t="s">
        <v>412</v>
      </c>
    </row>
    <row r="82" spans="1:38" ht="210" x14ac:dyDescent="0.25">
      <c r="A82" s="2" t="s">
        <v>413</v>
      </c>
      <c r="B82" s="2" t="s">
        <v>414</v>
      </c>
      <c r="C82" s="2" t="s">
        <v>115</v>
      </c>
      <c r="D82" s="2"/>
      <c r="E82" s="2" t="s">
        <v>115</v>
      </c>
      <c r="F82" s="2" t="s">
        <v>245</v>
      </c>
      <c r="G82" s="2" t="s">
        <v>42</v>
      </c>
      <c r="H82" s="2">
        <v>0</v>
      </c>
      <c r="I82" s="2">
        <v>3</v>
      </c>
      <c r="J82" s="2">
        <v>0</v>
      </c>
      <c r="K82" s="2">
        <v>0</v>
      </c>
      <c r="L82" s="2" t="s">
        <v>43</v>
      </c>
      <c r="M82" s="2" t="s">
        <v>45</v>
      </c>
      <c r="N82" s="2" t="s">
        <v>45</v>
      </c>
      <c r="O82" s="2" t="s">
        <v>115</v>
      </c>
      <c r="P82" s="2" t="s">
        <v>44</v>
      </c>
      <c r="Q82" s="2" t="s">
        <v>45</v>
      </c>
      <c r="R82" s="2" t="s">
        <v>46</v>
      </c>
      <c r="S82" s="2" t="s">
        <v>42</v>
      </c>
      <c r="T82" s="2" t="s">
        <v>415</v>
      </c>
      <c r="U82" s="2" t="s">
        <v>43</v>
      </c>
      <c r="V82" s="2" t="s">
        <v>45</v>
      </c>
      <c r="W82" s="2" t="s">
        <v>45</v>
      </c>
      <c r="X82" s="2" t="s">
        <v>115</v>
      </c>
      <c r="Y82" s="2" t="s">
        <v>44</v>
      </c>
      <c r="Z82" s="2" t="s">
        <v>45</v>
      </c>
      <c r="AA82" s="2" t="s">
        <v>46</v>
      </c>
      <c r="AB82" s="2" t="s">
        <v>42</v>
      </c>
      <c r="AC82" s="2" t="s">
        <v>416</v>
      </c>
      <c r="AD82" s="2" t="s">
        <v>43</v>
      </c>
      <c r="AE82" s="2" t="s">
        <v>45</v>
      </c>
      <c r="AF82" s="2" t="s">
        <v>45</v>
      </c>
      <c r="AG82" s="2" t="s">
        <v>115</v>
      </c>
      <c r="AH82" s="2" t="s">
        <v>44</v>
      </c>
      <c r="AI82" s="2" t="s">
        <v>45</v>
      </c>
      <c r="AJ82" s="2" t="s">
        <v>46</v>
      </c>
      <c r="AK82" s="2" t="s">
        <v>42</v>
      </c>
      <c r="AL82" s="2" t="s">
        <v>415</v>
      </c>
    </row>
    <row r="83" spans="1:38" ht="210" x14ac:dyDescent="0.25">
      <c r="A83" s="2" t="s">
        <v>417</v>
      </c>
      <c r="B83" s="2" t="s">
        <v>418</v>
      </c>
      <c r="C83" s="2" t="s">
        <v>115</v>
      </c>
      <c r="D83" s="2"/>
      <c r="E83" s="2" t="s">
        <v>115</v>
      </c>
      <c r="F83" s="2" t="s">
        <v>245</v>
      </c>
      <c r="G83" s="2" t="s">
        <v>42</v>
      </c>
      <c r="H83" s="2">
        <v>0</v>
      </c>
      <c r="I83" s="2">
        <v>3</v>
      </c>
      <c r="J83" s="2">
        <v>0</v>
      </c>
      <c r="K83" s="2">
        <v>0</v>
      </c>
      <c r="L83" s="2" t="s">
        <v>45</v>
      </c>
      <c r="M83" s="2" t="s">
        <v>45</v>
      </c>
      <c r="N83" s="2" t="s">
        <v>45</v>
      </c>
      <c r="O83" s="2" t="s">
        <v>115</v>
      </c>
      <c r="P83" s="2" t="s">
        <v>44</v>
      </c>
      <c r="Q83" s="2" t="s">
        <v>45</v>
      </c>
      <c r="R83" s="2" t="s">
        <v>46</v>
      </c>
      <c r="S83" s="2" t="s">
        <v>42</v>
      </c>
      <c r="T83" s="2" t="s">
        <v>419</v>
      </c>
      <c r="U83" s="2" t="s">
        <v>45</v>
      </c>
      <c r="V83" s="2" t="s">
        <v>45</v>
      </c>
      <c r="W83" s="2" t="s">
        <v>45</v>
      </c>
      <c r="X83" s="2" t="s">
        <v>115</v>
      </c>
      <c r="Y83" s="2" t="s">
        <v>44</v>
      </c>
      <c r="Z83" s="2" t="s">
        <v>45</v>
      </c>
      <c r="AA83" s="2" t="s">
        <v>46</v>
      </c>
      <c r="AB83" s="2" t="s">
        <v>42</v>
      </c>
      <c r="AC83" s="2" t="s">
        <v>420</v>
      </c>
      <c r="AD83" s="2" t="s">
        <v>45</v>
      </c>
      <c r="AE83" s="2" t="s">
        <v>45</v>
      </c>
      <c r="AF83" s="2" t="s">
        <v>45</v>
      </c>
      <c r="AG83" s="2" t="s">
        <v>115</v>
      </c>
      <c r="AH83" s="2" t="s">
        <v>44</v>
      </c>
      <c r="AI83" s="2" t="s">
        <v>45</v>
      </c>
      <c r="AJ83" s="2" t="s">
        <v>46</v>
      </c>
      <c r="AK83" s="2" t="s">
        <v>42</v>
      </c>
      <c r="AL83" s="2" t="s">
        <v>421</v>
      </c>
    </row>
    <row r="84" spans="1:38" ht="315" x14ac:dyDescent="0.25">
      <c r="A84" s="2" t="s">
        <v>422</v>
      </c>
      <c r="B84" s="2" t="s">
        <v>423</v>
      </c>
      <c r="C84" s="2" t="s">
        <v>115</v>
      </c>
      <c r="D84" s="2"/>
      <c r="E84" s="2" t="s">
        <v>115</v>
      </c>
      <c r="F84" s="2" t="s">
        <v>245</v>
      </c>
      <c r="G84" s="2" t="s">
        <v>48</v>
      </c>
      <c r="H84" s="2">
        <v>0</v>
      </c>
      <c r="I84" s="2">
        <v>3</v>
      </c>
      <c r="J84" s="2">
        <v>0</v>
      </c>
      <c r="K84" s="2">
        <v>0</v>
      </c>
      <c r="L84" s="2" t="s">
        <v>43</v>
      </c>
      <c r="M84" s="2" t="s">
        <v>45</v>
      </c>
      <c r="N84" s="2" t="s">
        <v>43</v>
      </c>
      <c r="O84" s="2" t="s">
        <v>115</v>
      </c>
      <c r="P84" s="2" t="s">
        <v>44</v>
      </c>
      <c r="Q84" s="2" t="s">
        <v>45</v>
      </c>
      <c r="R84" s="2" t="s">
        <v>46</v>
      </c>
      <c r="S84" s="2" t="s">
        <v>48</v>
      </c>
      <c r="T84" s="2" t="s">
        <v>424</v>
      </c>
      <c r="U84" s="2" t="s">
        <v>43</v>
      </c>
      <c r="V84" s="2" t="s">
        <v>45</v>
      </c>
      <c r="W84" s="2" t="s">
        <v>43</v>
      </c>
      <c r="X84" s="2" t="s">
        <v>115</v>
      </c>
      <c r="Y84" s="2" t="s">
        <v>44</v>
      </c>
      <c r="Z84" s="2" t="s">
        <v>45</v>
      </c>
      <c r="AA84" s="2" t="s">
        <v>46</v>
      </c>
      <c r="AB84" s="2" t="s">
        <v>48</v>
      </c>
      <c r="AC84" s="2" t="s">
        <v>425</v>
      </c>
      <c r="AD84" s="2" t="s">
        <v>43</v>
      </c>
      <c r="AE84" s="2" t="s">
        <v>45</v>
      </c>
      <c r="AF84" s="2" t="s">
        <v>43</v>
      </c>
      <c r="AG84" s="2" t="s">
        <v>115</v>
      </c>
      <c r="AH84" s="2" t="s">
        <v>44</v>
      </c>
      <c r="AI84" s="2" t="s">
        <v>45</v>
      </c>
      <c r="AJ84" s="2" t="s">
        <v>46</v>
      </c>
      <c r="AK84" s="2" t="s">
        <v>48</v>
      </c>
      <c r="AL84" s="2" t="s">
        <v>424</v>
      </c>
    </row>
    <row r="85" spans="1:38" ht="270" x14ac:dyDescent="0.25">
      <c r="A85" s="2" t="s">
        <v>426</v>
      </c>
      <c r="B85" s="2" t="s">
        <v>427</v>
      </c>
      <c r="C85" s="2" t="s">
        <v>115</v>
      </c>
      <c r="D85" s="2"/>
      <c r="E85" s="2" t="s">
        <v>115</v>
      </c>
      <c r="F85" s="2" t="s">
        <v>245</v>
      </c>
      <c r="G85" s="2" t="s">
        <v>42</v>
      </c>
      <c r="H85" s="2">
        <v>0</v>
      </c>
      <c r="I85" s="2">
        <v>3</v>
      </c>
      <c r="J85" s="2">
        <v>0</v>
      </c>
      <c r="K85" s="2">
        <v>0</v>
      </c>
      <c r="L85" s="2" t="s">
        <v>43</v>
      </c>
      <c r="M85" s="2" t="s">
        <v>45</v>
      </c>
      <c r="N85" s="2" t="s">
        <v>43</v>
      </c>
      <c r="O85" s="2" t="s">
        <v>115</v>
      </c>
      <c r="P85" s="2" t="s">
        <v>44</v>
      </c>
      <c r="Q85" s="2" t="s">
        <v>45</v>
      </c>
      <c r="R85" s="2" t="s">
        <v>46</v>
      </c>
      <c r="S85" s="2" t="s">
        <v>42</v>
      </c>
      <c r="T85" s="2" t="s">
        <v>428</v>
      </c>
      <c r="U85" s="2" t="s">
        <v>43</v>
      </c>
      <c r="V85" s="2" t="s">
        <v>45</v>
      </c>
      <c r="W85" s="2" t="s">
        <v>53</v>
      </c>
      <c r="X85" s="2" t="s">
        <v>115</v>
      </c>
      <c r="Y85" s="2" t="s">
        <v>54</v>
      </c>
      <c r="Z85" s="2" t="s">
        <v>45</v>
      </c>
      <c r="AA85" s="2" t="s">
        <v>46</v>
      </c>
      <c r="AB85" s="2" t="s">
        <v>42</v>
      </c>
      <c r="AC85" s="2" t="s">
        <v>429</v>
      </c>
      <c r="AD85" s="2" t="s">
        <v>43</v>
      </c>
      <c r="AE85" s="2" t="s">
        <v>45</v>
      </c>
      <c r="AF85" s="2" t="s">
        <v>43</v>
      </c>
      <c r="AG85" s="2" t="s">
        <v>115</v>
      </c>
      <c r="AH85" s="2" t="s">
        <v>44</v>
      </c>
      <c r="AI85" s="2" t="s">
        <v>45</v>
      </c>
      <c r="AJ85" s="2" t="s">
        <v>46</v>
      </c>
      <c r="AK85" s="2" t="s">
        <v>42</v>
      </c>
      <c r="AL85" s="2" t="s">
        <v>430</v>
      </c>
    </row>
    <row r="86" spans="1:38" ht="409.5" x14ac:dyDescent="0.25">
      <c r="A86" s="2" t="s">
        <v>431</v>
      </c>
      <c r="B86" s="2" t="s">
        <v>432</v>
      </c>
      <c r="C86" s="2" t="s">
        <v>115</v>
      </c>
      <c r="D86" s="2"/>
      <c r="E86" s="2" t="s">
        <v>115</v>
      </c>
      <c r="F86" s="2" t="s">
        <v>245</v>
      </c>
      <c r="G86" s="2" t="s">
        <v>433</v>
      </c>
      <c r="H86" s="2">
        <v>0</v>
      </c>
      <c r="I86" s="2">
        <v>3</v>
      </c>
      <c r="J86" s="2">
        <v>0</v>
      </c>
      <c r="K86" s="2">
        <v>0</v>
      </c>
      <c r="L86" s="2" t="s">
        <v>45</v>
      </c>
      <c r="M86" s="2" t="s">
        <v>45</v>
      </c>
      <c r="N86" s="2" t="s">
        <v>45</v>
      </c>
      <c r="O86" s="2" t="s">
        <v>115</v>
      </c>
      <c r="P86" s="2" t="s">
        <v>44</v>
      </c>
      <c r="Q86" s="2" t="s">
        <v>45</v>
      </c>
      <c r="R86" s="2" t="s">
        <v>46</v>
      </c>
      <c r="S86" s="2" t="s">
        <v>433</v>
      </c>
      <c r="T86" s="2" t="s">
        <v>434</v>
      </c>
      <c r="U86" s="2" t="s">
        <v>45</v>
      </c>
      <c r="V86" s="2" t="s">
        <v>45</v>
      </c>
      <c r="W86" s="2" t="s">
        <v>45</v>
      </c>
      <c r="X86" s="2" t="s">
        <v>115</v>
      </c>
      <c r="Y86" s="2" t="s">
        <v>44</v>
      </c>
      <c r="Z86" s="2" t="s">
        <v>45</v>
      </c>
      <c r="AA86" s="2" t="s">
        <v>46</v>
      </c>
      <c r="AB86" s="2" t="s">
        <v>433</v>
      </c>
      <c r="AC86" s="2" t="s">
        <v>435</v>
      </c>
      <c r="AD86" s="2" t="s">
        <v>45</v>
      </c>
      <c r="AE86" s="2" t="s">
        <v>45</v>
      </c>
      <c r="AF86" s="2" t="s">
        <v>45</v>
      </c>
      <c r="AG86" s="2" t="s">
        <v>115</v>
      </c>
      <c r="AH86" s="2" t="s">
        <v>44</v>
      </c>
      <c r="AI86" s="2" t="s">
        <v>45</v>
      </c>
      <c r="AJ86" s="2" t="s">
        <v>46</v>
      </c>
      <c r="AK86" s="2" t="s">
        <v>433</v>
      </c>
      <c r="AL86" s="2" t="s">
        <v>436</v>
      </c>
    </row>
    <row r="87" spans="1:38" ht="300" x14ac:dyDescent="0.25">
      <c r="A87" s="2" t="s">
        <v>437</v>
      </c>
      <c r="B87" s="2" t="s">
        <v>438</v>
      </c>
      <c r="C87" s="2" t="s">
        <v>115</v>
      </c>
      <c r="D87" s="2"/>
      <c r="E87" s="2" t="s">
        <v>115</v>
      </c>
      <c r="F87" s="2" t="s">
        <v>245</v>
      </c>
      <c r="G87" s="2" t="s">
        <v>42</v>
      </c>
      <c r="H87" s="2">
        <v>0</v>
      </c>
      <c r="I87" s="2">
        <v>3</v>
      </c>
      <c r="J87" s="2">
        <v>0</v>
      </c>
      <c r="K87" s="2">
        <v>0</v>
      </c>
      <c r="L87" s="2" t="s">
        <v>43</v>
      </c>
      <c r="M87" s="2" t="s">
        <v>45</v>
      </c>
      <c r="N87" s="2" t="s">
        <v>43</v>
      </c>
      <c r="O87" s="2" t="s">
        <v>115</v>
      </c>
      <c r="P87" s="2" t="s">
        <v>44</v>
      </c>
      <c r="Q87" s="2" t="s">
        <v>45</v>
      </c>
      <c r="R87" s="2" t="s">
        <v>46</v>
      </c>
      <c r="S87" s="2" t="s">
        <v>42</v>
      </c>
      <c r="T87" s="2" t="s">
        <v>439</v>
      </c>
      <c r="U87" s="2" t="s">
        <v>43</v>
      </c>
      <c r="V87" s="2" t="s">
        <v>45</v>
      </c>
      <c r="W87" s="2" t="s">
        <v>43</v>
      </c>
      <c r="X87" s="2" t="s">
        <v>115</v>
      </c>
      <c r="Y87" s="2" t="s">
        <v>44</v>
      </c>
      <c r="Z87" s="2" t="s">
        <v>45</v>
      </c>
      <c r="AA87" s="2" t="s">
        <v>46</v>
      </c>
      <c r="AB87" s="2" t="s">
        <v>42</v>
      </c>
      <c r="AC87" s="2" t="s">
        <v>440</v>
      </c>
      <c r="AD87" s="2" t="s">
        <v>43</v>
      </c>
      <c r="AE87" s="2" t="s">
        <v>45</v>
      </c>
      <c r="AF87" s="2" t="s">
        <v>43</v>
      </c>
      <c r="AG87" s="2" t="s">
        <v>115</v>
      </c>
      <c r="AH87" s="2" t="s">
        <v>44</v>
      </c>
      <c r="AI87" s="2" t="s">
        <v>45</v>
      </c>
      <c r="AJ87" s="2" t="s">
        <v>46</v>
      </c>
      <c r="AK87" s="2" t="s">
        <v>42</v>
      </c>
      <c r="AL87" s="2" t="s">
        <v>440</v>
      </c>
    </row>
    <row r="88" spans="1:38" ht="225" x14ac:dyDescent="0.25">
      <c r="A88" s="2" t="s">
        <v>441</v>
      </c>
      <c r="B88" s="2" t="s">
        <v>442</v>
      </c>
      <c r="C88" s="2" t="s">
        <v>115</v>
      </c>
      <c r="D88" s="2"/>
      <c r="E88" s="2" t="s">
        <v>115</v>
      </c>
      <c r="F88" s="2" t="s">
        <v>245</v>
      </c>
      <c r="G88" s="2" t="s">
        <v>42</v>
      </c>
      <c r="H88" s="2">
        <v>0</v>
      </c>
      <c r="I88" s="2">
        <v>3</v>
      </c>
      <c r="J88" s="2">
        <v>0</v>
      </c>
      <c r="K88" s="2">
        <v>0</v>
      </c>
      <c r="L88" s="2" t="s">
        <v>43</v>
      </c>
      <c r="M88" s="2" t="s">
        <v>45</v>
      </c>
      <c r="N88" s="2" t="s">
        <v>45</v>
      </c>
      <c r="O88" s="2" t="s">
        <v>115</v>
      </c>
      <c r="P88" s="2" t="s">
        <v>44</v>
      </c>
      <c r="Q88" s="2" t="s">
        <v>45</v>
      </c>
      <c r="R88" s="2" t="s">
        <v>46</v>
      </c>
      <c r="S88" s="2" t="s">
        <v>42</v>
      </c>
      <c r="T88" s="2" t="s">
        <v>443</v>
      </c>
      <c r="U88" s="2" t="s">
        <v>43</v>
      </c>
      <c r="V88" s="2" t="s">
        <v>45</v>
      </c>
      <c r="W88" s="2" t="s">
        <v>45</v>
      </c>
      <c r="X88" s="2" t="s">
        <v>115</v>
      </c>
      <c r="Y88" s="2" t="s">
        <v>44</v>
      </c>
      <c r="Z88" s="2" t="s">
        <v>45</v>
      </c>
      <c r="AA88" s="2" t="s">
        <v>46</v>
      </c>
      <c r="AB88" s="2" t="s">
        <v>42</v>
      </c>
      <c r="AC88" s="2" t="s">
        <v>444</v>
      </c>
      <c r="AD88" s="2" t="s">
        <v>43</v>
      </c>
      <c r="AE88" s="2" t="s">
        <v>45</v>
      </c>
      <c r="AF88" s="2" t="s">
        <v>45</v>
      </c>
      <c r="AG88" s="2" t="s">
        <v>115</v>
      </c>
      <c r="AH88" s="2" t="s">
        <v>44</v>
      </c>
      <c r="AI88" s="2" t="s">
        <v>45</v>
      </c>
      <c r="AJ88" s="2" t="s">
        <v>46</v>
      </c>
      <c r="AK88" s="2" t="s">
        <v>42</v>
      </c>
      <c r="AL88" s="2" t="s">
        <v>445</v>
      </c>
    </row>
    <row r="89" spans="1:38" ht="300" x14ac:dyDescent="0.25">
      <c r="A89" s="2" t="s">
        <v>446</v>
      </c>
      <c r="B89" s="2" t="s">
        <v>447</v>
      </c>
      <c r="C89" s="2" t="s">
        <v>115</v>
      </c>
      <c r="D89" s="2"/>
      <c r="E89" s="2" t="s">
        <v>115</v>
      </c>
      <c r="F89" s="2" t="s">
        <v>245</v>
      </c>
      <c r="G89" s="2" t="s">
        <v>42</v>
      </c>
      <c r="H89" s="2">
        <v>0</v>
      </c>
      <c r="I89" s="2">
        <v>3</v>
      </c>
      <c r="J89" s="2">
        <v>0</v>
      </c>
      <c r="K89" s="2">
        <v>0</v>
      </c>
      <c r="L89" s="2" t="s">
        <v>53</v>
      </c>
      <c r="M89" s="2" t="s">
        <v>45</v>
      </c>
      <c r="N89" s="2" t="s">
        <v>45</v>
      </c>
      <c r="O89" s="2" t="s">
        <v>115</v>
      </c>
      <c r="P89" s="2" t="s">
        <v>44</v>
      </c>
      <c r="Q89" s="2" t="s">
        <v>45</v>
      </c>
      <c r="R89" s="2" t="s">
        <v>46</v>
      </c>
      <c r="S89" s="2" t="s">
        <v>42</v>
      </c>
      <c r="T89" s="2" t="s">
        <v>448</v>
      </c>
      <c r="U89" s="2" t="s">
        <v>53</v>
      </c>
      <c r="V89" s="2" t="s">
        <v>45</v>
      </c>
      <c r="W89" s="2" t="s">
        <v>45</v>
      </c>
      <c r="X89" s="2" t="s">
        <v>115</v>
      </c>
      <c r="Y89" s="2" t="s">
        <v>44</v>
      </c>
      <c r="Z89" s="2" t="s">
        <v>45</v>
      </c>
      <c r="AA89" s="2" t="s">
        <v>46</v>
      </c>
      <c r="AB89" s="2" t="s">
        <v>42</v>
      </c>
      <c r="AC89" s="2" t="s">
        <v>449</v>
      </c>
      <c r="AD89" s="2" t="s">
        <v>53</v>
      </c>
      <c r="AE89" s="2" t="s">
        <v>45</v>
      </c>
      <c r="AF89" s="2" t="s">
        <v>45</v>
      </c>
      <c r="AG89" s="2" t="s">
        <v>115</v>
      </c>
      <c r="AH89" s="2" t="s">
        <v>44</v>
      </c>
      <c r="AI89" s="2" t="s">
        <v>45</v>
      </c>
      <c r="AJ89" s="2" t="s">
        <v>46</v>
      </c>
      <c r="AK89" s="2" t="s">
        <v>42</v>
      </c>
      <c r="AL89" s="2" t="s">
        <v>449</v>
      </c>
    </row>
    <row r="90" spans="1:38" ht="150" x14ac:dyDescent="0.25">
      <c r="A90" s="2" t="s">
        <v>450</v>
      </c>
      <c r="B90" s="2" t="s">
        <v>451</v>
      </c>
      <c r="C90" s="2" t="s">
        <v>115</v>
      </c>
      <c r="D90" s="2"/>
      <c r="E90" s="2" t="s">
        <v>115</v>
      </c>
      <c r="F90" s="2" t="s">
        <v>245</v>
      </c>
      <c r="G90" s="2" t="s">
        <v>42</v>
      </c>
      <c r="H90" s="2">
        <v>0</v>
      </c>
      <c r="I90" s="2">
        <v>3</v>
      </c>
      <c r="J90" s="2">
        <v>0</v>
      </c>
      <c r="K90" s="2">
        <v>0</v>
      </c>
      <c r="L90" s="2" t="s">
        <v>45</v>
      </c>
      <c r="M90" s="2" t="s">
        <v>45</v>
      </c>
      <c r="N90" s="2" t="s">
        <v>45</v>
      </c>
      <c r="O90" s="2" t="s">
        <v>115</v>
      </c>
      <c r="P90" s="2" t="s">
        <v>54</v>
      </c>
      <c r="Q90" s="2" t="s">
        <v>45</v>
      </c>
      <c r="R90" s="2" t="s">
        <v>46</v>
      </c>
      <c r="S90" s="2" t="s">
        <v>42</v>
      </c>
      <c r="T90" s="2" t="s">
        <v>452</v>
      </c>
      <c r="U90" s="2" t="s">
        <v>45</v>
      </c>
      <c r="V90" s="2" t="s">
        <v>45</v>
      </c>
      <c r="W90" s="2" t="s">
        <v>45</v>
      </c>
      <c r="X90" s="2" t="s">
        <v>115</v>
      </c>
      <c r="Y90" s="2" t="s">
        <v>54</v>
      </c>
      <c r="Z90" s="2" t="s">
        <v>45</v>
      </c>
      <c r="AA90" s="2" t="s">
        <v>46</v>
      </c>
      <c r="AB90" s="2" t="s">
        <v>42</v>
      </c>
      <c r="AC90" s="2" t="s">
        <v>453</v>
      </c>
      <c r="AD90" s="2" t="s">
        <v>45</v>
      </c>
      <c r="AE90" s="2" t="s">
        <v>45</v>
      </c>
      <c r="AF90" s="2" t="s">
        <v>45</v>
      </c>
      <c r="AG90" s="2" t="s">
        <v>115</v>
      </c>
      <c r="AH90" s="2" t="s">
        <v>44</v>
      </c>
      <c r="AI90" s="2" t="s">
        <v>45</v>
      </c>
      <c r="AJ90" s="2" t="s">
        <v>46</v>
      </c>
      <c r="AK90" s="2" t="s">
        <v>42</v>
      </c>
      <c r="AL90" s="2" t="s">
        <v>454</v>
      </c>
    </row>
    <row r="91" spans="1:38" ht="285" x14ac:dyDescent="0.25">
      <c r="A91" s="2" t="s">
        <v>455</v>
      </c>
      <c r="B91" s="2" t="s">
        <v>456</v>
      </c>
      <c r="C91" s="2" t="s">
        <v>115</v>
      </c>
      <c r="D91" s="2"/>
      <c r="E91" s="2" t="s">
        <v>115</v>
      </c>
      <c r="F91" s="2" t="s">
        <v>245</v>
      </c>
      <c r="G91" s="2" t="s">
        <v>42</v>
      </c>
      <c r="H91" s="2">
        <v>0</v>
      </c>
      <c r="I91" s="2">
        <v>3</v>
      </c>
      <c r="J91" s="2">
        <v>0</v>
      </c>
      <c r="K91" s="2">
        <v>0</v>
      </c>
      <c r="L91" s="2" t="s">
        <v>43</v>
      </c>
      <c r="M91" s="2" t="s">
        <v>45</v>
      </c>
      <c r="N91" s="2" t="s">
        <v>45</v>
      </c>
      <c r="O91" s="2" t="s">
        <v>115</v>
      </c>
      <c r="P91" s="2" t="s">
        <v>44</v>
      </c>
      <c r="Q91" s="2" t="s">
        <v>45</v>
      </c>
      <c r="R91" s="2" t="s">
        <v>46</v>
      </c>
      <c r="S91" s="2" t="s">
        <v>42</v>
      </c>
      <c r="T91" s="2" t="s">
        <v>457</v>
      </c>
      <c r="U91" s="2" t="s">
        <v>53</v>
      </c>
      <c r="V91" s="2" t="s">
        <v>45</v>
      </c>
      <c r="W91" s="2" t="s">
        <v>45</v>
      </c>
      <c r="X91" s="2" t="s">
        <v>115</v>
      </c>
      <c r="Y91" s="2" t="s">
        <v>44</v>
      </c>
      <c r="Z91" s="2" t="s">
        <v>45</v>
      </c>
      <c r="AA91" s="2" t="s">
        <v>46</v>
      </c>
      <c r="AB91" s="2" t="s">
        <v>42</v>
      </c>
      <c r="AC91" s="2" t="s">
        <v>458</v>
      </c>
      <c r="AD91" s="2" t="s">
        <v>43</v>
      </c>
      <c r="AE91" s="2" t="s">
        <v>45</v>
      </c>
      <c r="AF91" s="2" t="s">
        <v>45</v>
      </c>
      <c r="AG91" s="2" t="s">
        <v>115</v>
      </c>
      <c r="AH91" s="2" t="s">
        <v>44</v>
      </c>
      <c r="AI91" s="2" t="s">
        <v>45</v>
      </c>
      <c r="AJ91" s="2" t="s">
        <v>46</v>
      </c>
      <c r="AK91" s="2" t="s">
        <v>42</v>
      </c>
      <c r="AL91" s="2" t="s">
        <v>459</v>
      </c>
    </row>
    <row r="92" spans="1:38" ht="270" x14ac:dyDescent="0.25">
      <c r="A92" s="2" t="s">
        <v>460</v>
      </c>
      <c r="B92" s="2" t="s">
        <v>461</v>
      </c>
      <c r="C92" s="2" t="s">
        <v>115</v>
      </c>
      <c r="D92" s="2"/>
      <c r="E92" s="2" t="s">
        <v>115</v>
      </c>
      <c r="F92" s="2" t="s">
        <v>245</v>
      </c>
      <c r="G92" s="2" t="s">
        <v>42</v>
      </c>
      <c r="H92" s="2">
        <v>0</v>
      </c>
      <c r="I92" s="2">
        <v>3</v>
      </c>
      <c r="J92" s="2">
        <v>0</v>
      </c>
      <c r="K92" s="2">
        <v>0</v>
      </c>
      <c r="L92" s="2" t="s">
        <v>53</v>
      </c>
      <c r="M92" s="2" t="s">
        <v>45</v>
      </c>
      <c r="N92" s="2" t="s">
        <v>43</v>
      </c>
      <c r="O92" s="2" t="s">
        <v>115</v>
      </c>
      <c r="P92" s="2" t="s">
        <v>54</v>
      </c>
      <c r="Q92" s="2" t="s">
        <v>45</v>
      </c>
      <c r="R92" s="2" t="s">
        <v>46</v>
      </c>
      <c r="S92" s="2" t="s">
        <v>42</v>
      </c>
      <c r="T92" s="2" t="s">
        <v>462</v>
      </c>
      <c r="U92" s="2" t="s">
        <v>53</v>
      </c>
      <c r="V92" s="2" t="s">
        <v>45</v>
      </c>
      <c r="W92" s="2" t="s">
        <v>43</v>
      </c>
      <c r="X92" s="2" t="s">
        <v>115</v>
      </c>
      <c r="Y92" s="2" t="s">
        <v>54</v>
      </c>
      <c r="Z92" s="2" t="s">
        <v>45</v>
      </c>
      <c r="AA92" s="2" t="s">
        <v>46</v>
      </c>
      <c r="AB92" s="2" t="s">
        <v>42</v>
      </c>
      <c r="AC92" s="2" t="s">
        <v>463</v>
      </c>
      <c r="AD92" s="2" t="s">
        <v>53</v>
      </c>
      <c r="AE92" s="2" t="s">
        <v>45</v>
      </c>
      <c r="AF92" s="2" t="s">
        <v>43</v>
      </c>
      <c r="AG92" s="2" t="s">
        <v>115</v>
      </c>
      <c r="AH92" s="2" t="s">
        <v>54</v>
      </c>
      <c r="AI92" s="2" t="s">
        <v>45</v>
      </c>
      <c r="AJ92" s="2" t="s">
        <v>46</v>
      </c>
      <c r="AK92" s="2" t="s">
        <v>42</v>
      </c>
      <c r="AL92" s="2" t="s">
        <v>464</v>
      </c>
    </row>
    <row r="93" spans="1:38" ht="409.5" x14ac:dyDescent="0.25">
      <c r="A93" s="2" t="s">
        <v>465</v>
      </c>
      <c r="B93" s="2" t="s">
        <v>466</v>
      </c>
      <c r="C93" s="2" t="s">
        <v>115</v>
      </c>
      <c r="D93" s="2"/>
      <c r="E93" s="2" t="s">
        <v>115</v>
      </c>
      <c r="F93" s="2" t="s">
        <v>245</v>
      </c>
      <c r="G93" s="2" t="s">
        <v>42</v>
      </c>
      <c r="H93" s="2">
        <v>0</v>
      </c>
      <c r="I93" s="2">
        <v>3</v>
      </c>
      <c r="J93" s="2">
        <v>0</v>
      </c>
      <c r="K93" s="2">
        <v>0</v>
      </c>
      <c r="L93" s="2" t="s">
        <v>43</v>
      </c>
      <c r="M93" s="2" t="s">
        <v>45</v>
      </c>
      <c r="N93" s="2" t="s">
        <v>45</v>
      </c>
      <c r="O93" s="2" t="s">
        <v>115</v>
      </c>
      <c r="P93" s="2" t="s">
        <v>44</v>
      </c>
      <c r="Q93" s="2" t="s">
        <v>45</v>
      </c>
      <c r="R93" s="2" t="s">
        <v>46</v>
      </c>
      <c r="S93" s="2" t="s">
        <v>42</v>
      </c>
      <c r="T93" s="2" t="s">
        <v>467</v>
      </c>
      <c r="U93" s="2" t="s">
        <v>43</v>
      </c>
      <c r="V93" s="2" t="s">
        <v>45</v>
      </c>
      <c r="W93" s="2" t="s">
        <v>45</v>
      </c>
      <c r="X93" s="2" t="s">
        <v>115</v>
      </c>
      <c r="Y93" s="2" t="s">
        <v>44</v>
      </c>
      <c r="Z93" s="2" t="s">
        <v>45</v>
      </c>
      <c r="AA93" s="2" t="s">
        <v>46</v>
      </c>
      <c r="AB93" s="2" t="s">
        <v>42</v>
      </c>
      <c r="AC93" s="2" t="s">
        <v>467</v>
      </c>
      <c r="AD93" s="2" t="s">
        <v>43</v>
      </c>
      <c r="AE93" s="2" t="s">
        <v>45</v>
      </c>
      <c r="AF93" s="2" t="s">
        <v>45</v>
      </c>
      <c r="AG93" s="2" t="s">
        <v>115</v>
      </c>
      <c r="AH93" s="2" t="s">
        <v>44</v>
      </c>
      <c r="AI93" s="2" t="s">
        <v>45</v>
      </c>
      <c r="AJ93" s="2" t="s">
        <v>46</v>
      </c>
      <c r="AK93" s="2" t="s">
        <v>48</v>
      </c>
      <c r="AL93" s="2" t="s">
        <v>468</v>
      </c>
    </row>
    <row r="94" spans="1:38" ht="405" x14ac:dyDescent="0.25">
      <c r="A94" s="2" t="s">
        <v>469</v>
      </c>
      <c r="B94" s="2" t="s">
        <v>470</v>
      </c>
      <c r="C94" s="2" t="s">
        <v>115</v>
      </c>
      <c r="D94" s="2"/>
      <c r="E94" s="2" t="s">
        <v>115</v>
      </c>
      <c r="F94" s="2" t="s">
        <v>245</v>
      </c>
      <c r="G94" s="2" t="s">
        <v>42</v>
      </c>
      <c r="H94" s="2">
        <v>0</v>
      </c>
      <c r="I94" s="2">
        <v>3</v>
      </c>
      <c r="J94" s="2">
        <v>0</v>
      </c>
      <c r="K94" s="2">
        <v>0</v>
      </c>
      <c r="L94" s="2" t="s">
        <v>45</v>
      </c>
      <c r="M94" s="2" t="s">
        <v>45</v>
      </c>
      <c r="N94" s="2" t="s">
        <v>45</v>
      </c>
      <c r="O94" s="2" t="s">
        <v>115</v>
      </c>
      <c r="P94" s="2" t="s">
        <v>44</v>
      </c>
      <c r="Q94" s="2" t="s">
        <v>45</v>
      </c>
      <c r="R94" s="2" t="s">
        <v>46</v>
      </c>
      <c r="S94" s="2" t="s">
        <v>42</v>
      </c>
      <c r="T94" s="2" t="s">
        <v>471</v>
      </c>
      <c r="U94" s="2" t="s">
        <v>45</v>
      </c>
      <c r="V94" s="2" t="s">
        <v>45</v>
      </c>
      <c r="W94" s="2" t="s">
        <v>45</v>
      </c>
      <c r="X94" s="2" t="s">
        <v>115</v>
      </c>
      <c r="Y94" s="2" t="s">
        <v>44</v>
      </c>
      <c r="Z94" s="2" t="s">
        <v>45</v>
      </c>
      <c r="AA94" s="2" t="s">
        <v>46</v>
      </c>
      <c r="AB94" s="2" t="s">
        <v>42</v>
      </c>
      <c r="AC94" s="2" t="s">
        <v>471</v>
      </c>
      <c r="AD94" s="2" t="s">
        <v>45</v>
      </c>
      <c r="AE94" s="2" t="s">
        <v>45</v>
      </c>
      <c r="AF94" s="2" t="s">
        <v>45</v>
      </c>
      <c r="AG94" s="2" t="s">
        <v>115</v>
      </c>
      <c r="AH94" s="2" t="s">
        <v>44</v>
      </c>
      <c r="AI94" s="2" t="s">
        <v>45</v>
      </c>
      <c r="AJ94" s="2" t="s">
        <v>46</v>
      </c>
      <c r="AK94" s="2" t="s">
        <v>42</v>
      </c>
      <c r="AL94" s="2" t="s">
        <v>471</v>
      </c>
    </row>
    <row r="95" spans="1:38" ht="405" x14ac:dyDescent="0.25">
      <c r="A95" s="2" t="s">
        <v>472</v>
      </c>
      <c r="B95" s="2" t="s">
        <v>473</v>
      </c>
      <c r="C95" s="2" t="s">
        <v>115</v>
      </c>
      <c r="D95" s="2"/>
      <c r="E95" s="2" t="s">
        <v>115</v>
      </c>
      <c r="F95" s="2" t="s">
        <v>245</v>
      </c>
      <c r="G95" s="2" t="s">
        <v>42</v>
      </c>
      <c r="H95" s="2">
        <v>0</v>
      </c>
      <c r="I95" s="2">
        <v>3</v>
      </c>
      <c r="J95" s="2">
        <v>0</v>
      </c>
      <c r="K95" s="2">
        <v>0</v>
      </c>
      <c r="L95" s="2" t="s">
        <v>43</v>
      </c>
      <c r="M95" s="2" t="s">
        <v>45</v>
      </c>
      <c r="N95" s="2" t="s">
        <v>45</v>
      </c>
      <c r="O95" s="2" t="s">
        <v>115</v>
      </c>
      <c r="P95" s="2" t="s">
        <v>44</v>
      </c>
      <c r="Q95" s="2" t="s">
        <v>45</v>
      </c>
      <c r="R95" s="2" t="s">
        <v>46</v>
      </c>
      <c r="S95" s="2" t="s">
        <v>42</v>
      </c>
      <c r="T95" s="2" t="s">
        <v>474</v>
      </c>
      <c r="U95" s="2" t="s">
        <v>43</v>
      </c>
      <c r="V95" s="2" t="s">
        <v>45</v>
      </c>
      <c r="W95" s="2" t="s">
        <v>45</v>
      </c>
      <c r="X95" s="2" t="s">
        <v>115</v>
      </c>
      <c r="Y95" s="2" t="s">
        <v>44</v>
      </c>
      <c r="Z95" s="2" t="s">
        <v>45</v>
      </c>
      <c r="AA95" s="2" t="s">
        <v>46</v>
      </c>
      <c r="AB95" s="2" t="s">
        <v>42</v>
      </c>
      <c r="AC95" s="2" t="s">
        <v>475</v>
      </c>
      <c r="AD95" s="2" t="s">
        <v>43</v>
      </c>
      <c r="AE95" s="2" t="s">
        <v>45</v>
      </c>
      <c r="AF95" s="2" t="s">
        <v>45</v>
      </c>
      <c r="AG95" s="2" t="s">
        <v>115</v>
      </c>
      <c r="AH95" s="2" t="s">
        <v>44</v>
      </c>
      <c r="AI95" s="2" t="s">
        <v>45</v>
      </c>
      <c r="AJ95" s="2" t="s">
        <v>46</v>
      </c>
      <c r="AK95" s="2" t="s">
        <v>42</v>
      </c>
      <c r="AL95" s="2" t="s">
        <v>476</v>
      </c>
    </row>
    <row r="96" spans="1:38" ht="285" x14ac:dyDescent="0.25">
      <c r="A96" s="2" t="s">
        <v>477</v>
      </c>
      <c r="B96" s="2" t="s">
        <v>478</v>
      </c>
      <c r="C96" s="2" t="s">
        <v>115</v>
      </c>
      <c r="D96" s="2"/>
      <c r="E96" s="2" t="s">
        <v>115</v>
      </c>
      <c r="F96" s="2" t="s">
        <v>245</v>
      </c>
      <c r="G96" s="2" t="s">
        <v>48</v>
      </c>
      <c r="H96" s="2">
        <v>0</v>
      </c>
      <c r="I96" s="2">
        <v>3</v>
      </c>
      <c r="J96" s="2">
        <v>0</v>
      </c>
      <c r="K96" s="2">
        <v>0</v>
      </c>
      <c r="L96" s="2" t="s">
        <v>43</v>
      </c>
      <c r="M96" s="2" t="s">
        <v>45</v>
      </c>
      <c r="N96" s="2" t="s">
        <v>53</v>
      </c>
      <c r="O96" s="2" t="s">
        <v>115</v>
      </c>
      <c r="P96" s="2" t="s">
        <v>54</v>
      </c>
      <c r="Q96" s="2" t="s">
        <v>45</v>
      </c>
      <c r="R96" s="2" t="s">
        <v>46</v>
      </c>
      <c r="S96" s="2" t="s">
        <v>48</v>
      </c>
      <c r="T96" s="2" t="s">
        <v>479</v>
      </c>
      <c r="U96" s="2" t="s">
        <v>43</v>
      </c>
      <c r="V96" s="2" t="s">
        <v>45</v>
      </c>
      <c r="W96" s="2" t="s">
        <v>53</v>
      </c>
      <c r="X96" s="2" t="s">
        <v>115</v>
      </c>
      <c r="Y96" s="2" t="s">
        <v>54</v>
      </c>
      <c r="Z96" s="2" t="s">
        <v>45</v>
      </c>
      <c r="AA96" s="2" t="s">
        <v>46</v>
      </c>
      <c r="AB96" s="2" t="s">
        <v>48</v>
      </c>
      <c r="AC96" s="2" t="s">
        <v>480</v>
      </c>
      <c r="AD96" s="2" t="s">
        <v>43</v>
      </c>
      <c r="AE96" s="2" t="s">
        <v>45</v>
      </c>
      <c r="AF96" s="2" t="s">
        <v>53</v>
      </c>
      <c r="AG96" s="2" t="s">
        <v>115</v>
      </c>
      <c r="AH96" s="2" t="s">
        <v>54</v>
      </c>
      <c r="AI96" s="2" t="s">
        <v>45</v>
      </c>
      <c r="AJ96" s="2" t="s">
        <v>46</v>
      </c>
      <c r="AK96" s="2" t="s">
        <v>48</v>
      </c>
      <c r="AL96" s="2" t="s">
        <v>481</v>
      </c>
    </row>
    <row r="97" spans="1:38" ht="330" x14ac:dyDescent="0.25">
      <c r="A97" s="2" t="s">
        <v>482</v>
      </c>
      <c r="B97" s="2" t="s">
        <v>483</v>
      </c>
      <c r="C97" s="2" t="s">
        <v>115</v>
      </c>
      <c r="D97" s="2"/>
      <c r="E97" s="2" t="s">
        <v>115</v>
      </c>
      <c r="F97" s="2" t="s">
        <v>245</v>
      </c>
      <c r="G97" s="2" t="s">
        <v>42</v>
      </c>
      <c r="H97" s="2">
        <v>0</v>
      </c>
      <c r="I97" s="2">
        <v>3</v>
      </c>
      <c r="J97" s="2">
        <v>0</v>
      </c>
      <c r="K97" s="2">
        <v>0</v>
      </c>
      <c r="L97" s="2" t="s">
        <v>43</v>
      </c>
      <c r="M97" s="2" t="s">
        <v>45</v>
      </c>
      <c r="N97" s="2" t="s">
        <v>45</v>
      </c>
      <c r="O97" s="2" t="s">
        <v>115</v>
      </c>
      <c r="P97" s="2" t="s">
        <v>44</v>
      </c>
      <c r="Q97" s="2" t="s">
        <v>45</v>
      </c>
      <c r="R97" s="2" t="s">
        <v>46</v>
      </c>
      <c r="S97" s="2" t="s">
        <v>42</v>
      </c>
      <c r="T97" s="2" t="s">
        <v>484</v>
      </c>
      <c r="U97" s="2" t="s">
        <v>43</v>
      </c>
      <c r="V97" s="2" t="s">
        <v>45</v>
      </c>
      <c r="W97" s="2" t="s">
        <v>45</v>
      </c>
      <c r="X97" s="2" t="s">
        <v>115</v>
      </c>
      <c r="Y97" s="2" t="s">
        <v>44</v>
      </c>
      <c r="Z97" s="2" t="s">
        <v>45</v>
      </c>
      <c r="AA97" s="2" t="s">
        <v>46</v>
      </c>
      <c r="AB97" s="2" t="s">
        <v>42</v>
      </c>
      <c r="AC97" s="2" t="s">
        <v>484</v>
      </c>
      <c r="AD97" s="2" t="s">
        <v>43</v>
      </c>
      <c r="AE97" s="2" t="s">
        <v>45</v>
      </c>
      <c r="AF97" s="2" t="s">
        <v>45</v>
      </c>
      <c r="AG97" s="2" t="s">
        <v>115</v>
      </c>
      <c r="AH97" s="2" t="s">
        <v>44</v>
      </c>
      <c r="AI97" s="2" t="s">
        <v>45</v>
      </c>
      <c r="AJ97" s="2" t="s">
        <v>46</v>
      </c>
      <c r="AK97" s="2" t="s">
        <v>42</v>
      </c>
      <c r="AL97" s="2" t="s">
        <v>484</v>
      </c>
    </row>
    <row r="98" spans="1:38" ht="330" x14ac:dyDescent="0.25">
      <c r="A98" s="2" t="s">
        <v>485</v>
      </c>
      <c r="B98" s="2" t="s">
        <v>486</v>
      </c>
      <c r="C98" s="2" t="s">
        <v>115</v>
      </c>
      <c r="D98" s="2"/>
      <c r="E98" s="2" t="s">
        <v>115</v>
      </c>
      <c r="F98" s="2" t="s">
        <v>245</v>
      </c>
      <c r="G98" s="2" t="s">
        <v>42</v>
      </c>
      <c r="H98" s="2">
        <v>0</v>
      </c>
      <c r="I98" s="2">
        <v>3</v>
      </c>
      <c r="J98" s="2">
        <v>0</v>
      </c>
      <c r="K98" s="2">
        <v>0</v>
      </c>
      <c r="L98" s="2" t="s">
        <v>43</v>
      </c>
      <c r="M98" s="2" t="s">
        <v>45</v>
      </c>
      <c r="N98" s="2" t="s">
        <v>45</v>
      </c>
      <c r="O98" s="2" t="s">
        <v>115</v>
      </c>
      <c r="P98" s="2" t="s">
        <v>44</v>
      </c>
      <c r="Q98" s="2" t="s">
        <v>45</v>
      </c>
      <c r="R98" s="2" t="s">
        <v>46</v>
      </c>
      <c r="S98" s="2" t="s">
        <v>42</v>
      </c>
      <c r="T98" s="2" t="s">
        <v>487</v>
      </c>
      <c r="U98" s="2" t="s">
        <v>43</v>
      </c>
      <c r="V98" s="2" t="s">
        <v>45</v>
      </c>
      <c r="W98" s="2" t="s">
        <v>45</v>
      </c>
      <c r="X98" s="2" t="s">
        <v>115</v>
      </c>
      <c r="Y98" s="2" t="s">
        <v>44</v>
      </c>
      <c r="Z98" s="2" t="s">
        <v>45</v>
      </c>
      <c r="AA98" s="2" t="s">
        <v>46</v>
      </c>
      <c r="AB98" s="2" t="s">
        <v>42</v>
      </c>
      <c r="AC98" s="2" t="s">
        <v>487</v>
      </c>
      <c r="AD98" s="2" t="s">
        <v>43</v>
      </c>
      <c r="AE98" s="2" t="s">
        <v>45</v>
      </c>
      <c r="AF98" s="2" t="s">
        <v>45</v>
      </c>
      <c r="AG98" s="2" t="s">
        <v>115</v>
      </c>
      <c r="AH98" s="2" t="s">
        <v>44</v>
      </c>
      <c r="AI98" s="2" t="s">
        <v>45</v>
      </c>
      <c r="AJ98" s="2" t="s">
        <v>46</v>
      </c>
      <c r="AK98" s="2" t="s">
        <v>42</v>
      </c>
      <c r="AL98" s="2" t="s">
        <v>487</v>
      </c>
    </row>
    <row r="99" spans="1:38" ht="390" x14ac:dyDescent="0.25">
      <c r="A99" s="2" t="s">
        <v>488</v>
      </c>
      <c r="B99" s="2" t="s">
        <v>489</v>
      </c>
      <c r="C99" s="2" t="s">
        <v>115</v>
      </c>
      <c r="D99" s="2"/>
      <c r="E99" s="2" t="s">
        <v>115</v>
      </c>
      <c r="F99" s="2" t="s">
        <v>245</v>
      </c>
      <c r="G99" s="2" t="s">
        <v>42</v>
      </c>
      <c r="H99" s="2">
        <v>0</v>
      </c>
      <c r="I99" s="2">
        <v>3</v>
      </c>
      <c r="J99" s="2">
        <v>0</v>
      </c>
      <c r="K99" s="2">
        <v>0</v>
      </c>
      <c r="L99" s="2" t="s">
        <v>43</v>
      </c>
      <c r="M99" s="2" t="s">
        <v>43</v>
      </c>
      <c r="N99" s="2" t="s">
        <v>45</v>
      </c>
      <c r="O99" s="2" t="s">
        <v>115</v>
      </c>
      <c r="P99" s="2" t="s">
        <v>44</v>
      </c>
      <c r="Q99" s="2" t="s">
        <v>45</v>
      </c>
      <c r="R99" s="2" t="s">
        <v>46</v>
      </c>
      <c r="S99" s="2" t="s">
        <v>42</v>
      </c>
      <c r="T99" s="2" t="s">
        <v>490</v>
      </c>
      <c r="U99" s="2" t="s">
        <v>43</v>
      </c>
      <c r="V99" s="2" t="s">
        <v>43</v>
      </c>
      <c r="W99" s="2" t="s">
        <v>45</v>
      </c>
      <c r="X99" s="2" t="s">
        <v>115</v>
      </c>
      <c r="Y99" s="2" t="s">
        <v>44</v>
      </c>
      <c r="Z99" s="2" t="s">
        <v>45</v>
      </c>
      <c r="AA99" s="2" t="s">
        <v>46</v>
      </c>
      <c r="AB99" s="2" t="s">
        <v>48</v>
      </c>
      <c r="AC99" s="2" t="s">
        <v>491</v>
      </c>
      <c r="AD99" s="2" t="s">
        <v>43</v>
      </c>
      <c r="AE99" s="2" t="s">
        <v>43</v>
      </c>
      <c r="AF99" s="2" t="s">
        <v>45</v>
      </c>
      <c r="AG99" s="2" t="s">
        <v>115</v>
      </c>
      <c r="AH99" s="2" t="s">
        <v>44</v>
      </c>
      <c r="AI99" s="2" t="s">
        <v>45</v>
      </c>
      <c r="AJ99" s="2" t="s">
        <v>46</v>
      </c>
      <c r="AK99" s="2" t="s">
        <v>42</v>
      </c>
      <c r="AL99" s="2" t="s">
        <v>491</v>
      </c>
    </row>
    <row r="100" spans="1:38" ht="409.5" x14ac:dyDescent="0.25">
      <c r="A100" s="2" t="s">
        <v>492</v>
      </c>
      <c r="B100" s="2" t="s">
        <v>493</v>
      </c>
      <c r="C100" s="2" t="s">
        <v>115</v>
      </c>
      <c r="D100" s="2"/>
      <c r="E100" s="2" t="s">
        <v>115</v>
      </c>
      <c r="F100" s="2" t="s">
        <v>245</v>
      </c>
      <c r="G100" s="2" t="s">
        <v>48</v>
      </c>
      <c r="H100" s="2">
        <v>0</v>
      </c>
      <c r="I100" s="2">
        <v>3</v>
      </c>
      <c r="J100" s="2">
        <v>0</v>
      </c>
      <c r="K100" s="2">
        <v>0</v>
      </c>
      <c r="L100" s="2" t="s">
        <v>43</v>
      </c>
      <c r="M100" s="2" t="s">
        <v>53</v>
      </c>
      <c r="N100" s="2" t="s">
        <v>45</v>
      </c>
      <c r="O100" s="2" t="s">
        <v>115</v>
      </c>
      <c r="P100" s="2" t="s">
        <v>44</v>
      </c>
      <c r="Q100" s="2" t="s">
        <v>45</v>
      </c>
      <c r="R100" s="2" t="s">
        <v>46</v>
      </c>
      <c r="S100" s="2" t="s">
        <v>48</v>
      </c>
      <c r="T100" s="2" t="s">
        <v>494</v>
      </c>
      <c r="U100" s="2" t="s">
        <v>43</v>
      </c>
      <c r="V100" s="2" t="s">
        <v>45</v>
      </c>
      <c r="W100" s="2" t="s">
        <v>45</v>
      </c>
      <c r="X100" s="2" t="s">
        <v>115</v>
      </c>
      <c r="Y100" s="2" t="s">
        <v>44</v>
      </c>
      <c r="Z100" s="2" t="s">
        <v>45</v>
      </c>
      <c r="AA100" s="2" t="s">
        <v>46</v>
      </c>
      <c r="AB100" s="2" t="s">
        <v>48</v>
      </c>
      <c r="AC100" s="2" t="s">
        <v>495</v>
      </c>
      <c r="AD100" s="2" t="s">
        <v>43</v>
      </c>
      <c r="AE100" s="2" t="s">
        <v>45</v>
      </c>
      <c r="AF100" s="2" t="s">
        <v>45</v>
      </c>
      <c r="AG100" s="2" t="s">
        <v>115</v>
      </c>
      <c r="AH100" s="2" t="s">
        <v>44</v>
      </c>
      <c r="AI100" s="2" t="s">
        <v>45</v>
      </c>
      <c r="AJ100" s="2" t="s">
        <v>46</v>
      </c>
      <c r="AK100" s="2" t="s">
        <v>48</v>
      </c>
      <c r="AL100" s="2" t="s">
        <v>496</v>
      </c>
    </row>
    <row r="101" spans="1:38" ht="120" x14ac:dyDescent="0.25">
      <c r="A101" s="2" t="s">
        <v>497</v>
      </c>
      <c r="B101" s="2" t="s">
        <v>498</v>
      </c>
      <c r="C101" s="2" t="s">
        <v>499</v>
      </c>
      <c r="D101" s="2" t="s">
        <v>500</v>
      </c>
      <c r="E101" s="2" t="s">
        <v>499</v>
      </c>
      <c r="F101" s="2" t="s">
        <v>501</v>
      </c>
      <c r="G101" s="2" t="s">
        <v>502</v>
      </c>
      <c r="H101" s="2" t="s">
        <v>319</v>
      </c>
      <c r="I101" s="2" t="s">
        <v>319</v>
      </c>
      <c r="J101" s="2" t="s">
        <v>320</v>
      </c>
      <c r="K101" s="2" t="s">
        <v>319</v>
      </c>
      <c r="L101" s="2" t="s">
        <v>43</v>
      </c>
      <c r="M101" s="2" t="s">
        <v>499</v>
      </c>
      <c r="N101" s="2" t="s">
        <v>499</v>
      </c>
      <c r="O101" s="2" t="s">
        <v>499</v>
      </c>
      <c r="P101" s="2" t="s">
        <v>503</v>
      </c>
      <c r="Q101" s="2" t="s">
        <v>43</v>
      </c>
      <c r="R101" s="2" t="s">
        <v>504</v>
      </c>
      <c r="S101" s="2" t="s">
        <v>502</v>
      </c>
      <c r="T101" s="2" t="s">
        <v>505</v>
      </c>
      <c r="U101" s="2" t="s">
        <v>43</v>
      </c>
      <c r="V101" s="2" t="s">
        <v>499</v>
      </c>
      <c r="W101" s="2" t="s">
        <v>499</v>
      </c>
      <c r="X101" s="2" t="s">
        <v>499</v>
      </c>
      <c r="Y101" s="2" t="s">
        <v>503</v>
      </c>
      <c r="Z101" s="2" t="s">
        <v>43</v>
      </c>
      <c r="AA101" s="2" t="s">
        <v>504</v>
      </c>
      <c r="AB101" s="2" t="s">
        <v>502</v>
      </c>
      <c r="AC101" s="2" t="s">
        <v>505</v>
      </c>
      <c r="AD101" s="2" t="s">
        <v>43</v>
      </c>
      <c r="AE101" s="2" t="s">
        <v>499</v>
      </c>
      <c r="AF101" s="2" t="s">
        <v>499</v>
      </c>
      <c r="AG101" s="2" t="s">
        <v>499</v>
      </c>
      <c r="AH101" s="2" t="s">
        <v>503</v>
      </c>
      <c r="AI101" s="2" t="s">
        <v>43</v>
      </c>
      <c r="AJ101" s="2" t="s">
        <v>504</v>
      </c>
      <c r="AK101" s="2" t="s">
        <v>499</v>
      </c>
      <c r="AL101" s="2" t="s">
        <v>505</v>
      </c>
    </row>
    <row r="102" spans="1:38" ht="105" x14ac:dyDescent="0.25">
      <c r="A102" s="2" t="s">
        <v>506</v>
      </c>
      <c r="B102" s="2" t="s">
        <v>507</v>
      </c>
      <c r="C102" s="2" t="s">
        <v>499</v>
      </c>
      <c r="D102" s="2" t="s">
        <v>508</v>
      </c>
      <c r="E102" s="2" t="s">
        <v>499</v>
      </c>
      <c r="F102" s="2" t="s">
        <v>501</v>
      </c>
      <c r="G102" s="2" t="s">
        <v>499</v>
      </c>
      <c r="H102" s="2" t="s">
        <v>319</v>
      </c>
      <c r="I102" s="2" t="s">
        <v>319</v>
      </c>
      <c r="J102" s="2" t="s">
        <v>320</v>
      </c>
      <c r="K102" s="2" t="s">
        <v>319</v>
      </c>
      <c r="L102" s="2" t="s">
        <v>43</v>
      </c>
      <c r="M102" s="2" t="s">
        <v>499</v>
      </c>
      <c r="N102" s="2" t="s">
        <v>43</v>
      </c>
      <c r="O102" s="2" t="s">
        <v>499</v>
      </c>
      <c r="P102" s="2" t="s">
        <v>503</v>
      </c>
      <c r="Q102" s="2" t="s">
        <v>43</v>
      </c>
      <c r="R102" s="2" t="s">
        <v>508</v>
      </c>
      <c r="S102" s="2" t="s">
        <v>499</v>
      </c>
      <c r="T102" s="2" t="s">
        <v>509</v>
      </c>
      <c r="U102" s="2" t="s">
        <v>43</v>
      </c>
      <c r="V102" s="2" t="s">
        <v>499</v>
      </c>
      <c r="W102" s="2" t="s">
        <v>43</v>
      </c>
      <c r="X102" s="2" t="s">
        <v>499</v>
      </c>
      <c r="Y102" s="2" t="s">
        <v>503</v>
      </c>
      <c r="Z102" s="2" t="s">
        <v>43</v>
      </c>
      <c r="AA102" s="2" t="s">
        <v>508</v>
      </c>
      <c r="AB102" s="2" t="s">
        <v>499</v>
      </c>
      <c r="AC102" s="2" t="s">
        <v>510</v>
      </c>
      <c r="AD102" s="2" t="s">
        <v>43</v>
      </c>
      <c r="AE102" s="2" t="s">
        <v>499</v>
      </c>
      <c r="AF102" s="2" t="s">
        <v>43</v>
      </c>
      <c r="AG102" s="2" t="s">
        <v>499</v>
      </c>
      <c r="AH102" s="2" t="s">
        <v>503</v>
      </c>
      <c r="AI102" s="2" t="s">
        <v>43</v>
      </c>
      <c r="AJ102" s="2" t="s">
        <v>508</v>
      </c>
      <c r="AK102" s="2" t="s">
        <v>499</v>
      </c>
      <c r="AL102" s="2" t="s">
        <v>510</v>
      </c>
    </row>
    <row r="103" spans="1:38" ht="45" x14ac:dyDescent="0.25">
      <c r="A103" s="2" t="s">
        <v>511</v>
      </c>
      <c r="B103" s="2" t="s">
        <v>512</v>
      </c>
      <c r="C103" s="2" t="s">
        <v>499</v>
      </c>
      <c r="D103" s="2" t="s">
        <v>513</v>
      </c>
      <c r="E103" s="2" t="s">
        <v>499</v>
      </c>
      <c r="F103" s="2" t="s">
        <v>501</v>
      </c>
      <c r="G103" s="2" t="s">
        <v>499</v>
      </c>
      <c r="H103" s="2" t="s">
        <v>319</v>
      </c>
      <c r="I103" s="2" t="s">
        <v>319</v>
      </c>
      <c r="J103" s="2" t="s">
        <v>320</v>
      </c>
      <c r="K103" s="2" t="s">
        <v>319</v>
      </c>
      <c r="L103" s="2" t="s">
        <v>499</v>
      </c>
      <c r="M103" s="2" t="s">
        <v>499</v>
      </c>
      <c r="N103" s="2" t="s">
        <v>499</v>
      </c>
      <c r="O103" s="2" t="s">
        <v>499</v>
      </c>
      <c r="P103" s="2" t="s">
        <v>503</v>
      </c>
      <c r="Q103" s="2" t="s">
        <v>43</v>
      </c>
      <c r="R103" s="2" t="s">
        <v>513</v>
      </c>
      <c r="S103" s="2" t="s">
        <v>499</v>
      </c>
      <c r="T103" s="2" t="s">
        <v>514</v>
      </c>
      <c r="U103" s="2" t="s">
        <v>499</v>
      </c>
      <c r="V103" s="2" t="s">
        <v>499</v>
      </c>
      <c r="W103" s="2" t="s">
        <v>499</v>
      </c>
      <c r="X103" s="2" t="s">
        <v>499</v>
      </c>
      <c r="Y103" s="2" t="s">
        <v>503</v>
      </c>
      <c r="Z103" s="2" t="s">
        <v>43</v>
      </c>
      <c r="AA103" s="2" t="s">
        <v>513</v>
      </c>
      <c r="AB103" s="2" t="s">
        <v>499</v>
      </c>
      <c r="AC103" s="2" t="s">
        <v>514</v>
      </c>
      <c r="AD103" s="2" t="s">
        <v>499</v>
      </c>
      <c r="AE103" s="2" t="s">
        <v>499</v>
      </c>
      <c r="AF103" s="2" t="s">
        <v>499</v>
      </c>
      <c r="AG103" s="2" t="s">
        <v>499</v>
      </c>
      <c r="AH103" s="2" t="s">
        <v>503</v>
      </c>
      <c r="AI103" s="2" t="s">
        <v>43</v>
      </c>
      <c r="AJ103" s="2" t="s">
        <v>513</v>
      </c>
      <c r="AK103" s="2" t="s">
        <v>499</v>
      </c>
      <c r="AL103" s="2" t="s">
        <v>514</v>
      </c>
    </row>
    <row r="104" spans="1:38" ht="165" x14ac:dyDescent="0.25">
      <c r="A104" s="2" t="s">
        <v>515</v>
      </c>
      <c r="B104" s="2" t="s">
        <v>516</v>
      </c>
      <c r="C104" s="2" t="s">
        <v>499</v>
      </c>
      <c r="D104" s="2" t="s">
        <v>508</v>
      </c>
      <c r="E104" s="2" t="s">
        <v>499</v>
      </c>
      <c r="F104" s="2" t="s">
        <v>501</v>
      </c>
      <c r="G104" s="2" t="s">
        <v>499</v>
      </c>
      <c r="H104" s="2">
        <v>0</v>
      </c>
      <c r="I104" s="2">
        <v>0</v>
      </c>
      <c r="J104" s="2">
        <v>3</v>
      </c>
      <c r="K104" s="2">
        <v>0</v>
      </c>
      <c r="L104" s="2" t="s">
        <v>43</v>
      </c>
      <c r="M104" s="2" t="s">
        <v>499</v>
      </c>
      <c r="N104" s="2" t="s">
        <v>43</v>
      </c>
      <c r="O104" s="2" t="s">
        <v>499</v>
      </c>
      <c r="P104" s="2" t="s">
        <v>503</v>
      </c>
      <c r="Q104" s="2" t="s">
        <v>43</v>
      </c>
      <c r="R104" s="2" t="s">
        <v>508</v>
      </c>
      <c r="S104" s="2" t="s">
        <v>499</v>
      </c>
      <c r="T104" s="2" t="s">
        <v>517</v>
      </c>
      <c r="U104" s="2" t="s">
        <v>43</v>
      </c>
      <c r="V104" s="2" t="s">
        <v>499</v>
      </c>
      <c r="W104" s="2" t="s">
        <v>43</v>
      </c>
      <c r="X104" s="2" t="s">
        <v>499</v>
      </c>
      <c r="Y104" s="2" t="s">
        <v>503</v>
      </c>
      <c r="Z104" s="2" t="s">
        <v>43</v>
      </c>
      <c r="AA104" s="2" t="s">
        <v>508</v>
      </c>
      <c r="AB104" s="2" t="s">
        <v>499</v>
      </c>
      <c r="AC104" s="2" t="s">
        <v>518</v>
      </c>
      <c r="AD104" s="2" t="s">
        <v>43</v>
      </c>
      <c r="AE104" s="2" t="s">
        <v>499</v>
      </c>
      <c r="AF104" s="2" t="s">
        <v>43</v>
      </c>
      <c r="AG104" s="2" t="s">
        <v>499</v>
      </c>
      <c r="AH104" s="2" t="s">
        <v>503</v>
      </c>
      <c r="AI104" s="2" t="s">
        <v>43</v>
      </c>
      <c r="AJ104" s="2" t="s">
        <v>508</v>
      </c>
      <c r="AK104" s="2" t="s">
        <v>499</v>
      </c>
      <c r="AL104" s="2" t="s">
        <v>518</v>
      </c>
    </row>
    <row r="105" spans="1:38" ht="270" x14ac:dyDescent="0.25">
      <c r="A105" s="2" t="s">
        <v>519</v>
      </c>
      <c r="B105" s="2" t="s">
        <v>520</v>
      </c>
      <c r="C105" s="2" t="s">
        <v>499</v>
      </c>
      <c r="D105" s="2" t="s">
        <v>508</v>
      </c>
      <c r="E105" s="2" t="s">
        <v>499</v>
      </c>
      <c r="F105" s="2" t="s">
        <v>245</v>
      </c>
      <c r="G105" s="2" t="s">
        <v>42</v>
      </c>
      <c r="H105" s="2">
        <v>0</v>
      </c>
      <c r="I105" s="2">
        <v>3</v>
      </c>
      <c r="J105" s="2">
        <v>0</v>
      </c>
      <c r="K105" s="2">
        <v>0</v>
      </c>
      <c r="L105" s="2" t="s">
        <v>43</v>
      </c>
      <c r="M105" s="2" t="s">
        <v>45</v>
      </c>
      <c r="N105" s="2" t="s">
        <v>45</v>
      </c>
      <c r="O105" s="2" t="s">
        <v>115</v>
      </c>
      <c r="P105" s="2" t="s">
        <v>44</v>
      </c>
      <c r="Q105" s="2" t="s">
        <v>43</v>
      </c>
      <c r="R105" s="2" t="s">
        <v>508</v>
      </c>
      <c r="S105" s="2" t="s">
        <v>42</v>
      </c>
      <c r="T105" s="2" t="s">
        <v>521</v>
      </c>
      <c r="U105" s="2" t="s">
        <v>43</v>
      </c>
      <c r="V105" s="2" t="s">
        <v>45</v>
      </c>
      <c r="W105" s="2" t="s">
        <v>45</v>
      </c>
      <c r="X105" s="2" t="s">
        <v>115</v>
      </c>
      <c r="Y105" s="2" t="s">
        <v>44</v>
      </c>
      <c r="Z105" s="2" t="s">
        <v>43</v>
      </c>
      <c r="AA105" s="2" t="s">
        <v>508</v>
      </c>
      <c r="AB105" s="2" t="s">
        <v>42</v>
      </c>
      <c r="AC105" s="2" t="s">
        <v>522</v>
      </c>
      <c r="AD105" s="2" t="s">
        <v>43</v>
      </c>
      <c r="AE105" s="2" t="s">
        <v>45</v>
      </c>
      <c r="AF105" s="2" t="s">
        <v>45</v>
      </c>
      <c r="AG105" s="2" t="s">
        <v>115</v>
      </c>
      <c r="AH105" s="2" t="s">
        <v>44</v>
      </c>
      <c r="AI105" s="2" t="s">
        <v>43</v>
      </c>
      <c r="AJ105" s="2" t="s">
        <v>508</v>
      </c>
      <c r="AK105" s="2" t="s">
        <v>42</v>
      </c>
      <c r="AL105" s="2" t="s">
        <v>523</v>
      </c>
    </row>
    <row r="106" spans="1:38" ht="90" x14ac:dyDescent="0.25">
      <c r="A106" s="2" t="s">
        <v>524</v>
      </c>
      <c r="B106" s="2" t="s">
        <v>525</v>
      </c>
      <c r="C106" s="2" t="s">
        <v>499</v>
      </c>
      <c r="D106" s="2" t="s">
        <v>500</v>
      </c>
      <c r="E106" s="2" t="s">
        <v>499</v>
      </c>
      <c r="F106" s="2" t="s">
        <v>501</v>
      </c>
      <c r="G106" s="2" t="s">
        <v>499</v>
      </c>
      <c r="H106" s="2">
        <v>0</v>
      </c>
      <c r="I106" s="2">
        <v>0</v>
      </c>
      <c r="J106" s="2">
        <v>3</v>
      </c>
      <c r="K106" s="2">
        <v>0</v>
      </c>
      <c r="L106" s="2" t="s">
        <v>43</v>
      </c>
      <c r="M106" s="2" t="s">
        <v>499</v>
      </c>
      <c r="N106" s="2" t="s">
        <v>499</v>
      </c>
      <c r="O106" s="2" t="s">
        <v>499</v>
      </c>
      <c r="P106" s="2" t="s">
        <v>503</v>
      </c>
      <c r="Q106" s="2" t="s">
        <v>43</v>
      </c>
      <c r="R106" s="2" t="s">
        <v>526</v>
      </c>
      <c r="S106" s="2" t="s">
        <v>499</v>
      </c>
      <c r="T106" s="2" t="s">
        <v>527</v>
      </c>
      <c r="U106" s="2" t="s">
        <v>43</v>
      </c>
      <c r="V106" s="2" t="s">
        <v>499</v>
      </c>
      <c r="W106" s="2" t="s">
        <v>499</v>
      </c>
      <c r="X106" s="2" t="s">
        <v>499</v>
      </c>
      <c r="Y106" s="2" t="s">
        <v>503</v>
      </c>
      <c r="Z106" s="2" t="s">
        <v>43</v>
      </c>
      <c r="AA106" s="2" t="s">
        <v>528</v>
      </c>
      <c r="AB106" s="2" t="s">
        <v>499</v>
      </c>
      <c r="AC106" s="2" t="s">
        <v>527</v>
      </c>
      <c r="AD106" s="2" t="s">
        <v>43</v>
      </c>
      <c r="AE106" s="2" t="s">
        <v>499</v>
      </c>
      <c r="AF106" s="2" t="s">
        <v>499</v>
      </c>
      <c r="AG106" s="2" t="s">
        <v>499</v>
      </c>
      <c r="AH106" s="2" t="s">
        <v>503</v>
      </c>
      <c r="AI106" s="2" t="s">
        <v>43</v>
      </c>
      <c r="AJ106" s="2" t="s">
        <v>528</v>
      </c>
      <c r="AK106" s="2" t="s">
        <v>499</v>
      </c>
      <c r="AL106" s="2" t="s">
        <v>527</v>
      </c>
    </row>
    <row r="107" spans="1:38" ht="270" x14ac:dyDescent="0.25">
      <c r="A107" s="2" t="s">
        <v>529</v>
      </c>
      <c r="B107" s="2" t="s">
        <v>530</v>
      </c>
      <c r="C107" s="2" t="s">
        <v>499</v>
      </c>
      <c r="D107" s="2" t="s">
        <v>508</v>
      </c>
      <c r="E107" s="2" t="s">
        <v>499</v>
      </c>
      <c r="F107" s="2" t="s">
        <v>245</v>
      </c>
      <c r="G107" s="2" t="s">
        <v>42</v>
      </c>
      <c r="H107" s="2">
        <v>0</v>
      </c>
      <c r="I107" s="2">
        <v>3</v>
      </c>
      <c r="J107" s="2">
        <v>0</v>
      </c>
      <c r="K107" s="2">
        <v>0</v>
      </c>
      <c r="L107" s="2" t="s">
        <v>45</v>
      </c>
      <c r="M107" s="2" t="s">
        <v>45</v>
      </c>
      <c r="N107" s="2" t="s">
        <v>45</v>
      </c>
      <c r="O107" s="2" t="s">
        <v>115</v>
      </c>
      <c r="P107" s="2" t="s">
        <v>44</v>
      </c>
      <c r="Q107" s="2" t="s">
        <v>43</v>
      </c>
      <c r="R107" s="2" t="s">
        <v>508</v>
      </c>
      <c r="S107" s="2" t="s">
        <v>42</v>
      </c>
      <c r="T107" s="2" t="s">
        <v>531</v>
      </c>
      <c r="U107" s="2" t="s">
        <v>45</v>
      </c>
      <c r="V107" s="2" t="s">
        <v>45</v>
      </c>
      <c r="W107" s="2" t="s">
        <v>45</v>
      </c>
      <c r="X107" s="2" t="s">
        <v>115</v>
      </c>
      <c r="Y107" s="2" t="s">
        <v>44</v>
      </c>
      <c r="Z107" s="2" t="s">
        <v>43</v>
      </c>
      <c r="AA107" s="2" t="s">
        <v>508</v>
      </c>
      <c r="AB107" s="2" t="s">
        <v>42</v>
      </c>
      <c r="AC107" s="2" t="s">
        <v>532</v>
      </c>
      <c r="AD107" s="2" t="s">
        <v>45</v>
      </c>
      <c r="AE107" s="2" t="s">
        <v>45</v>
      </c>
      <c r="AF107" s="2" t="s">
        <v>45</v>
      </c>
      <c r="AG107" s="2" t="s">
        <v>115</v>
      </c>
      <c r="AH107" s="2" t="s">
        <v>44</v>
      </c>
      <c r="AI107" s="2" t="s">
        <v>43</v>
      </c>
      <c r="AJ107" s="2" t="s">
        <v>508</v>
      </c>
      <c r="AK107" s="2" t="s">
        <v>42</v>
      </c>
      <c r="AL107" s="2" t="s">
        <v>532</v>
      </c>
    </row>
    <row r="108" spans="1:38" ht="45" x14ac:dyDescent="0.25">
      <c r="A108" s="2" t="s">
        <v>533</v>
      </c>
      <c r="B108" s="2" t="s">
        <v>534</v>
      </c>
      <c r="C108" s="2" t="s">
        <v>499</v>
      </c>
      <c r="D108" s="2" t="s">
        <v>513</v>
      </c>
      <c r="E108" s="2" t="s">
        <v>499</v>
      </c>
      <c r="F108" s="2" t="s">
        <v>501</v>
      </c>
      <c r="G108" s="2" t="s">
        <v>499</v>
      </c>
      <c r="H108" s="2">
        <v>0</v>
      </c>
      <c r="I108" s="2">
        <v>0</v>
      </c>
      <c r="J108" s="2">
        <v>3</v>
      </c>
      <c r="K108" s="2">
        <v>0</v>
      </c>
      <c r="L108" s="2" t="s">
        <v>499</v>
      </c>
      <c r="M108" s="2" t="s">
        <v>499</v>
      </c>
      <c r="N108" s="2" t="s">
        <v>499</v>
      </c>
      <c r="O108" s="2" t="s">
        <v>499</v>
      </c>
      <c r="P108" s="2" t="s">
        <v>503</v>
      </c>
      <c r="Q108" s="2" t="s">
        <v>43</v>
      </c>
      <c r="R108" s="2" t="s">
        <v>513</v>
      </c>
      <c r="S108" s="2" t="s">
        <v>499</v>
      </c>
      <c r="T108" s="2" t="s">
        <v>535</v>
      </c>
      <c r="U108" s="2" t="s">
        <v>499</v>
      </c>
      <c r="V108" s="2" t="s">
        <v>499</v>
      </c>
      <c r="W108" s="2" t="s">
        <v>499</v>
      </c>
      <c r="X108" s="2" t="s">
        <v>499</v>
      </c>
      <c r="Y108" s="2" t="s">
        <v>503</v>
      </c>
      <c r="Z108" s="2" t="s">
        <v>43</v>
      </c>
      <c r="AA108" s="2" t="s">
        <v>513</v>
      </c>
      <c r="AB108" s="2" t="s">
        <v>499</v>
      </c>
      <c r="AC108" s="2" t="s">
        <v>535</v>
      </c>
      <c r="AD108" s="2" t="s">
        <v>499</v>
      </c>
      <c r="AE108" s="2" t="s">
        <v>499</v>
      </c>
      <c r="AF108" s="2" t="s">
        <v>499</v>
      </c>
      <c r="AG108" s="2" t="s">
        <v>499</v>
      </c>
      <c r="AH108" s="2" t="s">
        <v>503</v>
      </c>
      <c r="AI108" s="2" t="s">
        <v>43</v>
      </c>
      <c r="AJ108" s="2" t="s">
        <v>513</v>
      </c>
      <c r="AK108" s="2" t="s">
        <v>499</v>
      </c>
      <c r="AL108" s="2" t="s">
        <v>535</v>
      </c>
    </row>
    <row r="109" spans="1:38" ht="90" x14ac:dyDescent="0.25">
      <c r="A109" s="2" t="s">
        <v>536</v>
      </c>
      <c r="B109" s="2" t="s">
        <v>537</v>
      </c>
      <c r="C109" s="2" t="s">
        <v>499</v>
      </c>
      <c r="D109" s="2" t="s">
        <v>513</v>
      </c>
      <c r="E109" s="2" t="s">
        <v>499</v>
      </c>
      <c r="F109" s="2" t="s">
        <v>245</v>
      </c>
      <c r="G109" s="2" t="s">
        <v>42</v>
      </c>
      <c r="H109" s="2">
        <v>0</v>
      </c>
      <c r="I109" s="2">
        <v>3</v>
      </c>
      <c r="J109" s="2">
        <v>0</v>
      </c>
      <c r="K109" s="2">
        <v>0</v>
      </c>
      <c r="L109" s="2" t="s">
        <v>45</v>
      </c>
      <c r="M109" s="2" t="s">
        <v>45</v>
      </c>
      <c r="N109" s="2" t="s">
        <v>45</v>
      </c>
      <c r="O109" s="2" t="s">
        <v>115</v>
      </c>
      <c r="P109" s="2" t="s">
        <v>44</v>
      </c>
      <c r="Q109" s="2" t="s">
        <v>43</v>
      </c>
      <c r="R109" s="2" t="s">
        <v>513</v>
      </c>
      <c r="S109" s="2" t="s">
        <v>42</v>
      </c>
      <c r="T109" s="2" t="s">
        <v>538</v>
      </c>
      <c r="U109" s="2" t="s">
        <v>45</v>
      </c>
      <c r="V109" s="2" t="s">
        <v>45</v>
      </c>
      <c r="W109" s="2" t="s">
        <v>45</v>
      </c>
      <c r="X109" s="2" t="s">
        <v>115</v>
      </c>
      <c r="Y109" s="2" t="s">
        <v>44</v>
      </c>
      <c r="Z109" s="2" t="s">
        <v>43</v>
      </c>
      <c r="AA109" s="2" t="s">
        <v>513</v>
      </c>
      <c r="AB109" s="2" t="s">
        <v>42</v>
      </c>
      <c r="AC109" s="2" t="s">
        <v>538</v>
      </c>
      <c r="AD109" s="2" t="s">
        <v>45</v>
      </c>
      <c r="AE109" s="2" t="s">
        <v>45</v>
      </c>
      <c r="AF109" s="2" t="s">
        <v>45</v>
      </c>
      <c r="AG109" s="2" t="s">
        <v>115</v>
      </c>
      <c r="AH109" s="2" t="s">
        <v>44</v>
      </c>
      <c r="AI109" s="2" t="s">
        <v>43</v>
      </c>
      <c r="AJ109" s="2" t="s">
        <v>513</v>
      </c>
      <c r="AK109" s="2" t="s">
        <v>42</v>
      </c>
      <c r="AL109" s="2" t="s">
        <v>538</v>
      </c>
    </row>
    <row r="110" spans="1:38" ht="75" x14ac:dyDescent="0.25">
      <c r="A110" s="2" t="s">
        <v>539</v>
      </c>
      <c r="B110" s="2" t="s">
        <v>540</v>
      </c>
      <c r="C110" s="2" t="s">
        <v>499</v>
      </c>
      <c r="D110" s="2" t="s">
        <v>513</v>
      </c>
      <c r="E110" s="2" t="s">
        <v>499</v>
      </c>
      <c r="F110" s="2" t="s">
        <v>245</v>
      </c>
      <c r="G110" s="2" t="s">
        <v>42</v>
      </c>
      <c r="H110" s="2">
        <v>0</v>
      </c>
      <c r="I110" s="2">
        <v>3</v>
      </c>
      <c r="J110" s="2">
        <v>0</v>
      </c>
      <c r="K110" s="2">
        <v>0</v>
      </c>
      <c r="L110" s="2" t="s">
        <v>45</v>
      </c>
      <c r="M110" s="2" t="s">
        <v>45</v>
      </c>
      <c r="N110" s="2" t="s">
        <v>45</v>
      </c>
      <c r="O110" s="2" t="s">
        <v>115</v>
      </c>
      <c r="P110" s="2" t="s">
        <v>44</v>
      </c>
      <c r="Q110" s="2" t="s">
        <v>43</v>
      </c>
      <c r="R110" s="2" t="s">
        <v>513</v>
      </c>
      <c r="S110" s="2" t="s">
        <v>42</v>
      </c>
      <c r="T110" s="2" t="s">
        <v>541</v>
      </c>
      <c r="U110" s="2" t="s">
        <v>45</v>
      </c>
      <c r="V110" s="2" t="s">
        <v>45</v>
      </c>
      <c r="W110" s="2" t="s">
        <v>45</v>
      </c>
      <c r="X110" s="2" t="s">
        <v>115</v>
      </c>
      <c r="Y110" s="2" t="s">
        <v>44</v>
      </c>
      <c r="Z110" s="2" t="s">
        <v>43</v>
      </c>
      <c r="AA110" s="2" t="s">
        <v>513</v>
      </c>
      <c r="AB110" s="2" t="s">
        <v>42</v>
      </c>
      <c r="AC110" s="2" t="s">
        <v>542</v>
      </c>
      <c r="AD110" s="2" t="s">
        <v>45</v>
      </c>
      <c r="AE110" s="2" t="s">
        <v>45</v>
      </c>
      <c r="AF110" s="2" t="s">
        <v>45</v>
      </c>
      <c r="AG110" s="2" t="s">
        <v>115</v>
      </c>
      <c r="AH110" s="2" t="s">
        <v>44</v>
      </c>
      <c r="AI110" s="2" t="s">
        <v>43</v>
      </c>
      <c r="AJ110" s="2" t="s">
        <v>513</v>
      </c>
      <c r="AK110" s="2" t="s">
        <v>42</v>
      </c>
      <c r="AL110" s="2" t="s">
        <v>543</v>
      </c>
    </row>
    <row r="111" spans="1:38" ht="90" x14ac:dyDescent="0.25">
      <c r="A111" s="2" t="s">
        <v>544</v>
      </c>
      <c r="B111" s="2" t="s">
        <v>545</v>
      </c>
      <c r="C111" s="2" t="s">
        <v>499</v>
      </c>
      <c r="D111" s="2" t="s">
        <v>500</v>
      </c>
      <c r="E111" s="2" t="s">
        <v>499</v>
      </c>
      <c r="F111" s="2" t="s">
        <v>114</v>
      </c>
      <c r="G111" s="2" t="s">
        <v>42</v>
      </c>
      <c r="H111" s="2">
        <v>0</v>
      </c>
      <c r="I111" s="2">
        <v>2</v>
      </c>
      <c r="J111" s="2">
        <v>1</v>
      </c>
      <c r="K111" s="2">
        <v>0</v>
      </c>
      <c r="L111" s="2" t="s">
        <v>43</v>
      </c>
      <c r="M111" s="2" t="s">
        <v>45</v>
      </c>
      <c r="N111" s="2" t="s">
        <v>45</v>
      </c>
      <c r="O111" s="2" t="s">
        <v>115</v>
      </c>
      <c r="P111" s="2" t="s">
        <v>54</v>
      </c>
      <c r="Q111" s="2" t="s">
        <v>45</v>
      </c>
      <c r="R111" s="2" t="s">
        <v>46</v>
      </c>
      <c r="S111" s="2" t="s">
        <v>42</v>
      </c>
      <c r="T111" s="2" t="s">
        <v>546</v>
      </c>
      <c r="U111" s="2" t="s">
        <v>43</v>
      </c>
      <c r="V111" s="2" t="s">
        <v>45</v>
      </c>
      <c r="W111" s="2" t="s">
        <v>45</v>
      </c>
      <c r="X111" s="2" t="s">
        <v>115</v>
      </c>
      <c r="Y111" s="2" t="s">
        <v>54</v>
      </c>
      <c r="Z111" s="2" t="s">
        <v>45</v>
      </c>
      <c r="AA111" s="2" t="s">
        <v>46</v>
      </c>
      <c r="AB111" s="2" t="s">
        <v>42</v>
      </c>
      <c r="AC111" s="2" t="s">
        <v>547</v>
      </c>
      <c r="AD111" s="2" t="s">
        <v>43</v>
      </c>
      <c r="AE111" s="2" t="s">
        <v>499</v>
      </c>
      <c r="AF111" s="2" t="s">
        <v>499</v>
      </c>
      <c r="AG111" s="2" t="s">
        <v>499</v>
      </c>
      <c r="AH111" s="2" t="s">
        <v>503</v>
      </c>
      <c r="AI111" s="2" t="s">
        <v>43</v>
      </c>
      <c r="AJ111" s="2" t="s">
        <v>548</v>
      </c>
      <c r="AK111" s="2" t="s">
        <v>499</v>
      </c>
      <c r="AL111" s="2" t="s">
        <v>549</v>
      </c>
    </row>
    <row r="112" spans="1:38" ht="285" x14ac:dyDescent="0.25">
      <c r="A112" s="2" t="s">
        <v>550</v>
      </c>
      <c r="B112" s="2" t="s">
        <v>551</v>
      </c>
      <c r="C112" s="2" t="s">
        <v>499</v>
      </c>
      <c r="D112" s="2" t="s">
        <v>552</v>
      </c>
      <c r="E112" s="2" t="s">
        <v>499</v>
      </c>
      <c r="F112" s="2" t="s">
        <v>41</v>
      </c>
      <c r="G112" s="2" t="s">
        <v>42</v>
      </c>
      <c r="H112" s="2">
        <v>3</v>
      </c>
      <c r="I112" s="2">
        <v>0</v>
      </c>
      <c r="J112" s="2">
        <v>0</v>
      </c>
      <c r="K112" s="2">
        <v>0</v>
      </c>
      <c r="L112" s="2" t="s">
        <v>43</v>
      </c>
      <c r="M112" s="2" t="s">
        <v>53</v>
      </c>
      <c r="N112" s="2" t="s">
        <v>43</v>
      </c>
      <c r="O112" s="2" t="s">
        <v>40</v>
      </c>
      <c r="P112" s="2" t="s">
        <v>54</v>
      </c>
      <c r="Q112" s="2" t="s">
        <v>43</v>
      </c>
      <c r="R112" s="2" t="s">
        <v>552</v>
      </c>
      <c r="S112" s="2" t="s">
        <v>42</v>
      </c>
      <c r="T112" s="2" t="s">
        <v>553</v>
      </c>
      <c r="U112" s="2" t="s">
        <v>43</v>
      </c>
      <c r="V112" s="2" t="s">
        <v>53</v>
      </c>
      <c r="W112" s="2" t="s">
        <v>43</v>
      </c>
      <c r="X112" s="2" t="s">
        <v>40</v>
      </c>
      <c r="Y112" s="2" t="s">
        <v>54</v>
      </c>
      <c r="Z112" s="2" t="s">
        <v>43</v>
      </c>
      <c r="AA112" s="2" t="s">
        <v>552</v>
      </c>
      <c r="AB112" s="2" t="s">
        <v>42</v>
      </c>
      <c r="AC112" s="2" t="s">
        <v>554</v>
      </c>
      <c r="AD112" s="2" t="s">
        <v>43</v>
      </c>
      <c r="AE112" s="2" t="s">
        <v>53</v>
      </c>
      <c r="AF112" s="2" t="s">
        <v>43</v>
      </c>
      <c r="AG112" s="2" t="s">
        <v>40</v>
      </c>
      <c r="AH112" s="2" t="s">
        <v>54</v>
      </c>
      <c r="AI112" s="2" t="s">
        <v>43</v>
      </c>
      <c r="AJ112" s="2" t="s">
        <v>552</v>
      </c>
      <c r="AK112" s="2" t="s">
        <v>42</v>
      </c>
      <c r="AL112" s="2" t="s">
        <v>555</v>
      </c>
    </row>
    <row r="113" spans="1:38" ht="75" x14ac:dyDescent="0.25">
      <c r="A113" s="2" t="s">
        <v>556</v>
      </c>
      <c r="B113" s="2" t="s">
        <v>557</v>
      </c>
      <c r="C113" s="2" t="s">
        <v>499</v>
      </c>
      <c r="D113" s="2" t="s">
        <v>513</v>
      </c>
      <c r="E113" s="2" t="s">
        <v>499</v>
      </c>
      <c r="F113" s="2" t="s">
        <v>245</v>
      </c>
      <c r="G113" s="2" t="s">
        <v>42</v>
      </c>
      <c r="H113" s="2">
        <v>0</v>
      </c>
      <c r="I113" s="2">
        <v>3</v>
      </c>
      <c r="J113" s="2">
        <v>0</v>
      </c>
      <c r="K113" s="2">
        <v>0</v>
      </c>
      <c r="L113" s="2" t="s">
        <v>45</v>
      </c>
      <c r="M113" s="2" t="s">
        <v>45</v>
      </c>
      <c r="N113" s="2" t="s">
        <v>45</v>
      </c>
      <c r="O113" s="2" t="s">
        <v>115</v>
      </c>
      <c r="P113" s="2" t="s">
        <v>503</v>
      </c>
      <c r="Q113" s="2" t="s">
        <v>43</v>
      </c>
      <c r="R113" s="2" t="s">
        <v>513</v>
      </c>
      <c r="S113" s="2" t="s">
        <v>42</v>
      </c>
      <c r="T113" s="2" t="s">
        <v>558</v>
      </c>
      <c r="U113" s="2" t="s">
        <v>45</v>
      </c>
      <c r="V113" s="2" t="s">
        <v>45</v>
      </c>
      <c r="W113" s="2" t="s">
        <v>45</v>
      </c>
      <c r="X113" s="2" t="s">
        <v>115</v>
      </c>
      <c r="Y113" s="2" t="s">
        <v>44</v>
      </c>
      <c r="Z113" s="2" t="s">
        <v>43</v>
      </c>
      <c r="AA113" s="2" t="s">
        <v>513</v>
      </c>
      <c r="AB113" s="2" t="s">
        <v>42</v>
      </c>
      <c r="AC113" s="2" t="s">
        <v>559</v>
      </c>
      <c r="AD113" s="2" t="s">
        <v>45</v>
      </c>
      <c r="AE113" s="2" t="s">
        <v>45</v>
      </c>
      <c r="AF113" s="2" t="s">
        <v>45</v>
      </c>
      <c r="AG113" s="2" t="s">
        <v>115</v>
      </c>
      <c r="AH113" s="2" t="s">
        <v>503</v>
      </c>
      <c r="AI113" s="2" t="s">
        <v>43</v>
      </c>
      <c r="AJ113" s="2" t="s">
        <v>513</v>
      </c>
      <c r="AK113" s="2" t="s">
        <v>42</v>
      </c>
      <c r="AL113" s="2" t="s">
        <v>558</v>
      </c>
    </row>
    <row r="114" spans="1:38" ht="90" x14ac:dyDescent="0.25">
      <c r="A114" s="2" t="s">
        <v>560</v>
      </c>
      <c r="B114" s="2" t="s">
        <v>561</v>
      </c>
      <c r="C114" s="2" t="s">
        <v>499</v>
      </c>
      <c r="D114" s="2" t="s">
        <v>500</v>
      </c>
      <c r="E114" s="2" t="s">
        <v>499</v>
      </c>
      <c r="F114" s="2" t="s">
        <v>245</v>
      </c>
      <c r="G114" s="2" t="s">
        <v>499</v>
      </c>
      <c r="H114" s="2">
        <v>0</v>
      </c>
      <c r="I114" s="2">
        <v>3</v>
      </c>
      <c r="J114" s="2">
        <v>0</v>
      </c>
      <c r="K114" s="2">
        <v>0</v>
      </c>
      <c r="L114" s="2" t="s">
        <v>45</v>
      </c>
      <c r="M114" s="2" t="s">
        <v>45</v>
      </c>
      <c r="N114" s="2" t="s">
        <v>45</v>
      </c>
      <c r="O114" s="2" t="s">
        <v>115</v>
      </c>
      <c r="P114" s="2" t="s">
        <v>503</v>
      </c>
      <c r="Q114" s="2" t="s">
        <v>43</v>
      </c>
      <c r="R114" s="2" t="s">
        <v>535</v>
      </c>
      <c r="S114" s="2" t="s">
        <v>499</v>
      </c>
      <c r="T114" s="2" t="s">
        <v>562</v>
      </c>
      <c r="U114" s="2" t="s">
        <v>45</v>
      </c>
      <c r="V114" s="2" t="s">
        <v>45</v>
      </c>
      <c r="W114" s="2" t="s">
        <v>45</v>
      </c>
      <c r="X114" s="2" t="s">
        <v>115</v>
      </c>
      <c r="Y114" s="2" t="s">
        <v>503</v>
      </c>
      <c r="Z114" s="2" t="s">
        <v>43</v>
      </c>
      <c r="AA114" s="2" t="s">
        <v>563</v>
      </c>
      <c r="AB114" s="2" t="s">
        <v>499</v>
      </c>
      <c r="AC114" s="2" t="s">
        <v>564</v>
      </c>
      <c r="AD114" s="2" t="s">
        <v>45</v>
      </c>
      <c r="AE114" s="2" t="s">
        <v>45</v>
      </c>
      <c r="AF114" s="2" t="s">
        <v>45</v>
      </c>
      <c r="AG114" s="2" t="s">
        <v>115</v>
      </c>
      <c r="AH114" s="2" t="s">
        <v>503</v>
      </c>
      <c r="AI114" s="2" t="s">
        <v>43</v>
      </c>
      <c r="AJ114" s="2" t="s">
        <v>535</v>
      </c>
      <c r="AK114" s="2" t="s">
        <v>499</v>
      </c>
      <c r="AL114" s="2" t="s">
        <v>565</v>
      </c>
    </row>
    <row r="115" spans="1:38" ht="90" x14ac:dyDescent="0.25">
      <c r="A115" s="2" t="s">
        <v>566</v>
      </c>
      <c r="B115" s="2" t="s">
        <v>567</v>
      </c>
      <c r="C115" s="2" t="s">
        <v>499</v>
      </c>
      <c r="D115" s="2" t="s">
        <v>500</v>
      </c>
      <c r="E115" s="2" t="s">
        <v>499</v>
      </c>
      <c r="F115" s="2" t="s">
        <v>245</v>
      </c>
      <c r="G115" s="2" t="s">
        <v>499</v>
      </c>
      <c r="H115" s="2">
        <v>0</v>
      </c>
      <c r="I115" s="2">
        <v>3</v>
      </c>
      <c r="J115" s="2">
        <v>0</v>
      </c>
      <c r="K115" s="2">
        <v>0</v>
      </c>
      <c r="L115" s="2" t="s">
        <v>45</v>
      </c>
      <c r="M115" s="2" t="s">
        <v>45</v>
      </c>
      <c r="N115" s="2" t="s">
        <v>45</v>
      </c>
      <c r="O115" s="2" t="s">
        <v>115</v>
      </c>
      <c r="P115" s="2" t="s">
        <v>503</v>
      </c>
      <c r="Q115" s="2" t="s">
        <v>43</v>
      </c>
      <c r="R115" s="2" t="s">
        <v>535</v>
      </c>
      <c r="S115" s="2" t="s">
        <v>499</v>
      </c>
      <c r="T115" s="2" t="s">
        <v>564</v>
      </c>
      <c r="U115" s="2" t="s">
        <v>45</v>
      </c>
      <c r="V115" s="2" t="s">
        <v>45</v>
      </c>
      <c r="W115" s="2" t="s">
        <v>45</v>
      </c>
      <c r="X115" s="2" t="s">
        <v>115</v>
      </c>
      <c r="Y115" s="2" t="s">
        <v>503</v>
      </c>
      <c r="Z115" s="2" t="s">
        <v>43</v>
      </c>
      <c r="AA115" s="2" t="s">
        <v>568</v>
      </c>
      <c r="AB115" s="2" t="s">
        <v>499</v>
      </c>
      <c r="AC115" s="2" t="s">
        <v>569</v>
      </c>
      <c r="AD115" s="2" t="s">
        <v>45</v>
      </c>
      <c r="AE115" s="2" t="s">
        <v>45</v>
      </c>
      <c r="AF115" s="2" t="s">
        <v>45</v>
      </c>
      <c r="AG115" s="2" t="s">
        <v>115</v>
      </c>
      <c r="AH115" s="2" t="s">
        <v>503</v>
      </c>
      <c r="AI115" s="2" t="s">
        <v>43</v>
      </c>
      <c r="AJ115" s="2" t="s">
        <v>535</v>
      </c>
      <c r="AK115" s="2" t="s">
        <v>499</v>
      </c>
      <c r="AL115" s="2" t="s">
        <v>564</v>
      </c>
    </row>
    <row r="116" spans="1:38" ht="60" x14ac:dyDescent="0.25">
      <c r="A116" s="2" t="s">
        <v>570</v>
      </c>
      <c r="B116" s="2" t="s">
        <v>571</v>
      </c>
      <c r="C116" s="2" t="s">
        <v>499</v>
      </c>
      <c r="D116" s="2" t="s">
        <v>513</v>
      </c>
      <c r="E116" s="2" t="s">
        <v>499</v>
      </c>
      <c r="F116" s="2" t="s">
        <v>245</v>
      </c>
      <c r="G116" s="2" t="s">
        <v>499</v>
      </c>
      <c r="H116" s="2">
        <v>0</v>
      </c>
      <c r="I116" s="2">
        <v>3</v>
      </c>
      <c r="J116" s="2">
        <v>0</v>
      </c>
      <c r="K116" s="2">
        <v>0</v>
      </c>
      <c r="L116" s="2" t="s">
        <v>45</v>
      </c>
      <c r="M116" s="2" t="s">
        <v>45</v>
      </c>
      <c r="N116" s="2" t="s">
        <v>45</v>
      </c>
      <c r="O116" s="2" t="s">
        <v>115</v>
      </c>
      <c r="P116" s="2" t="s">
        <v>503</v>
      </c>
      <c r="Q116" s="2" t="s">
        <v>43</v>
      </c>
      <c r="R116" s="2" t="s">
        <v>513</v>
      </c>
      <c r="S116" s="2" t="s">
        <v>499</v>
      </c>
      <c r="T116" s="2" t="s">
        <v>572</v>
      </c>
      <c r="U116" s="2" t="s">
        <v>43</v>
      </c>
      <c r="V116" s="2" t="s">
        <v>45</v>
      </c>
      <c r="W116" s="2" t="s">
        <v>45</v>
      </c>
      <c r="X116" s="2" t="s">
        <v>115</v>
      </c>
      <c r="Y116" s="2" t="s">
        <v>503</v>
      </c>
      <c r="Z116" s="2" t="s">
        <v>43</v>
      </c>
      <c r="AA116" s="2" t="s">
        <v>513</v>
      </c>
      <c r="AB116" s="2" t="s">
        <v>499</v>
      </c>
      <c r="AC116" s="2" t="s">
        <v>573</v>
      </c>
      <c r="AD116" s="2" t="s">
        <v>43</v>
      </c>
      <c r="AE116" s="2" t="s">
        <v>45</v>
      </c>
      <c r="AF116" s="2" t="s">
        <v>45</v>
      </c>
      <c r="AG116" s="2" t="s">
        <v>115</v>
      </c>
      <c r="AH116" s="2" t="s">
        <v>503</v>
      </c>
      <c r="AI116" s="2" t="s">
        <v>43</v>
      </c>
      <c r="AJ116" s="2" t="s">
        <v>513</v>
      </c>
      <c r="AK116" s="2" t="s">
        <v>499</v>
      </c>
      <c r="AL116" s="2" t="s">
        <v>574</v>
      </c>
    </row>
    <row r="117" spans="1:38" ht="75" x14ac:dyDescent="0.25">
      <c r="A117" s="2" t="s">
        <v>575</v>
      </c>
      <c r="B117" s="2" t="s">
        <v>576</v>
      </c>
      <c r="C117" s="2" t="s">
        <v>499</v>
      </c>
      <c r="D117" s="2" t="s">
        <v>500</v>
      </c>
      <c r="E117" s="2" t="s">
        <v>499</v>
      </c>
      <c r="F117" s="2" t="s">
        <v>245</v>
      </c>
      <c r="G117" s="2" t="s">
        <v>499</v>
      </c>
      <c r="H117" s="2">
        <v>0</v>
      </c>
      <c r="I117" s="2">
        <v>3</v>
      </c>
      <c r="J117" s="2">
        <v>0</v>
      </c>
      <c r="K117" s="2">
        <v>0</v>
      </c>
      <c r="L117" s="2" t="s">
        <v>45</v>
      </c>
      <c r="M117" s="2" t="s">
        <v>45</v>
      </c>
      <c r="N117" s="2" t="s">
        <v>45</v>
      </c>
      <c r="O117" s="2" t="s">
        <v>115</v>
      </c>
      <c r="P117" s="2" t="s">
        <v>503</v>
      </c>
      <c r="Q117" s="2" t="s">
        <v>43</v>
      </c>
      <c r="R117" s="2" t="s">
        <v>568</v>
      </c>
      <c r="S117" s="2" t="s">
        <v>499</v>
      </c>
      <c r="T117" s="2" t="s">
        <v>572</v>
      </c>
      <c r="U117" s="2" t="s">
        <v>45</v>
      </c>
      <c r="V117" s="2" t="s">
        <v>45</v>
      </c>
      <c r="W117" s="2" t="s">
        <v>45</v>
      </c>
      <c r="X117" s="2" t="s">
        <v>115</v>
      </c>
      <c r="Y117" s="2" t="s">
        <v>503</v>
      </c>
      <c r="Z117" s="2" t="s">
        <v>43</v>
      </c>
      <c r="AA117" s="2" t="s">
        <v>568</v>
      </c>
      <c r="AB117" s="2" t="s">
        <v>499</v>
      </c>
      <c r="AC117" s="2" t="s">
        <v>572</v>
      </c>
      <c r="AD117" s="2" t="s">
        <v>45</v>
      </c>
      <c r="AE117" s="2" t="s">
        <v>45</v>
      </c>
      <c r="AF117" s="2" t="s">
        <v>45</v>
      </c>
      <c r="AG117" s="2" t="s">
        <v>115</v>
      </c>
      <c r="AH117" s="2" t="s">
        <v>503</v>
      </c>
      <c r="AI117" s="2" t="s">
        <v>43</v>
      </c>
      <c r="AJ117" s="2" t="s">
        <v>568</v>
      </c>
      <c r="AK117" s="2" t="s">
        <v>499</v>
      </c>
      <c r="AL117" s="2" t="s">
        <v>572</v>
      </c>
    </row>
    <row r="118" spans="1:38" ht="75" x14ac:dyDescent="0.25">
      <c r="A118" s="2" t="s">
        <v>577</v>
      </c>
      <c r="B118" s="2" t="s">
        <v>578</v>
      </c>
      <c r="C118" s="2" t="s">
        <v>499</v>
      </c>
      <c r="D118" s="2" t="s">
        <v>500</v>
      </c>
      <c r="E118" s="2" t="s">
        <v>499</v>
      </c>
      <c r="F118" s="2" t="s">
        <v>245</v>
      </c>
      <c r="G118" s="2" t="s">
        <v>499</v>
      </c>
      <c r="H118" s="2">
        <v>0</v>
      </c>
      <c r="I118" s="2">
        <v>3</v>
      </c>
      <c r="J118" s="2">
        <v>0</v>
      </c>
      <c r="K118" s="2">
        <v>0</v>
      </c>
      <c r="L118" s="2" t="s">
        <v>45</v>
      </c>
      <c r="M118" s="2" t="s">
        <v>45</v>
      </c>
      <c r="N118" s="2" t="s">
        <v>45</v>
      </c>
      <c r="O118" s="2" t="s">
        <v>115</v>
      </c>
      <c r="P118" s="2" t="s">
        <v>503</v>
      </c>
      <c r="Q118" s="2" t="s">
        <v>43</v>
      </c>
      <c r="R118" s="2" t="s">
        <v>568</v>
      </c>
      <c r="S118" s="2" t="s">
        <v>499</v>
      </c>
      <c r="T118" s="2" t="s">
        <v>579</v>
      </c>
      <c r="U118" s="2" t="s">
        <v>45</v>
      </c>
      <c r="V118" s="2" t="s">
        <v>45</v>
      </c>
      <c r="W118" s="2" t="s">
        <v>45</v>
      </c>
      <c r="X118" s="2" t="s">
        <v>115</v>
      </c>
      <c r="Y118" s="2" t="s">
        <v>503</v>
      </c>
      <c r="Z118" s="2" t="s">
        <v>43</v>
      </c>
      <c r="AA118" s="2" t="s">
        <v>568</v>
      </c>
      <c r="AB118" s="2" t="s">
        <v>499</v>
      </c>
      <c r="AC118" s="2" t="s">
        <v>572</v>
      </c>
      <c r="AD118" s="2" t="s">
        <v>45</v>
      </c>
      <c r="AE118" s="2" t="s">
        <v>45</v>
      </c>
      <c r="AF118" s="2" t="s">
        <v>45</v>
      </c>
      <c r="AG118" s="2" t="s">
        <v>115</v>
      </c>
      <c r="AH118" s="2" t="s">
        <v>503</v>
      </c>
      <c r="AI118" s="2" t="s">
        <v>43</v>
      </c>
      <c r="AJ118" s="2" t="s">
        <v>568</v>
      </c>
      <c r="AK118" s="2" t="s">
        <v>499</v>
      </c>
      <c r="AL118" s="2" t="s">
        <v>579</v>
      </c>
    </row>
    <row r="119" spans="1:38" ht="75" x14ac:dyDescent="0.25">
      <c r="A119" s="2" t="s">
        <v>580</v>
      </c>
      <c r="B119" s="2" t="s">
        <v>581</v>
      </c>
      <c r="C119" s="2" t="s">
        <v>499</v>
      </c>
      <c r="D119" s="2" t="s">
        <v>513</v>
      </c>
      <c r="E119" s="2" t="s">
        <v>499</v>
      </c>
      <c r="F119" s="2" t="s">
        <v>501</v>
      </c>
      <c r="G119" s="2" t="s">
        <v>499</v>
      </c>
      <c r="H119" s="2">
        <v>0</v>
      </c>
      <c r="I119" s="2">
        <v>0</v>
      </c>
      <c r="J119" s="2">
        <v>3</v>
      </c>
      <c r="K119" s="2">
        <v>0</v>
      </c>
      <c r="L119" s="2" t="s">
        <v>499</v>
      </c>
      <c r="M119" s="2" t="s">
        <v>499</v>
      </c>
      <c r="N119" s="2" t="s">
        <v>499</v>
      </c>
      <c r="O119" s="2" t="s">
        <v>499</v>
      </c>
      <c r="P119" s="2" t="s">
        <v>503</v>
      </c>
      <c r="Q119" s="2" t="s">
        <v>43</v>
      </c>
      <c r="R119" s="2" t="s">
        <v>513</v>
      </c>
      <c r="S119" s="2" t="s">
        <v>499</v>
      </c>
      <c r="T119" s="2" t="s">
        <v>535</v>
      </c>
      <c r="U119" s="2" t="s">
        <v>499</v>
      </c>
      <c r="V119" s="2" t="s">
        <v>499</v>
      </c>
      <c r="W119" s="2" t="s">
        <v>499</v>
      </c>
      <c r="X119" s="2" t="s">
        <v>499</v>
      </c>
      <c r="Y119" s="2" t="s">
        <v>503</v>
      </c>
      <c r="Z119" s="2" t="s">
        <v>43</v>
      </c>
      <c r="AA119" s="2" t="s">
        <v>513</v>
      </c>
      <c r="AB119" s="2" t="s">
        <v>499</v>
      </c>
      <c r="AC119" s="2" t="s">
        <v>535</v>
      </c>
      <c r="AD119" s="2" t="s">
        <v>499</v>
      </c>
      <c r="AE119" s="2" t="s">
        <v>499</v>
      </c>
      <c r="AF119" s="2" t="s">
        <v>499</v>
      </c>
      <c r="AG119" s="2" t="s">
        <v>499</v>
      </c>
      <c r="AH119" s="2" t="s">
        <v>503</v>
      </c>
      <c r="AI119" s="2" t="s">
        <v>43</v>
      </c>
      <c r="AJ119" s="2" t="s">
        <v>513</v>
      </c>
      <c r="AK119" s="2" t="s">
        <v>499</v>
      </c>
      <c r="AL119" s="2" t="s">
        <v>535</v>
      </c>
    </row>
    <row r="120" spans="1:38" ht="255" x14ac:dyDescent="0.25">
      <c r="A120" s="2" t="s">
        <v>582</v>
      </c>
      <c r="B120" s="2" t="s">
        <v>583</v>
      </c>
      <c r="C120" s="2" t="s">
        <v>584</v>
      </c>
      <c r="D120" s="2"/>
      <c r="E120" s="2" t="s">
        <v>115</v>
      </c>
      <c r="F120" s="2" t="s">
        <v>114</v>
      </c>
      <c r="G120" s="2" t="s">
        <v>48</v>
      </c>
      <c r="H120" s="2">
        <v>1</v>
      </c>
      <c r="I120" s="2">
        <v>2</v>
      </c>
      <c r="J120" s="2">
        <v>0</v>
      </c>
      <c r="K120" s="2">
        <v>0</v>
      </c>
      <c r="L120" s="2" t="s">
        <v>43</v>
      </c>
      <c r="M120" s="2" t="s">
        <v>45</v>
      </c>
      <c r="N120" s="2" t="s">
        <v>43</v>
      </c>
      <c r="O120" s="2" t="s">
        <v>115</v>
      </c>
      <c r="P120" s="2" t="s">
        <v>44</v>
      </c>
      <c r="Q120" s="2" t="s">
        <v>45</v>
      </c>
      <c r="R120" s="2" t="s">
        <v>46</v>
      </c>
      <c r="S120" s="2" t="s">
        <v>48</v>
      </c>
      <c r="T120" s="2" t="s">
        <v>585</v>
      </c>
      <c r="U120" s="2" t="s">
        <v>43</v>
      </c>
      <c r="V120" s="2" t="s">
        <v>45</v>
      </c>
      <c r="W120" s="2" t="s">
        <v>43</v>
      </c>
      <c r="X120" s="2" t="s">
        <v>115</v>
      </c>
      <c r="Y120" s="2" t="s">
        <v>44</v>
      </c>
      <c r="Z120" s="2" t="s">
        <v>45</v>
      </c>
      <c r="AA120" s="2" t="s">
        <v>46</v>
      </c>
      <c r="AB120" s="2" t="s">
        <v>48</v>
      </c>
      <c r="AC120" s="2" t="s">
        <v>585</v>
      </c>
      <c r="AD120" s="2" t="s">
        <v>43</v>
      </c>
      <c r="AE120" s="2" t="s">
        <v>53</v>
      </c>
      <c r="AF120" s="2" t="s">
        <v>43</v>
      </c>
      <c r="AG120" s="2" t="s">
        <v>40</v>
      </c>
      <c r="AH120" s="2" t="s">
        <v>54</v>
      </c>
      <c r="AI120" s="2" t="s">
        <v>45</v>
      </c>
      <c r="AJ120" s="2" t="s">
        <v>46</v>
      </c>
      <c r="AK120" s="2" t="s">
        <v>48</v>
      </c>
      <c r="AL120" s="2" t="s">
        <v>586</v>
      </c>
    </row>
    <row r="121" spans="1:38" ht="409.5" x14ac:dyDescent="0.25">
      <c r="A121" s="2" t="s">
        <v>587</v>
      </c>
      <c r="B121" s="2" t="s">
        <v>588</v>
      </c>
      <c r="C121" s="2" t="s">
        <v>584</v>
      </c>
      <c r="D121" s="2"/>
      <c r="E121" s="2" t="s">
        <v>40</v>
      </c>
      <c r="F121" s="2" t="s">
        <v>114</v>
      </c>
      <c r="G121" s="2" t="s">
        <v>42</v>
      </c>
      <c r="H121" s="2">
        <v>2</v>
      </c>
      <c r="I121" s="2">
        <v>1</v>
      </c>
      <c r="J121" s="2">
        <v>0</v>
      </c>
      <c r="K121" s="2">
        <v>0</v>
      </c>
      <c r="L121" s="2" t="s">
        <v>43</v>
      </c>
      <c r="M121" s="2" t="s">
        <v>53</v>
      </c>
      <c r="N121" s="2" t="s">
        <v>43</v>
      </c>
      <c r="O121" s="2" t="s">
        <v>40</v>
      </c>
      <c r="P121" s="2" t="s">
        <v>44</v>
      </c>
      <c r="Q121" s="2" t="s">
        <v>45</v>
      </c>
      <c r="R121" s="2" t="s">
        <v>46</v>
      </c>
      <c r="S121" s="2" t="s">
        <v>42</v>
      </c>
      <c r="T121" s="2" t="s">
        <v>589</v>
      </c>
      <c r="U121" s="2" t="s">
        <v>43</v>
      </c>
      <c r="V121" s="2" t="s">
        <v>45</v>
      </c>
      <c r="W121" s="2" t="s">
        <v>43</v>
      </c>
      <c r="X121" s="2" t="s">
        <v>115</v>
      </c>
      <c r="Y121" s="2" t="s">
        <v>44</v>
      </c>
      <c r="Z121" s="2" t="s">
        <v>45</v>
      </c>
      <c r="AA121" s="2" t="s">
        <v>46</v>
      </c>
      <c r="AB121" s="2" t="s">
        <v>42</v>
      </c>
      <c r="AC121" s="2" t="s">
        <v>590</v>
      </c>
      <c r="AD121" s="2" t="s">
        <v>43</v>
      </c>
      <c r="AE121" s="2" t="s">
        <v>53</v>
      </c>
      <c r="AF121" s="2" t="s">
        <v>43</v>
      </c>
      <c r="AG121" s="2" t="s">
        <v>40</v>
      </c>
      <c r="AH121" s="2" t="s">
        <v>44</v>
      </c>
      <c r="AI121" s="2" t="s">
        <v>45</v>
      </c>
      <c r="AJ121" s="2" t="s">
        <v>46</v>
      </c>
      <c r="AK121" s="2" t="s">
        <v>42</v>
      </c>
      <c r="AL121" s="2" t="s">
        <v>591</v>
      </c>
    </row>
    <row r="122" spans="1:38" ht="409.5" x14ac:dyDescent="0.25">
      <c r="A122" s="2" t="s">
        <v>592</v>
      </c>
      <c r="B122" s="2" t="s">
        <v>593</v>
      </c>
      <c r="C122" s="2" t="s">
        <v>584</v>
      </c>
      <c r="D122" s="2"/>
      <c r="E122" s="2" t="s">
        <v>115</v>
      </c>
      <c r="F122" s="2" t="s">
        <v>114</v>
      </c>
      <c r="G122" s="2" t="s">
        <v>42</v>
      </c>
      <c r="H122" s="2">
        <v>1</v>
      </c>
      <c r="I122" s="2">
        <v>2</v>
      </c>
      <c r="J122" s="2">
        <v>0</v>
      </c>
      <c r="K122" s="2">
        <v>0</v>
      </c>
      <c r="L122" s="2" t="s">
        <v>53</v>
      </c>
      <c r="M122" s="2" t="s">
        <v>45</v>
      </c>
      <c r="N122" s="2" t="s">
        <v>43</v>
      </c>
      <c r="O122" s="2" t="s">
        <v>115</v>
      </c>
      <c r="P122" s="2" t="s">
        <v>44</v>
      </c>
      <c r="Q122" s="2" t="s">
        <v>45</v>
      </c>
      <c r="R122" s="2" t="s">
        <v>46</v>
      </c>
      <c r="S122" s="2" t="s">
        <v>42</v>
      </c>
      <c r="T122" s="2" t="s">
        <v>594</v>
      </c>
      <c r="U122" s="2" t="s">
        <v>43</v>
      </c>
      <c r="V122" s="2" t="s">
        <v>53</v>
      </c>
      <c r="W122" s="2" t="s">
        <v>43</v>
      </c>
      <c r="X122" s="2" t="s">
        <v>40</v>
      </c>
      <c r="Y122" s="2" t="s">
        <v>44</v>
      </c>
      <c r="Z122" s="2" t="s">
        <v>45</v>
      </c>
      <c r="AA122" s="2" t="s">
        <v>46</v>
      </c>
      <c r="AB122" s="2" t="s">
        <v>42</v>
      </c>
      <c r="AC122" s="2" t="s">
        <v>595</v>
      </c>
      <c r="AD122" s="2" t="s">
        <v>43</v>
      </c>
      <c r="AE122" s="2" t="s">
        <v>45</v>
      </c>
      <c r="AF122" s="2" t="s">
        <v>43</v>
      </c>
      <c r="AG122" s="2" t="s">
        <v>115</v>
      </c>
      <c r="AH122" s="2" t="s">
        <v>44</v>
      </c>
      <c r="AI122" s="2" t="s">
        <v>45</v>
      </c>
      <c r="AJ122" s="2" t="s">
        <v>46</v>
      </c>
      <c r="AK122" s="2" t="s">
        <v>42</v>
      </c>
      <c r="AL122" s="2" t="s">
        <v>596</v>
      </c>
    </row>
    <row r="123" spans="1:38" ht="240" x14ac:dyDescent="0.25">
      <c r="A123" s="2" t="s">
        <v>597</v>
      </c>
      <c r="B123" s="2" t="s">
        <v>598</v>
      </c>
      <c r="C123" s="2" t="s">
        <v>584</v>
      </c>
      <c r="D123" s="2"/>
      <c r="E123" s="2" t="s">
        <v>40</v>
      </c>
      <c r="F123" s="2" t="s">
        <v>114</v>
      </c>
      <c r="G123" s="2" t="s">
        <v>42</v>
      </c>
      <c r="H123" s="2">
        <v>2</v>
      </c>
      <c r="I123" s="2">
        <v>1</v>
      </c>
      <c r="J123" s="2">
        <v>0</v>
      </c>
      <c r="K123" s="2">
        <v>0</v>
      </c>
      <c r="L123" s="2" t="s">
        <v>43</v>
      </c>
      <c r="M123" s="2" t="s">
        <v>45</v>
      </c>
      <c r="N123" s="2" t="s">
        <v>43</v>
      </c>
      <c r="O123" s="2" t="s">
        <v>115</v>
      </c>
      <c r="P123" s="2" t="s">
        <v>54</v>
      </c>
      <c r="Q123" s="2" t="s">
        <v>45</v>
      </c>
      <c r="R123" s="2" t="s">
        <v>46</v>
      </c>
      <c r="S123" s="2" t="s">
        <v>42</v>
      </c>
      <c r="T123" s="2" t="s">
        <v>599</v>
      </c>
      <c r="U123" s="2" t="s">
        <v>43</v>
      </c>
      <c r="V123" s="2" t="s">
        <v>53</v>
      </c>
      <c r="W123" s="2" t="s">
        <v>43</v>
      </c>
      <c r="X123" s="2" t="s">
        <v>40</v>
      </c>
      <c r="Y123" s="2" t="s">
        <v>54</v>
      </c>
      <c r="Z123" s="2" t="s">
        <v>45</v>
      </c>
      <c r="AA123" s="2" t="s">
        <v>46</v>
      </c>
      <c r="AB123" s="2" t="s">
        <v>42</v>
      </c>
      <c r="AC123" s="2" t="s">
        <v>600</v>
      </c>
      <c r="AD123" s="2" t="s">
        <v>43</v>
      </c>
      <c r="AE123" s="2" t="s">
        <v>53</v>
      </c>
      <c r="AF123" s="2" t="s">
        <v>43</v>
      </c>
      <c r="AG123" s="2" t="s">
        <v>40</v>
      </c>
      <c r="AH123" s="2" t="s">
        <v>54</v>
      </c>
      <c r="AI123" s="2" t="s">
        <v>45</v>
      </c>
      <c r="AJ123" s="2" t="s">
        <v>46</v>
      </c>
      <c r="AK123" s="2" t="s">
        <v>42</v>
      </c>
      <c r="AL123" s="2" t="s">
        <v>601</v>
      </c>
    </row>
    <row r="124" spans="1:38" ht="375" x14ac:dyDescent="0.25">
      <c r="A124" s="2" t="s">
        <v>602</v>
      </c>
      <c r="B124" s="2" t="s">
        <v>603</v>
      </c>
      <c r="C124" s="2" t="s">
        <v>584</v>
      </c>
      <c r="D124" s="2"/>
      <c r="E124" s="2" t="s">
        <v>40</v>
      </c>
      <c r="F124" s="2" t="s">
        <v>114</v>
      </c>
      <c r="G124" s="2" t="s">
        <v>502</v>
      </c>
      <c r="H124" s="2">
        <v>2</v>
      </c>
      <c r="I124" s="2">
        <v>1</v>
      </c>
      <c r="J124" s="2">
        <v>0</v>
      </c>
      <c r="K124" s="2">
        <v>0</v>
      </c>
      <c r="L124" s="2" t="s">
        <v>43</v>
      </c>
      <c r="M124" s="2" t="s">
        <v>53</v>
      </c>
      <c r="N124" s="2" t="s">
        <v>43</v>
      </c>
      <c r="O124" s="2" t="s">
        <v>40</v>
      </c>
      <c r="P124" s="2" t="s">
        <v>54</v>
      </c>
      <c r="Q124" s="2" t="s">
        <v>45</v>
      </c>
      <c r="R124" s="2" t="s">
        <v>46</v>
      </c>
      <c r="S124" s="2" t="s">
        <v>502</v>
      </c>
      <c r="T124" s="2" t="s">
        <v>604</v>
      </c>
      <c r="U124" s="2" t="s">
        <v>43</v>
      </c>
      <c r="V124" s="2" t="s">
        <v>53</v>
      </c>
      <c r="W124" s="2" t="s">
        <v>53</v>
      </c>
      <c r="X124" s="2" t="s">
        <v>115</v>
      </c>
      <c r="Y124" s="2" t="s">
        <v>54</v>
      </c>
      <c r="Z124" s="2" t="s">
        <v>45</v>
      </c>
      <c r="AA124" s="2" t="s">
        <v>46</v>
      </c>
      <c r="AB124" s="2" t="s">
        <v>502</v>
      </c>
      <c r="AC124" s="2" t="s">
        <v>605</v>
      </c>
      <c r="AD124" s="2" t="s">
        <v>43</v>
      </c>
      <c r="AE124" s="2" t="s">
        <v>53</v>
      </c>
      <c r="AF124" s="2" t="s">
        <v>43</v>
      </c>
      <c r="AG124" s="2" t="s">
        <v>40</v>
      </c>
      <c r="AH124" s="2" t="s">
        <v>54</v>
      </c>
      <c r="AI124" s="2" t="s">
        <v>45</v>
      </c>
      <c r="AJ124" s="2" t="s">
        <v>46</v>
      </c>
      <c r="AK124" s="2" t="s">
        <v>502</v>
      </c>
      <c r="AL124" s="2" t="s">
        <v>606</v>
      </c>
    </row>
    <row r="125" spans="1:38" ht="285" x14ac:dyDescent="0.25">
      <c r="A125" s="2" t="s">
        <v>607</v>
      </c>
      <c r="B125" s="2" t="s">
        <v>608</v>
      </c>
      <c r="C125" s="2" t="s">
        <v>584</v>
      </c>
      <c r="D125" s="2"/>
      <c r="E125" s="2" t="s">
        <v>115</v>
      </c>
      <c r="F125" s="2" t="s">
        <v>114</v>
      </c>
      <c r="G125" s="2" t="s">
        <v>42</v>
      </c>
      <c r="H125" s="2">
        <v>1</v>
      </c>
      <c r="I125" s="2">
        <v>2</v>
      </c>
      <c r="J125" s="2">
        <v>0</v>
      </c>
      <c r="K125" s="2">
        <v>0</v>
      </c>
      <c r="L125" s="2" t="s">
        <v>43</v>
      </c>
      <c r="M125" s="2" t="s">
        <v>53</v>
      </c>
      <c r="N125" s="2" t="s">
        <v>43</v>
      </c>
      <c r="O125" s="2" t="s">
        <v>40</v>
      </c>
      <c r="P125" s="2" t="s">
        <v>44</v>
      </c>
      <c r="Q125" s="2" t="s">
        <v>45</v>
      </c>
      <c r="R125" s="2" t="s">
        <v>46</v>
      </c>
      <c r="S125" s="2" t="s">
        <v>42</v>
      </c>
      <c r="T125" s="2" t="s">
        <v>609</v>
      </c>
      <c r="U125" s="2" t="s">
        <v>43</v>
      </c>
      <c r="V125" s="2" t="s">
        <v>45</v>
      </c>
      <c r="W125" s="2" t="s">
        <v>43</v>
      </c>
      <c r="X125" s="2" t="s">
        <v>115</v>
      </c>
      <c r="Y125" s="2" t="s">
        <v>44</v>
      </c>
      <c r="Z125" s="2" t="s">
        <v>45</v>
      </c>
      <c r="AA125" s="2" t="s">
        <v>46</v>
      </c>
      <c r="AB125" s="2" t="s">
        <v>42</v>
      </c>
      <c r="AC125" s="2" t="s">
        <v>610</v>
      </c>
      <c r="AD125" s="2" t="s">
        <v>43</v>
      </c>
      <c r="AE125" s="2" t="s">
        <v>45</v>
      </c>
      <c r="AF125" s="2" t="s">
        <v>43</v>
      </c>
      <c r="AG125" s="2" t="s">
        <v>115</v>
      </c>
      <c r="AH125" s="2" t="s">
        <v>44</v>
      </c>
      <c r="AI125" s="2" t="s">
        <v>45</v>
      </c>
      <c r="AJ125" s="2" t="s">
        <v>46</v>
      </c>
      <c r="AK125" s="2" t="s">
        <v>42</v>
      </c>
      <c r="AL125" s="2" t="s">
        <v>611</v>
      </c>
    </row>
    <row r="126" spans="1:38" ht="300" x14ac:dyDescent="0.25">
      <c r="A126" s="2" t="s">
        <v>612</v>
      </c>
      <c r="B126" s="2" t="s">
        <v>613</v>
      </c>
      <c r="C126" s="2" t="s">
        <v>584</v>
      </c>
      <c r="D126" s="2"/>
      <c r="E126" s="2" t="s">
        <v>40</v>
      </c>
      <c r="F126" s="2" t="s">
        <v>114</v>
      </c>
      <c r="G126" s="2" t="s">
        <v>42</v>
      </c>
      <c r="H126" s="2">
        <v>2</v>
      </c>
      <c r="I126" s="2">
        <v>1</v>
      </c>
      <c r="J126" s="2">
        <v>0</v>
      </c>
      <c r="K126" s="2">
        <v>0</v>
      </c>
      <c r="L126" s="2" t="s">
        <v>43</v>
      </c>
      <c r="M126" s="2" t="s">
        <v>43</v>
      </c>
      <c r="N126" s="2" t="s">
        <v>45</v>
      </c>
      <c r="O126" s="2" t="s">
        <v>115</v>
      </c>
      <c r="P126" s="2" t="s">
        <v>54</v>
      </c>
      <c r="Q126" s="2" t="s">
        <v>45</v>
      </c>
      <c r="R126" s="2" t="s">
        <v>46</v>
      </c>
      <c r="S126" s="2" t="s">
        <v>42</v>
      </c>
      <c r="T126" s="2" t="s">
        <v>614</v>
      </c>
      <c r="U126" s="2" t="s">
        <v>43</v>
      </c>
      <c r="V126" s="2" t="s">
        <v>43</v>
      </c>
      <c r="W126" s="2" t="s">
        <v>43</v>
      </c>
      <c r="X126" s="2" t="s">
        <v>40</v>
      </c>
      <c r="Y126" s="2" t="s">
        <v>44</v>
      </c>
      <c r="Z126" s="2" t="s">
        <v>45</v>
      </c>
      <c r="AA126" s="2" t="s">
        <v>46</v>
      </c>
      <c r="AB126" s="2" t="s">
        <v>42</v>
      </c>
      <c r="AC126" s="2" t="s">
        <v>615</v>
      </c>
      <c r="AD126" s="2" t="s">
        <v>43</v>
      </c>
      <c r="AE126" s="2" t="s">
        <v>43</v>
      </c>
      <c r="AF126" s="2" t="s">
        <v>43</v>
      </c>
      <c r="AG126" s="2" t="s">
        <v>40</v>
      </c>
      <c r="AH126" s="2" t="s">
        <v>44</v>
      </c>
      <c r="AI126" s="2" t="s">
        <v>45</v>
      </c>
      <c r="AJ126" s="2" t="s">
        <v>46</v>
      </c>
      <c r="AK126" s="2" t="s">
        <v>42</v>
      </c>
      <c r="AL126" s="2" t="s">
        <v>616</v>
      </c>
    </row>
    <row r="127" spans="1:38" ht="375" x14ac:dyDescent="0.25">
      <c r="A127" s="2" t="s">
        <v>617</v>
      </c>
      <c r="B127" s="2" t="s">
        <v>618</v>
      </c>
      <c r="C127" s="2" t="s">
        <v>584</v>
      </c>
      <c r="D127" s="2"/>
      <c r="E127" s="2" t="s">
        <v>115</v>
      </c>
      <c r="F127" s="2" t="s">
        <v>114</v>
      </c>
      <c r="G127" s="2" t="s">
        <v>42</v>
      </c>
      <c r="H127" s="2">
        <v>1</v>
      </c>
      <c r="I127" s="2">
        <v>2</v>
      </c>
      <c r="J127" s="2">
        <v>0</v>
      </c>
      <c r="K127" s="2">
        <v>0</v>
      </c>
      <c r="L127" s="2" t="s">
        <v>43</v>
      </c>
      <c r="M127" s="2" t="s">
        <v>45</v>
      </c>
      <c r="N127" s="2" t="s">
        <v>43</v>
      </c>
      <c r="O127" s="2" t="s">
        <v>115</v>
      </c>
      <c r="P127" s="2" t="s">
        <v>54</v>
      </c>
      <c r="Q127" s="2" t="s">
        <v>45</v>
      </c>
      <c r="R127" s="2" t="s">
        <v>46</v>
      </c>
      <c r="S127" s="2" t="s">
        <v>42</v>
      </c>
      <c r="T127" s="2" t="s">
        <v>619</v>
      </c>
      <c r="U127" s="2" t="s">
        <v>43</v>
      </c>
      <c r="V127" s="2" t="s">
        <v>53</v>
      </c>
      <c r="W127" s="2" t="s">
        <v>43</v>
      </c>
      <c r="X127" s="2" t="s">
        <v>40</v>
      </c>
      <c r="Y127" s="2" t="s">
        <v>54</v>
      </c>
      <c r="Z127" s="2" t="s">
        <v>45</v>
      </c>
      <c r="AA127" s="2" t="s">
        <v>46</v>
      </c>
      <c r="AB127" s="2" t="s">
        <v>42</v>
      </c>
      <c r="AC127" s="2" t="s">
        <v>620</v>
      </c>
      <c r="AD127" s="2" t="s">
        <v>43</v>
      </c>
      <c r="AE127" s="2" t="s">
        <v>45</v>
      </c>
      <c r="AF127" s="2" t="s">
        <v>43</v>
      </c>
      <c r="AG127" s="2" t="s">
        <v>115</v>
      </c>
      <c r="AH127" s="2" t="s">
        <v>54</v>
      </c>
      <c r="AI127" s="2" t="s">
        <v>45</v>
      </c>
      <c r="AJ127" s="2" t="s">
        <v>46</v>
      </c>
      <c r="AK127" s="2" t="s">
        <v>42</v>
      </c>
      <c r="AL127" s="2" t="s">
        <v>621</v>
      </c>
    </row>
    <row r="128" spans="1:38" ht="315" x14ac:dyDescent="0.25">
      <c r="A128" s="2" t="s">
        <v>622</v>
      </c>
      <c r="B128" s="2" t="s">
        <v>623</v>
      </c>
      <c r="C128" s="2" t="s">
        <v>584</v>
      </c>
      <c r="D128" s="2"/>
      <c r="E128" s="2" t="s">
        <v>115</v>
      </c>
      <c r="F128" s="2" t="s">
        <v>114</v>
      </c>
      <c r="G128" s="2" t="s">
        <v>42</v>
      </c>
      <c r="H128" s="2">
        <v>1</v>
      </c>
      <c r="I128" s="2">
        <v>2</v>
      </c>
      <c r="J128" s="2">
        <v>0</v>
      </c>
      <c r="K128" s="2">
        <v>0</v>
      </c>
      <c r="L128" s="2" t="s">
        <v>43</v>
      </c>
      <c r="M128" s="2" t="s">
        <v>53</v>
      </c>
      <c r="N128" s="2" t="s">
        <v>43</v>
      </c>
      <c r="O128" s="2" t="s">
        <v>40</v>
      </c>
      <c r="P128" s="2" t="s">
        <v>44</v>
      </c>
      <c r="Q128" s="2" t="s">
        <v>45</v>
      </c>
      <c r="R128" s="2" t="s">
        <v>46</v>
      </c>
      <c r="S128" s="2" t="s">
        <v>42</v>
      </c>
      <c r="T128" s="2" t="s">
        <v>624</v>
      </c>
      <c r="U128" s="2" t="s">
        <v>43</v>
      </c>
      <c r="V128" s="2" t="s">
        <v>45</v>
      </c>
      <c r="W128" s="2" t="s">
        <v>43</v>
      </c>
      <c r="X128" s="2" t="s">
        <v>115</v>
      </c>
      <c r="Y128" s="2" t="s">
        <v>44</v>
      </c>
      <c r="Z128" s="2" t="s">
        <v>45</v>
      </c>
      <c r="AA128" s="2" t="s">
        <v>46</v>
      </c>
      <c r="AB128" s="2" t="s">
        <v>42</v>
      </c>
      <c r="AC128" s="2" t="s">
        <v>625</v>
      </c>
      <c r="AD128" s="2" t="s">
        <v>43</v>
      </c>
      <c r="AE128" s="2" t="s">
        <v>45</v>
      </c>
      <c r="AF128" s="2" t="s">
        <v>43</v>
      </c>
      <c r="AG128" s="2" t="s">
        <v>115</v>
      </c>
      <c r="AH128" s="2" t="s">
        <v>44</v>
      </c>
      <c r="AI128" s="2" t="s">
        <v>45</v>
      </c>
      <c r="AJ128" s="2" t="s">
        <v>46</v>
      </c>
      <c r="AK128" s="2" t="s">
        <v>42</v>
      </c>
      <c r="AL128" s="2" t="s">
        <v>625</v>
      </c>
    </row>
    <row r="129" spans="1:38" ht="409.5" x14ac:dyDescent="0.25">
      <c r="A129" s="2" t="s">
        <v>626</v>
      </c>
      <c r="B129" s="2" t="s">
        <v>627</v>
      </c>
      <c r="C129" s="2" t="s">
        <v>584</v>
      </c>
      <c r="D129" s="2"/>
      <c r="E129" s="2" t="s">
        <v>115</v>
      </c>
      <c r="F129" s="2" t="s">
        <v>114</v>
      </c>
      <c r="G129" s="2" t="s">
        <v>48</v>
      </c>
      <c r="H129" s="2">
        <v>1</v>
      </c>
      <c r="I129" s="2">
        <v>2</v>
      </c>
      <c r="J129" s="2">
        <v>0</v>
      </c>
      <c r="K129" s="2">
        <v>0</v>
      </c>
      <c r="L129" s="2" t="s">
        <v>43</v>
      </c>
      <c r="M129" s="2" t="s">
        <v>45</v>
      </c>
      <c r="N129" s="2" t="s">
        <v>45</v>
      </c>
      <c r="O129" s="2" t="s">
        <v>115</v>
      </c>
      <c r="P129" s="2" t="s">
        <v>44</v>
      </c>
      <c r="Q129" s="2" t="s">
        <v>45</v>
      </c>
      <c r="R129" s="2" t="s">
        <v>46</v>
      </c>
      <c r="S129" s="2" t="s">
        <v>48</v>
      </c>
      <c r="T129" s="2" t="s">
        <v>628</v>
      </c>
      <c r="U129" s="2" t="s">
        <v>43</v>
      </c>
      <c r="V129" s="2" t="s">
        <v>45</v>
      </c>
      <c r="W129" s="2" t="s">
        <v>45</v>
      </c>
      <c r="X129" s="2" t="s">
        <v>115</v>
      </c>
      <c r="Y129" s="2" t="s">
        <v>44</v>
      </c>
      <c r="Z129" s="2" t="s">
        <v>45</v>
      </c>
      <c r="AA129" s="2" t="s">
        <v>46</v>
      </c>
      <c r="AB129" s="2" t="s">
        <v>48</v>
      </c>
      <c r="AC129" s="2" t="s">
        <v>628</v>
      </c>
      <c r="AD129" s="2" t="s">
        <v>43</v>
      </c>
      <c r="AE129" s="2" t="s">
        <v>53</v>
      </c>
      <c r="AF129" s="2" t="s">
        <v>43</v>
      </c>
      <c r="AG129" s="2" t="s">
        <v>40</v>
      </c>
      <c r="AH129" s="2" t="s">
        <v>44</v>
      </c>
      <c r="AI129" s="2" t="s">
        <v>45</v>
      </c>
      <c r="AJ129" s="2" t="s">
        <v>46</v>
      </c>
      <c r="AK129" s="2" t="s">
        <v>48</v>
      </c>
      <c r="AL129" s="2" t="s">
        <v>629</v>
      </c>
    </row>
    <row r="130" spans="1:38" ht="409.5" x14ac:dyDescent="0.25">
      <c r="A130" s="2" t="s">
        <v>630</v>
      </c>
      <c r="B130" s="2" t="s">
        <v>631</v>
      </c>
      <c r="C130" s="2" t="s">
        <v>584</v>
      </c>
      <c r="D130" s="2"/>
      <c r="E130" s="2" t="s">
        <v>40</v>
      </c>
      <c r="F130" s="2" t="s">
        <v>114</v>
      </c>
      <c r="G130" s="2" t="s">
        <v>42</v>
      </c>
      <c r="H130" s="2">
        <v>2</v>
      </c>
      <c r="I130" s="2">
        <v>1</v>
      </c>
      <c r="J130" s="2">
        <v>0</v>
      </c>
      <c r="K130" s="2">
        <v>0</v>
      </c>
      <c r="L130" s="2" t="s">
        <v>43</v>
      </c>
      <c r="M130" s="2" t="s">
        <v>43</v>
      </c>
      <c r="N130" s="2" t="s">
        <v>43</v>
      </c>
      <c r="O130" s="2" t="s">
        <v>40</v>
      </c>
      <c r="P130" s="2" t="s">
        <v>44</v>
      </c>
      <c r="Q130" s="2" t="s">
        <v>45</v>
      </c>
      <c r="R130" s="2" t="s">
        <v>46</v>
      </c>
      <c r="S130" s="2" t="s">
        <v>48</v>
      </c>
      <c r="T130" s="2" t="s">
        <v>632</v>
      </c>
      <c r="U130" s="2" t="s">
        <v>43</v>
      </c>
      <c r="V130" s="2" t="s">
        <v>43</v>
      </c>
      <c r="W130" s="2" t="s">
        <v>43</v>
      </c>
      <c r="X130" s="2" t="s">
        <v>40</v>
      </c>
      <c r="Y130" s="2" t="s">
        <v>44</v>
      </c>
      <c r="Z130" s="2" t="s">
        <v>45</v>
      </c>
      <c r="AA130" s="2" t="s">
        <v>46</v>
      </c>
      <c r="AB130" s="2" t="s">
        <v>42</v>
      </c>
      <c r="AC130" s="2" t="s">
        <v>633</v>
      </c>
      <c r="AD130" s="2" t="s">
        <v>43</v>
      </c>
      <c r="AE130" s="2" t="s">
        <v>45</v>
      </c>
      <c r="AF130" s="2" t="s">
        <v>43</v>
      </c>
      <c r="AG130" s="2" t="s">
        <v>115</v>
      </c>
      <c r="AH130" s="2" t="s">
        <v>44</v>
      </c>
      <c r="AI130" s="2" t="s">
        <v>45</v>
      </c>
      <c r="AJ130" s="2" t="s">
        <v>46</v>
      </c>
      <c r="AK130" s="2" t="s">
        <v>42</v>
      </c>
      <c r="AL130" s="2" t="s">
        <v>634</v>
      </c>
    </row>
    <row r="131" spans="1:38" ht="405" x14ac:dyDescent="0.25">
      <c r="A131" s="2" t="s">
        <v>635</v>
      </c>
      <c r="B131" s="2" t="s">
        <v>636</v>
      </c>
      <c r="C131" s="2" t="s">
        <v>584</v>
      </c>
      <c r="D131" s="2"/>
      <c r="E131" s="2" t="s">
        <v>115</v>
      </c>
      <c r="F131" s="2" t="s">
        <v>114</v>
      </c>
      <c r="G131" s="2" t="s">
        <v>48</v>
      </c>
      <c r="H131" s="2">
        <v>1</v>
      </c>
      <c r="I131" s="2">
        <v>2</v>
      </c>
      <c r="J131" s="2">
        <v>0</v>
      </c>
      <c r="K131" s="2">
        <v>0</v>
      </c>
      <c r="L131" s="2" t="s">
        <v>43</v>
      </c>
      <c r="M131" s="2" t="s">
        <v>45</v>
      </c>
      <c r="N131" s="2" t="s">
        <v>43</v>
      </c>
      <c r="O131" s="2" t="s">
        <v>115</v>
      </c>
      <c r="P131" s="2" t="s">
        <v>44</v>
      </c>
      <c r="Q131" s="2" t="s">
        <v>45</v>
      </c>
      <c r="R131" s="2" t="s">
        <v>46</v>
      </c>
      <c r="S131" s="2" t="s">
        <v>48</v>
      </c>
      <c r="T131" s="2" t="s">
        <v>637</v>
      </c>
      <c r="U131" s="2" t="s">
        <v>43</v>
      </c>
      <c r="V131" s="2" t="s">
        <v>53</v>
      </c>
      <c r="W131" s="2" t="s">
        <v>43</v>
      </c>
      <c r="X131" s="2" t="s">
        <v>40</v>
      </c>
      <c r="Y131" s="2" t="s">
        <v>44</v>
      </c>
      <c r="Z131" s="2" t="s">
        <v>45</v>
      </c>
      <c r="AA131" s="2" t="s">
        <v>46</v>
      </c>
      <c r="AB131" s="2" t="s">
        <v>48</v>
      </c>
      <c r="AC131" s="2" t="s">
        <v>638</v>
      </c>
      <c r="AD131" s="2" t="s">
        <v>43</v>
      </c>
      <c r="AE131" s="2" t="s">
        <v>45</v>
      </c>
      <c r="AF131" s="2" t="s">
        <v>43</v>
      </c>
      <c r="AG131" s="2" t="s">
        <v>115</v>
      </c>
      <c r="AH131" s="2" t="s">
        <v>44</v>
      </c>
      <c r="AI131" s="2" t="s">
        <v>45</v>
      </c>
      <c r="AJ131" s="2" t="s">
        <v>46</v>
      </c>
      <c r="AK131" s="2" t="s">
        <v>48</v>
      </c>
      <c r="AL131" s="2" t="s">
        <v>639</v>
      </c>
    </row>
    <row r="132" spans="1:38" ht="330" x14ac:dyDescent="0.25">
      <c r="A132" s="2" t="s">
        <v>640</v>
      </c>
      <c r="B132" s="2" t="s">
        <v>641</v>
      </c>
      <c r="C132" s="2" t="s">
        <v>584</v>
      </c>
      <c r="D132" s="2"/>
      <c r="E132" s="2" t="s">
        <v>115</v>
      </c>
      <c r="F132" s="2" t="s">
        <v>114</v>
      </c>
      <c r="G132" s="2" t="s">
        <v>42</v>
      </c>
      <c r="H132" s="2">
        <v>1</v>
      </c>
      <c r="I132" s="2">
        <v>2</v>
      </c>
      <c r="J132" s="2">
        <v>0</v>
      </c>
      <c r="K132" s="2">
        <v>0</v>
      </c>
      <c r="L132" s="2" t="s">
        <v>43</v>
      </c>
      <c r="M132" s="2" t="s">
        <v>45</v>
      </c>
      <c r="N132" s="2" t="s">
        <v>43</v>
      </c>
      <c r="O132" s="2" t="s">
        <v>115</v>
      </c>
      <c r="P132" s="2" t="s">
        <v>54</v>
      </c>
      <c r="Q132" s="2" t="s">
        <v>45</v>
      </c>
      <c r="R132" s="2" t="s">
        <v>46</v>
      </c>
      <c r="S132" s="2" t="s">
        <v>42</v>
      </c>
      <c r="T132" s="2" t="s">
        <v>642</v>
      </c>
      <c r="U132" s="2" t="s">
        <v>43</v>
      </c>
      <c r="V132" s="2" t="s">
        <v>53</v>
      </c>
      <c r="W132" s="2" t="s">
        <v>43</v>
      </c>
      <c r="X132" s="2" t="s">
        <v>40</v>
      </c>
      <c r="Y132" s="2" t="s">
        <v>54</v>
      </c>
      <c r="Z132" s="2" t="s">
        <v>45</v>
      </c>
      <c r="AA132" s="2" t="s">
        <v>46</v>
      </c>
      <c r="AB132" s="2" t="s">
        <v>42</v>
      </c>
      <c r="AC132" s="2" t="s">
        <v>643</v>
      </c>
      <c r="AD132" s="2" t="s">
        <v>43</v>
      </c>
      <c r="AE132" s="2" t="s">
        <v>45</v>
      </c>
      <c r="AF132" s="2" t="s">
        <v>43</v>
      </c>
      <c r="AG132" s="2" t="s">
        <v>115</v>
      </c>
      <c r="AH132" s="2" t="s">
        <v>44</v>
      </c>
      <c r="AI132" s="2" t="s">
        <v>45</v>
      </c>
      <c r="AJ132" s="2" t="s">
        <v>46</v>
      </c>
      <c r="AK132" s="2" t="s">
        <v>42</v>
      </c>
      <c r="AL132" s="2" t="s">
        <v>644</v>
      </c>
    </row>
    <row r="133" spans="1:38" ht="409.5" x14ac:dyDescent="0.25">
      <c r="A133" s="2" t="s">
        <v>645</v>
      </c>
      <c r="B133" s="2" t="s">
        <v>646</v>
      </c>
      <c r="C133" s="2" t="s">
        <v>584</v>
      </c>
      <c r="D133" s="2"/>
      <c r="E133" s="2" t="s">
        <v>40</v>
      </c>
      <c r="F133" s="2" t="s">
        <v>114</v>
      </c>
      <c r="G133" s="2" t="s">
        <v>48</v>
      </c>
      <c r="H133" s="2">
        <v>2</v>
      </c>
      <c r="I133" s="2">
        <v>1</v>
      </c>
      <c r="J133" s="2">
        <v>0</v>
      </c>
      <c r="K133" s="2">
        <v>0</v>
      </c>
      <c r="L133" s="2" t="s">
        <v>43</v>
      </c>
      <c r="M133" s="2" t="s">
        <v>53</v>
      </c>
      <c r="N133" s="2" t="s">
        <v>43</v>
      </c>
      <c r="O133" s="2" t="s">
        <v>40</v>
      </c>
      <c r="P133" s="2" t="s">
        <v>44</v>
      </c>
      <c r="Q133" s="2" t="s">
        <v>45</v>
      </c>
      <c r="R133" s="2" t="s">
        <v>46</v>
      </c>
      <c r="S133" s="2" t="s">
        <v>48</v>
      </c>
      <c r="T133" s="2" t="s">
        <v>647</v>
      </c>
      <c r="U133" s="2" t="s">
        <v>43</v>
      </c>
      <c r="V133" s="2" t="s">
        <v>45</v>
      </c>
      <c r="W133" s="2" t="s">
        <v>53</v>
      </c>
      <c r="X133" s="2" t="s">
        <v>115</v>
      </c>
      <c r="Y133" s="2" t="s">
        <v>54</v>
      </c>
      <c r="Z133" s="2" t="s">
        <v>45</v>
      </c>
      <c r="AA133" s="2" t="s">
        <v>46</v>
      </c>
      <c r="AB133" s="2" t="s">
        <v>48</v>
      </c>
      <c r="AC133" s="2" t="s">
        <v>648</v>
      </c>
      <c r="AD133" s="2" t="s">
        <v>43</v>
      </c>
      <c r="AE133" s="2" t="s">
        <v>53</v>
      </c>
      <c r="AF133" s="2" t="s">
        <v>43</v>
      </c>
      <c r="AG133" s="2" t="s">
        <v>40</v>
      </c>
      <c r="AH133" s="2" t="s">
        <v>54</v>
      </c>
      <c r="AI133" s="2" t="s">
        <v>45</v>
      </c>
      <c r="AJ133" s="2" t="s">
        <v>46</v>
      </c>
      <c r="AK133" s="2" t="s">
        <v>48</v>
      </c>
      <c r="AL133" s="2" t="s">
        <v>649</v>
      </c>
    </row>
    <row r="134" spans="1:38" ht="345" x14ac:dyDescent="0.25">
      <c r="A134" s="2" t="s">
        <v>650</v>
      </c>
      <c r="B134" s="2" t="s">
        <v>651</v>
      </c>
      <c r="C134" s="2" t="s">
        <v>584</v>
      </c>
      <c r="D134" s="2"/>
      <c r="E134" s="2" t="s">
        <v>40</v>
      </c>
      <c r="F134" s="2" t="s">
        <v>114</v>
      </c>
      <c r="G134" s="2" t="s">
        <v>48</v>
      </c>
      <c r="H134" s="2">
        <v>2</v>
      </c>
      <c r="I134" s="2">
        <v>1</v>
      </c>
      <c r="J134" s="2">
        <v>0</v>
      </c>
      <c r="K134" s="2">
        <v>0</v>
      </c>
      <c r="L134" s="2" t="s">
        <v>43</v>
      </c>
      <c r="M134" s="2" t="s">
        <v>53</v>
      </c>
      <c r="N134" s="2" t="s">
        <v>43</v>
      </c>
      <c r="O134" s="2" t="s">
        <v>40</v>
      </c>
      <c r="P134" s="2" t="s">
        <v>44</v>
      </c>
      <c r="Q134" s="2" t="s">
        <v>45</v>
      </c>
      <c r="R134" s="2" t="s">
        <v>46</v>
      </c>
      <c r="S134" s="2" t="s">
        <v>48</v>
      </c>
      <c r="T134" s="2" t="s">
        <v>652</v>
      </c>
      <c r="U134" s="2" t="s">
        <v>43</v>
      </c>
      <c r="V134" s="2" t="s">
        <v>53</v>
      </c>
      <c r="W134" s="2" t="s">
        <v>43</v>
      </c>
      <c r="X134" s="2" t="s">
        <v>40</v>
      </c>
      <c r="Y134" s="2" t="s">
        <v>44</v>
      </c>
      <c r="Z134" s="2" t="s">
        <v>45</v>
      </c>
      <c r="AA134" s="2" t="s">
        <v>46</v>
      </c>
      <c r="AB134" s="2" t="s">
        <v>48</v>
      </c>
      <c r="AC134" s="2" t="s">
        <v>653</v>
      </c>
      <c r="AD134" s="2" t="s">
        <v>43</v>
      </c>
      <c r="AE134" s="2" t="s">
        <v>45</v>
      </c>
      <c r="AF134" s="2" t="s">
        <v>43</v>
      </c>
      <c r="AG134" s="2" t="s">
        <v>115</v>
      </c>
      <c r="AH134" s="2" t="s">
        <v>44</v>
      </c>
      <c r="AI134" s="2" t="s">
        <v>45</v>
      </c>
      <c r="AJ134" s="2" t="s">
        <v>46</v>
      </c>
      <c r="AK134" s="2" t="s">
        <v>48</v>
      </c>
      <c r="AL134" s="2" t="s">
        <v>654</v>
      </c>
    </row>
    <row r="135" spans="1:38" ht="360" x14ac:dyDescent="0.25">
      <c r="A135" s="2" t="s">
        <v>655</v>
      </c>
      <c r="B135" s="2" t="s">
        <v>656</v>
      </c>
      <c r="C135" s="2" t="s">
        <v>584</v>
      </c>
      <c r="D135" s="2"/>
      <c r="E135" s="2" t="s">
        <v>40</v>
      </c>
      <c r="F135" s="2" t="s">
        <v>114</v>
      </c>
      <c r="G135" s="2" t="s">
        <v>48</v>
      </c>
      <c r="H135" s="2">
        <v>2</v>
      </c>
      <c r="I135" s="2">
        <v>1</v>
      </c>
      <c r="J135" s="2">
        <v>0</v>
      </c>
      <c r="K135" s="2">
        <v>0</v>
      </c>
      <c r="L135" s="2" t="s">
        <v>53</v>
      </c>
      <c r="M135" s="2" t="s">
        <v>45</v>
      </c>
      <c r="N135" s="2" t="s">
        <v>43</v>
      </c>
      <c r="O135" s="2" t="s">
        <v>115</v>
      </c>
      <c r="P135" s="2" t="s">
        <v>54</v>
      </c>
      <c r="Q135" s="2" t="s">
        <v>45</v>
      </c>
      <c r="R135" s="2" t="s">
        <v>46</v>
      </c>
      <c r="S135" s="2" t="s">
        <v>42</v>
      </c>
      <c r="T135" s="2" t="s">
        <v>657</v>
      </c>
      <c r="U135" s="2" t="s">
        <v>43</v>
      </c>
      <c r="V135" s="2" t="s">
        <v>53</v>
      </c>
      <c r="W135" s="2" t="s">
        <v>43</v>
      </c>
      <c r="X135" s="2" t="s">
        <v>40</v>
      </c>
      <c r="Y135" s="2" t="s">
        <v>54</v>
      </c>
      <c r="Z135" s="2" t="s">
        <v>45</v>
      </c>
      <c r="AA135" s="2" t="s">
        <v>46</v>
      </c>
      <c r="AB135" s="2" t="s">
        <v>48</v>
      </c>
      <c r="AC135" s="2" t="s">
        <v>658</v>
      </c>
      <c r="AD135" s="2" t="s">
        <v>43</v>
      </c>
      <c r="AE135" s="2" t="s">
        <v>53</v>
      </c>
      <c r="AF135" s="2" t="s">
        <v>43</v>
      </c>
      <c r="AG135" s="2" t="s">
        <v>40</v>
      </c>
      <c r="AH135" s="2" t="s">
        <v>54</v>
      </c>
      <c r="AI135" s="2" t="s">
        <v>45</v>
      </c>
      <c r="AJ135" s="2" t="s">
        <v>46</v>
      </c>
      <c r="AK135" s="2" t="s">
        <v>48</v>
      </c>
      <c r="AL135" s="2" t="s">
        <v>658</v>
      </c>
    </row>
    <row r="136" spans="1:38" ht="409.5" x14ac:dyDescent="0.25">
      <c r="A136" s="2" t="s">
        <v>659</v>
      </c>
      <c r="B136" s="2" t="s">
        <v>660</v>
      </c>
      <c r="C136" s="2" t="s">
        <v>584</v>
      </c>
      <c r="D136" s="2"/>
      <c r="E136" s="2" t="s">
        <v>40</v>
      </c>
      <c r="F136" s="2" t="s">
        <v>114</v>
      </c>
      <c r="G136" s="2" t="s">
        <v>42</v>
      </c>
      <c r="H136" s="2">
        <v>2</v>
      </c>
      <c r="I136" s="2">
        <v>1</v>
      </c>
      <c r="J136" s="2">
        <v>0</v>
      </c>
      <c r="K136" s="2">
        <v>0</v>
      </c>
      <c r="L136" s="2" t="s">
        <v>43</v>
      </c>
      <c r="M136" s="2" t="s">
        <v>53</v>
      </c>
      <c r="N136" s="2" t="s">
        <v>43</v>
      </c>
      <c r="O136" s="2" t="s">
        <v>40</v>
      </c>
      <c r="P136" s="2" t="s">
        <v>54</v>
      </c>
      <c r="Q136" s="2" t="s">
        <v>45</v>
      </c>
      <c r="R136" s="2" t="s">
        <v>46</v>
      </c>
      <c r="S136" s="2" t="s">
        <v>42</v>
      </c>
      <c r="T136" s="2" t="s">
        <v>661</v>
      </c>
      <c r="U136" s="2" t="s">
        <v>43</v>
      </c>
      <c r="V136" s="2" t="s">
        <v>53</v>
      </c>
      <c r="W136" s="2" t="s">
        <v>43</v>
      </c>
      <c r="X136" s="2" t="s">
        <v>40</v>
      </c>
      <c r="Y136" s="2" t="s">
        <v>54</v>
      </c>
      <c r="Z136" s="2" t="s">
        <v>45</v>
      </c>
      <c r="AA136" s="2" t="s">
        <v>46</v>
      </c>
      <c r="AB136" s="2" t="s">
        <v>42</v>
      </c>
      <c r="AC136" s="2" t="s">
        <v>662</v>
      </c>
      <c r="AD136" s="2" t="s">
        <v>43</v>
      </c>
      <c r="AE136" s="2" t="s">
        <v>45</v>
      </c>
      <c r="AF136" s="2" t="s">
        <v>45</v>
      </c>
      <c r="AG136" s="2" t="s">
        <v>115</v>
      </c>
      <c r="AH136" s="2" t="s">
        <v>54</v>
      </c>
      <c r="AI136" s="2" t="s">
        <v>45</v>
      </c>
      <c r="AJ136" s="2" t="s">
        <v>46</v>
      </c>
      <c r="AK136" s="2" t="s">
        <v>42</v>
      </c>
      <c r="AL136" s="2" t="s">
        <v>663</v>
      </c>
    </row>
    <row r="137" spans="1:38" ht="390" x14ac:dyDescent="0.25">
      <c r="A137" s="2" t="s">
        <v>664</v>
      </c>
      <c r="B137" s="2" t="s">
        <v>665</v>
      </c>
      <c r="C137" s="2" t="s">
        <v>584</v>
      </c>
      <c r="D137" s="2"/>
      <c r="E137" s="2" t="s">
        <v>40</v>
      </c>
      <c r="F137" s="2" t="s">
        <v>114</v>
      </c>
      <c r="G137" s="2" t="s">
        <v>48</v>
      </c>
      <c r="H137" s="2">
        <v>2</v>
      </c>
      <c r="I137" s="2">
        <v>1</v>
      </c>
      <c r="J137" s="2">
        <v>0</v>
      </c>
      <c r="K137" s="2">
        <v>0</v>
      </c>
      <c r="L137" s="2" t="s">
        <v>43</v>
      </c>
      <c r="M137" s="2" t="s">
        <v>53</v>
      </c>
      <c r="N137" s="2" t="s">
        <v>43</v>
      </c>
      <c r="O137" s="2" t="s">
        <v>40</v>
      </c>
      <c r="P137" s="2" t="s">
        <v>44</v>
      </c>
      <c r="Q137" s="2" t="s">
        <v>45</v>
      </c>
      <c r="R137" s="2" t="s">
        <v>46</v>
      </c>
      <c r="S137" s="2" t="s">
        <v>48</v>
      </c>
      <c r="T137" s="2" t="s">
        <v>666</v>
      </c>
      <c r="U137" s="2" t="s">
        <v>43</v>
      </c>
      <c r="V137" s="2" t="s">
        <v>53</v>
      </c>
      <c r="W137" s="2" t="s">
        <v>45</v>
      </c>
      <c r="X137" s="2" t="s">
        <v>115</v>
      </c>
      <c r="Y137" s="2" t="s">
        <v>54</v>
      </c>
      <c r="Z137" s="2" t="s">
        <v>45</v>
      </c>
      <c r="AA137" s="2" t="s">
        <v>46</v>
      </c>
      <c r="AB137" s="2" t="s">
        <v>48</v>
      </c>
      <c r="AC137" s="2" t="s">
        <v>667</v>
      </c>
      <c r="AD137" s="2" t="s">
        <v>43</v>
      </c>
      <c r="AE137" s="2" t="s">
        <v>53</v>
      </c>
      <c r="AF137" s="2" t="s">
        <v>43</v>
      </c>
      <c r="AG137" s="2" t="s">
        <v>40</v>
      </c>
      <c r="AH137" s="2" t="s">
        <v>44</v>
      </c>
      <c r="AI137" s="2" t="s">
        <v>45</v>
      </c>
      <c r="AJ137" s="2" t="s">
        <v>46</v>
      </c>
      <c r="AK137" s="2" t="s">
        <v>42</v>
      </c>
      <c r="AL137" s="2" t="s">
        <v>668</v>
      </c>
    </row>
    <row r="138" spans="1:38" ht="390" x14ac:dyDescent="0.25">
      <c r="A138" s="2" t="s">
        <v>669</v>
      </c>
      <c r="B138" s="2" t="s">
        <v>670</v>
      </c>
      <c r="C138" s="2" t="s">
        <v>584</v>
      </c>
      <c r="D138" s="2"/>
      <c r="E138" s="2" t="s">
        <v>40</v>
      </c>
      <c r="F138" s="2" t="s">
        <v>114</v>
      </c>
      <c r="G138" s="2" t="s">
        <v>48</v>
      </c>
      <c r="H138" s="2">
        <v>2</v>
      </c>
      <c r="I138" s="2">
        <v>1</v>
      </c>
      <c r="J138" s="2">
        <v>0</v>
      </c>
      <c r="K138" s="2">
        <v>0</v>
      </c>
      <c r="L138" s="2" t="s">
        <v>43</v>
      </c>
      <c r="M138" s="2" t="s">
        <v>53</v>
      </c>
      <c r="N138" s="2" t="s">
        <v>43</v>
      </c>
      <c r="O138" s="2" t="s">
        <v>40</v>
      </c>
      <c r="P138" s="2" t="s">
        <v>44</v>
      </c>
      <c r="Q138" s="2" t="s">
        <v>45</v>
      </c>
      <c r="R138" s="2" t="s">
        <v>46</v>
      </c>
      <c r="S138" s="2" t="s">
        <v>48</v>
      </c>
      <c r="T138" s="2" t="s">
        <v>671</v>
      </c>
      <c r="U138" s="2" t="s">
        <v>43</v>
      </c>
      <c r="V138" s="2" t="s">
        <v>45</v>
      </c>
      <c r="W138" s="2" t="s">
        <v>43</v>
      </c>
      <c r="X138" s="2" t="s">
        <v>115</v>
      </c>
      <c r="Y138" s="2" t="s">
        <v>44</v>
      </c>
      <c r="Z138" s="2" t="s">
        <v>45</v>
      </c>
      <c r="AA138" s="2" t="s">
        <v>46</v>
      </c>
      <c r="AB138" s="2" t="s">
        <v>42</v>
      </c>
      <c r="AC138" s="2" t="s">
        <v>672</v>
      </c>
      <c r="AD138" s="2" t="s">
        <v>43</v>
      </c>
      <c r="AE138" s="2" t="s">
        <v>53</v>
      </c>
      <c r="AF138" s="2" t="s">
        <v>43</v>
      </c>
      <c r="AG138" s="2" t="s">
        <v>40</v>
      </c>
      <c r="AH138" s="2" t="s">
        <v>44</v>
      </c>
      <c r="AI138" s="2" t="s">
        <v>45</v>
      </c>
      <c r="AJ138" s="2" t="s">
        <v>46</v>
      </c>
      <c r="AK138" s="2" t="s">
        <v>48</v>
      </c>
      <c r="AL138" s="2" t="s">
        <v>671</v>
      </c>
    </row>
    <row r="139" spans="1:38" ht="300" x14ac:dyDescent="0.25">
      <c r="A139" s="2" t="s">
        <v>673</v>
      </c>
      <c r="B139" s="2" t="s">
        <v>674</v>
      </c>
      <c r="C139" s="2" t="s">
        <v>584</v>
      </c>
      <c r="D139" s="2"/>
      <c r="E139" s="2" t="s">
        <v>115</v>
      </c>
      <c r="F139" s="2" t="s">
        <v>114</v>
      </c>
      <c r="G139" s="2" t="s">
        <v>42</v>
      </c>
      <c r="H139" s="2">
        <v>1</v>
      </c>
      <c r="I139" s="2">
        <v>2</v>
      </c>
      <c r="J139" s="2">
        <v>0</v>
      </c>
      <c r="K139" s="2">
        <v>0</v>
      </c>
      <c r="L139" s="2" t="s">
        <v>43</v>
      </c>
      <c r="M139" s="2" t="s">
        <v>53</v>
      </c>
      <c r="N139" s="2" t="s">
        <v>43</v>
      </c>
      <c r="O139" s="2" t="s">
        <v>40</v>
      </c>
      <c r="P139" s="2" t="s">
        <v>54</v>
      </c>
      <c r="Q139" s="2" t="s">
        <v>45</v>
      </c>
      <c r="R139" s="2" t="s">
        <v>46</v>
      </c>
      <c r="S139" s="2" t="s">
        <v>42</v>
      </c>
      <c r="T139" s="2" t="s">
        <v>675</v>
      </c>
      <c r="U139" s="2" t="s">
        <v>43</v>
      </c>
      <c r="V139" s="2" t="s">
        <v>45</v>
      </c>
      <c r="W139" s="2" t="s">
        <v>45</v>
      </c>
      <c r="X139" s="2" t="s">
        <v>115</v>
      </c>
      <c r="Y139" s="2" t="s">
        <v>44</v>
      </c>
      <c r="Z139" s="2" t="s">
        <v>45</v>
      </c>
      <c r="AA139" s="2" t="s">
        <v>46</v>
      </c>
      <c r="AB139" s="2" t="s">
        <v>42</v>
      </c>
      <c r="AC139" s="2" t="s">
        <v>676</v>
      </c>
      <c r="AD139" s="2" t="s">
        <v>43</v>
      </c>
      <c r="AE139" s="2" t="s">
        <v>45</v>
      </c>
      <c r="AF139" s="2" t="s">
        <v>45</v>
      </c>
      <c r="AG139" s="2" t="s">
        <v>115</v>
      </c>
      <c r="AH139" s="2" t="s">
        <v>44</v>
      </c>
      <c r="AI139" s="2" t="s">
        <v>45</v>
      </c>
      <c r="AJ139" s="2" t="s">
        <v>46</v>
      </c>
      <c r="AK139" s="2" t="s">
        <v>42</v>
      </c>
      <c r="AL139" s="2" t="s">
        <v>677</v>
      </c>
    </row>
    <row r="140" spans="1:38" ht="409.5" x14ac:dyDescent="0.25">
      <c r="A140" s="2" t="s">
        <v>678</v>
      </c>
      <c r="B140" s="2" t="s">
        <v>679</v>
      </c>
      <c r="C140" s="2" t="s">
        <v>584</v>
      </c>
      <c r="D140" s="2"/>
      <c r="E140" s="2" t="s">
        <v>115</v>
      </c>
      <c r="F140" s="2" t="s">
        <v>114</v>
      </c>
      <c r="G140" s="2" t="s">
        <v>42</v>
      </c>
      <c r="H140" s="2">
        <v>1</v>
      </c>
      <c r="I140" s="2">
        <v>2</v>
      </c>
      <c r="J140" s="2">
        <v>0</v>
      </c>
      <c r="K140" s="2">
        <v>0</v>
      </c>
      <c r="L140" s="2" t="s">
        <v>43</v>
      </c>
      <c r="M140" s="2" t="s">
        <v>45</v>
      </c>
      <c r="N140" s="2" t="s">
        <v>43</v>
      </c>
      <c r="O140" s="2" t="s">
        <v>115</v>
      </c>
      <c r="P140" s="2" t="s">
        <v>44</v>
      </c>
      <c r="Q140" s="2" t="s">
        <v>45</v>
      </c>
      <c r="R140" s="2" t="s">
        <v>46</v>
      </c>
      <c r="S140" s="2" t="s">
        <v>42</v>
      </c>
      <c r="T140" s="2" t="s">
        <v>680</v>
      </c>
      <c r="U140" s="2" t="s">
        <v>43</v>
      </c>
      <c r="V140" s="2" t="s">
        <v>53</v>
      </c>
      <c r="W140" s="2" t="s">
        <v>43</v>
      </c>
      <c r="X140" s="2" t="s">
        <v>40</v>
      </c>
      <c r="Y140" s="2" t="s">
        <v>44</v>
      </c>
      <c r="Z140" s="2" t="s">
        <v>45</v>
      </c>
      <c r="AA140" s="2" t="s">
        <v>46</v>
      </c>
      <c r="AB140" s="2" t="s">
        <v>42</v>
      </c>
      <c r="AC140" s="2" t="s">
        <v>681</v>
      </c>
      <c r="AD140" s="2" t="s">
        <v>43</v>
      </c>
      <c r="AE140" s="2" t="s">
        <v>45</v>
      </c>
      <c r="AF140" s="2" t="s">
        <v>43</v>
      </c>
      <c r="AG140" s="2" t="s">
        <v>115</v>
      </c>
      <c r="AH140" s="2" t="s">
        <v>44</v>
      </c>
      <c r="AI140" s="2" t="s">
        <v>45</v>
      </c>
      <c r="AJ140" s="2" t="s">
        <v>46</v>
      </c>
      <c r="AK140" s="2" t="s">
        <v>42</v>
      </c>
      <c r="AL140" s="2" t="s">
        <v>682</v>
      </c>
    </row>
    <row r="141" spans="1:38" ht="409.5" x14ac:dyDescent="0.25">
      <c r="A141" s="2" t="s">
        <v>683</v>
      </c>
      <c r="B141" s="2" t="s">
        <v>684</v>
      </c>
      <c r="C141" s="2" t="s">
        <v>584</v>
      </c>
      <c r="D141" s="2"/>
      <c r="E141" s="2" t="s">
        <v>115</v>
      </c>
      <c r="F141" s="2" t="s">
        <v>114</v>
      </c>
      <c r="G141" s="2" t="s">
        <v>42</v>
      </c>
      <c r="H141" s="2">
        <v>1</v>
      </c>
      <c r="I141" s="2">
        <v>2</v>
      </c>
      <c r="J141" s="2">
        <v>0</v>
      </c>
      <c r="K141" s="2">
        <v>0</v>
      </c>
      <c r="L141" s="2" t="s">
        <v>43</v>
      </c>
      <c r="M141" s="2" t="s">
        <v>43</v>
      </c>
      <c r="N141" s="2" t="s">
        <v>43</v>
      </c>
      <c r="O141" s="2" t="s">
        <v>40</v>
      </c>
      <c r="P141" s="2" t="s">
        <v>44</v>
      </c>
      <c r="Q141" s="2" t="s">
        <v>45</v>
      </c>
      <c r="R141" s="2" t="s">
        <v>46</v>
      </c>
      <c r="S141" s="2" t="s">
        <v>42</v>
      </c>
      <c r="T141" s="2" t="s">
        <v>685</v>
      </c>
      <c r="U141" s="2" t="s">
        <v>53</v>
      </c>
      <c r="V141" s="2" t="s">
        <v>53</v>
      </c>
      <c r="W141" s="2" t="s">
        <v>43</v>
      </c>
      <c r="X141" s="2" t="s">
        <v>115</v>
      </c>
      <c r="Y141" s="2" t="s">
        <v>54</v>
      </c>
      <c r="Z141" s="2" t="s">
        <v>45</v>
      </c>
      <c r="AA141" s="2" t="s">
        <v>46</v>
      </c>
      <c r="AB141" s="2" t="s">
        <v>42</v>
      </c>
      <c r="AC141" s="2" t="s">
        <v>686</v>
      </c>
      <c r="AD141" s="2" t="s">
        <v>53</v>
      </c>
      <c r="AE141" s="2" t="s">
        <v>53</v>
      </c>
      <c r="AF141" s="2" t="s">
        <v>43</v>
      </c>
      <c r="AG141" s="2" t="s">
        <v>115</v>
      </c>
      <c r="AH141" s="2" t="s">
        <v>54</v>
      </c>
      <c r="AI141" s="2" t="s">
        <v>45</v>
      </c>
      <c r="AJ141" s="2" t="s">
        <v>46</v>
      </c>
      <c r="AK141" s="2" t="s">
        <v>42</v>
      </c>
      <c r="AL141" s="2" t="s">
        <v>687</v>
      </c>
    </row>
    <row r="142" spans="1:38" ht="405" x14ac:dyDescent="0.25">
      <c r="A142" s="2" t="s">
        <v>688</v>
      </c>
      <c r="B142" s="2" t="s">
        <v>689</v>
      </c>
      <c r="C142" s="2" t="s">
        <v>584</v>
      </c>
      <c r="D142" s="2"/>
      <c r="E142" s="2" t="s">
        <v>115</v>
      </c>
      <c r="F142" s="2" t="s">
        <v>114</v>
      </c>
      <c r="G142" s="2" t="s">
        <v>42</v>
      </c>
      <c r="H142" s="2">
        <v>1</v>
      </c>
      <c r="I142" s="2">
        <v>2</v>
      </c>
      <c r="J142" s="2">
        <v>0</v>
      </c>
      <c r="K142" s="2">
        <v>0</v>
      </c>
      <c r="L142" s="2" t="s">
        <v>43</v>
      </c>
      <c r="M142" s="2" t="s">
        <v>53</v>
      </c>
      <c r="N142" s="2" t="s">
        <v>45</v>
      </c>
      <c r="O142" s="2" t="s">
        <v>115</v>
      </c>
      <c r="P142" s="2" t="s">
        <v>54</v>
      </c>
      <c r="Q142" s="2" t="s">
        <v>45</v>
      </c>
      <c r="R142" s="2" t="s">
        <v>46</v>
      </c>
      <c r="S142" s="2" t="s">
        <v>42</v>
      </c>
      <c r="T142" s="2" t="s">
        <v>690</v>
      </c>
      <c r="U142" s="2" t="s">
        <v>43</v>
      </c>
      <c r="V142" s="2" t="s">
        <v>53</v>
      </c>
      <c r="W142" s="2" t="s">
        <v>45</v>
      </c>
      <c r="X142" s="2" t="s">
        <v>115</v>
      </c>
      <c r="Y142" s="2" t="s">
        <v>44</v>
      </c>
      <c r="Z142" s="2" t="s">
        <v>45</v>
      </c>
      <c r="AA142" s="2" t="s">
        <v>46</v>
      </c>
      <c r="AB142" s="2" t="s">
        <v>42</v>
      </c>
      <c r="AC142" s="2" t="s">
        <v>691</v>
      </c>
      <c r="AD142" s="2" t="s">
        <v>43</v>
      </c>
      <c r="AE142" s="2" t="s">
        <v>43</v>
      </c>
      <c r="AF142" s="2" t="s">
        <v>43</v>
      </c>
      <c r="AG142" s="2" t="s">
        <v>40</v>
      </c>
      <c r="AH142" s="2" t="s">
        <v>44</v>
      </c>
      <c r="AI142" s="2" t="s">
        <v>45</v>
      </c>
      <c r="AJ142" s="2" t="s">
        <v>46</v>
      </c>
      <c r="AK142" s="2" t="s">
        <v>42</v>
      </c>
      <c r="AL142" s="2" t="s">
        <v>692</v>
      </c>
    </row>
    <row r="143" spans="1:38" ht="330" x14ac:dyDescent="0.25">
      <c r="A143" s="2" t="s">
        <v>693</v>
      </c>
      <c r="B143" s="2" t="s">
        <v>694</v>
      </c>
      <c r="C143" s="2" t="s">
        <v>584</v>
      </c>
      <c r="D143" s="2"/>
      <c r="E143" s="2" t="s">
        <v>115</v>
      </c>
      <c r="F143" s="2" t="s">
        <v>114</v>
      </c>
      <c r="G143" s="2" t="s">
        <v>42</v>
      </c>
      <c r="H143" s="2">
        <v>1</v>
      </c>
      <c r="I143" s="2">
        <v>2</v>
      </c>
      <c r="J143" s="2">
        <v>0</v>
      </c>
      <c r="K143" s="2">
        <v>0</v>
      </c>
      <c r="L143" s="2" t="s">
        <v>43</v>
      </c>
      <c r="M143" s="2" t="s">
        <v>43</v>
      </c>
      <c r="N143" s="2" t="s">
        <v>43</v>
      </c>
      <c r="O143" s="2" t="s">
        <v>40</v>
      </c>
      <c r="P143" s="2" t="s">
        <v>44</v>
      </c>
      <c r="Q143" s="2" t="s">
        <v>45</v>
      </c>
      <c r="R143" s="2" t="s">
        <v>46</v>
      </c>
      <c r="S143" s="2" t="s">
        <v>42</v>
      </c>
      <c r="T143" s="2" t="s">
        <v>695</v>
      </c>
      <c r="U143" s="2" t="s">
        <v>43</v>
      </c>
      <c r="V143" s="2" t="s">
        <v>53</v>
      </c>
      <c r="W143" s="2" t="s">
        <v>45</v>
      </c>
      <c r="X143" s="2" t="s">
        <v>115</v>
      </c>
      <c r="Y143" s="2" t="s">
        <v>44</v>
      </c>
      <c r="Z143" s="2" t="s">
        <v>45</v>
      </c>
      <c r="AA143" s="2" t="s">
        <v>46</v>
      </c>
      <c r="AB143" s="2" t="s">
        <v>42</v>
      </c>
      <c r="AC143" s="2" t="s">
        <v>696</v>
      </c>
      <c r="AD143" s="2" t="s">
        <v>43</v>
      </c>
      <c r="AE143" s="2" t="s">
        <v>53</v>
      </c>
      <c r="AF143" s="2" t="s">
        <v>45</v>
      </c>
      <c r="AG143" s="2" t="s">
        <v>115</v>
      </c>
      <c r="AH143" s="2" t="s">
        <v>44</v>
      </c>
      <c r="AI143" s="2" t="s">
        <v>45</v>
      </c>
      <c r="AJ143" s="2" t="s">
        <v>46</v>
      </c>
      <c r="AK143" s="2" t="s">
        <v>48</v>
      </c>
      <c r="AL143" s="2" t="s">
        <v>697</v>
      </c>
    </row>
    <row r="144" spans="1:38" ht="345" x14ac:dyDescent="0.25">
      <c r="A144" s="2" t="s">
        <v>698</v>
      </c>
      <c r="B144" s="2" t="s">
        <v>699</v>
      </c>
      <c r="C144" s="2" t="s">
        <v>584</v>
      </c>
      <c r="D144" s="2"/>
      <c r="E144" s="2" t="s">
        <v>40</v>
      </c>
      <c r="F144" s="2" t="s">
        <v>114</v>
      </c>
      <c r="G144" s="2" t="s">
        <v>42</v>
      </c>
      <c r="H144" s="2">
        <v>2</v>
      </c>
      <c r="I144" s="2">
        <v>1</v>
      </c>
      <c r="J144" s="2">
        <v>0</v>
      </c>
      <c r="K144" s="2">
        <v>0</v>
      </c>
      <c r="L144" s="2" t="s">
        <v>43</v>
      </c>
      <c r="M144" s="2" t="s">
        <v>53</v>
      </c>
      <c r="N144" s="2" t="s">
        <v>43</v>
      </c>
      <c r="O144" s="2" t="s">
        <v>40</v>
      </c>
      <c r="P144" s="2" t="s">
        <v>44</v>
      </c>
      <c r="Q144" s="2" t="s">
        <v>45</v>
      </c>
      <c r="R144" s="2" t="s">
        <v>46</v>
      </c>
      <c r="S144" s="2" t="s">
        <v>42</v>
      </c>
      <c r="T144" s="2" t="s">
        <v>700</v>
      </c>
      <c r="U144" s="2" t="s">
        <v>43</v>
      </c>
      <c r="V144" s="2" t="s">
        <v>45</v>
      </c>
      <c r="W144" s="2" t="s">
        <v>43</v>
      </c>
      <c r="X144" s="2" t="s">
        <v>115</v>
      </c>
      <c r="Y144" s="2" t="s">
        <v>44</v>
      </c>
      <c r="Z144" s="2" t="s">
        <v>45</v>
      </c>
      <c r="AA144" s="2" t="s">
        <v>46</v>
      </c>
      <c r="AB144" s="2" t="s">
        <v>48</v>
      </c>
      <c r="AC144" s="2" t="s">
        <v>701</v>
      </c>
      <c r="AD144" s="2" t="s">
        <v>43</v>
      </c>
      <c r="AE144" s="2" t="s">
        <v>53</v>
      </c>
      <c r="AF144" s="2" t="s">
        <v>43</v>
      </c>
      <c r="AG144" s="2" t="s">
        <v>40</v>
      </c>
      <c r="AH144" s="2" t="s">
        <v>44</v>
      </c>
      <c r="AI144" s="2" t="s">
        <v>45</v>
      </c>
      <c r="AJ144" s="2" t="s">
        <v>46</v>
      </c>
      <c r="AK144" s="2" t="s">
        <v>42</v>
      </c>
      <c r="AL144" s="2" t="s">
        <v>702</v>
      </c>
    </row>
    <row r="145" spans="1:38" ht="409.5" x14ac:dyDescent="0.25">
      <c r="A145" s="2" t="s">
        <v>703</v>
      </c>
      <c r="B145" s="2" t="s">
        <v>704</v>
      </c>
      <c r="C145" s="2" t="s">
        <v>584</v>
      </c>
      <c r="D145" s="2"/>
      <c r="E145" s="2" t="s">
        <v>40</v>
      </c>
      <c r="F145" s="2" t="s">
        <v>114</v>
      </c>
      <c r="G145" s="2" t="s">
        <v>42</v>
      </c>
      <c r="H145" s="2">
        <v>2</v>
      </c>
      <c r="I145" s="2">
        <v>1</v>
      </c>
      <c r="J145" s="2">
        <v>0</v>
      </c>
      <c r="K145" s="2">
        <v>0</v>
      </c>
      <c r="L145" s="2" t="s">
        <v>43</v>
      </c>
      <c r="M145" s="2" t="s">
        <v>53</v>
      </c>
      <c r="N145" s="2" t="s">
        <v>43</v>
      </c>
      <c r="O145" s="2" t="s">
        <v>40</v>
      </c>
      <c r="P145" s="2" t="s">
        <v>44</v>
      </c>
      <c r="Q145" s="2" t="s">
        <v>45</v>
      </c>
      <c r="R145" s="2" t="s">
        <v>46</v>
      </c>
      <c r="S145" s="2" t="s">
        <v>42</v>
      </c>
      <c r="T145" s="2" t="s">
        <v>705</v>
      </c>
      <c r="U145" s="2" t="s">
        <v>43</v>
      </c>
      <c r="V145" s="2" t="s">
        <v>45</v>
      </c>
      <c r="W145" s="2" t="s">
        <v>43</v>
      </c>
      <c r="X145" s="2" t="s">
        <v>115</v>
      </c>
      <c r="Y145" s="2" t="s">
        <v>44</v>
      </c>
      <c r="Z145" s="2" t="s">
        <v>45</v>
      </c>
      <c r="AA145" s="2" t="s">
        <v>46</v>
      </c>
      <c r="AB145" s="2" t="s">
        <v>42</v>
      </c>
      <c r="AC145" s="2" t="s">
        <v>706</v>
      </c>
      <c r="AD145" s="2" t="s">
        <v>43</v>
      </c>
      <c r="AE145" s="2" t="s">
        <v>53</v>
      </c>
      <c r="AF145" s="2" t="s">
        <v>43</v>
      </c>
      <c r="AG145" s="2" t="s">
        <v>40</v>
      </c>
      <c r="AH145" s="2" t="s">
        <v>44</v>
      </c>
      <c r="AI145" s="2" t="s">
        <v>45</v>
      </c>
      <c r="AJ145" s="2" t="s">
        <v>46</v>
      </c>
      <c r="AK145" s="2" t="s">
        <v>42</v>
      </c>
      <c r="AL145" s="2" t="s">
        <v>707</v>
      </c>
    </row>
    <row r="146" spans="1:38" ht="409.5" x14ac:dyDescent="0.25">
      <c r="A146" s="2" t="s">
        <v>708</v>
      </c>
      <c r="B146" s="2" t="s">
        <v>709</v>
      </c>
      <c r="C146" s="2" t="s">
        <v>584</v>
      </c>
      <c r="D146" s="2"/>
      <c r="E146" s="2" t="s">
        <v>40</v>
      </c>
      <c r="F146" s="2" t="s">
        <v>114</v>
      </c>
      <c r="G146" s="2" t="s">
        <v>42</v>
      </c>
      <c r="H146" s="2">
        <v>2</v>
      </c>
      <c r="I146" s="2">
        <v>1</v>
      </c>
      <c r="J146" s="2">
        <v>0</v>
      </c>
      <c r="K146" s="2">
        <v>0</v>
      </c>
      <c r="L146" s="2" t="s">
        <v>43</v>
      </c>
      <c r="M146" s="2" t="s">
        <v>53</v>
      </c>
      <c r="N146" s="2" t="s">
        <v>43</v>
      </c>
      <c r="O146" s="2" t="s">
        <v>40</v>
      </c>
      <c r="P146" s="2" t="s">
        <v>54</v>
      </c>
      <c r="Q146" s="2" t="s">
        <v>45</v>
      </c>
      <c r="R146" s="2" t="s">
        <v>46</v>
      </c>
      <c r="S146" s="2" t="s">
        <v>42</v>
      </c>
      <c r="T146" s="2" t="s">
        <v>710</v>
      </c>
      <c r="U146" s="2" t="s">
        <v>53</v>
      </c>
      <c r="V146" s="2" t="s">
        <v>45</v>
      </c>
      <c r="W146" s="2" t="s">
        <v>43</v>
      </c>
      <c r="X146" s="2" t="s">
        <v>115</v>
      </c>
      <c r="Y146" s="2" t="s">
        <v>54</v>
      </c>
      <c r="Z146" s="2" t="s">
        <v>45</v>
      </c>
      <c r="AA146" s="2" t="s">
        <v>46</v>
      </c>
      <c r="AB146" s="2" t="s">
        <v>42</v>
      </c>
      <c r="AC146" s="2" t="s">
        <v>711</v>
      </c>
      <c r="AD146" s="2" t="s">
        <v>43</v>
      </c>
      <c r="AE146" s="2" t="s">
        <v>53</v>
      </c>
      <c r="AF146" s="2" t="s">
        <v>43</v>
      </c>
      <c r="AG146" s="2" t="s">
        <v>40</v>
      </c>
      <c r="AH146" s="2" t="s">
        <v>54</v>
      </c>
      <c r="AI146" s="2" t="s">
        <v>45</v>
      </c>
      <c r="AJ146" s="2" t="s">
        <v>46</v>
      </c>
      <c r="AK146" s="2" t="s">
        <v>42</v>
      </c>
      <c r="AL146" s="2" t="s">
        <v>712</v>
      </c>
    </row>
  </sheetData>
  <autoFilter ref="A1:AL14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146"/>
  <sheetViews>
    <sheetView tabSelected="1" topLeftCell="B1" workbookViewId="0">
      <pane ySplit="1" topLeftCell="A44" activePane="bottomLeft" state="frozen"/>
      <selection pane="bottomLeft" activeCell="G1" sqref="G1"/>
    </sheetView>
  </sheetViews>
  <sheetFormatPr defaultRowHeight="15" x14ac:dyDescent="0.25"/>
  <cols>
    <col min="1" max="2" width="55" customWidth="1"/>
    <col min="3" max="3" width="18" customWidth="1"/>
    <col min="4" max="6" width="12" customWidth="1"/>
    <col min="7" max="7" width="16" customWidth="1"/>
    <col min="8" max="8" width="14" customWidth="1"/>
    <col min="9" max="9" width="18" customWidth="1"/>
  </cols>
  <sheetData>
    <row r="1" spans="1:9" ht="30" x14ac:dyDescent="0.25">
      <c r="A1" s="1" t="s">
        <v>0</v>
      </c>
      <c r="B1" s="1" t="s">
        <v>1</v>
      </c>
      <c r="C1" s="1" t="s">
        <v>2</v>
      </c>
      <c r="D1" s="1" t="s">
        <v>713</v>
      </c>
      <c r="E1" s="1" t="s">
        <v>714</v>
      </c>
      <c r="F1" s="1" t="s">
        <v>715</v>
      </c>
      <c r="G1" s="1" t="s">
        <v>716</v>
      </c>
      <c r="H1" s="1" t="s">
        <v>717</v>
      </c>
      <c r="I1" s="1" t="s">
        <v>718</v>
      </c>
    </row>
    <row r="2" spans="1:9" ht="405" x14ac:dyDescent="0.25">
      <c r="A2" s="2" t="s">
        <v>38</v>
      </c>
      <c r="B2" s="2" t="s">
        <v>39</v>
      </c>
      <c r="C2" s="2" t="s">
        <v>40</v>
      </c>
      <c r="D2" s="2" t="str">
        <f>VLOOKUP(A2,[1]Manual_Coding_Template!$A$2:$I$154,4,FALSE)</f>
        <v>Yes</v>
      </c>
      <c r="E2" s="2" t="str">
        <f>VLOOKUP(A2,[1]Manual_Coding_Template!$A$2:$I$154,5,FALSE)</f>
        <v>Partially</v>
      </c>
      <c r="F2" s="2" t="str">
        <f>VLOOKUP(A2,[1]Manual_Coding_Template!$A$2:$I$154,6,FALSE)</f>
        <v>Partially</v>
      </c>
      <c r="G2" s="2" t="str">
        <f>VLOOKUP(A2,[1]Manual_Coding_Template!$A$2:$I$154,7,FALSE)</f>
        <v>Included</v>
      </c>
      <c r="H2" s="2" t="str">
        <f>VLOOKUP(A2,[1]Manual_Coding_Template!$A$2:$I$154,8,FALSE)</f>
        <v>Include for full-text screening: the abstract explicitly focuses on computational thinking instruction and assessment and discusses CT concepts applied in problem-solving activities, suggesting a possible operationalization of CT in learning tasks.</v>
      </c>
      <c r="I2" s="2">
        <f>VLOOKUP(A2,[1]Manual_Coding_Template!$A$2:$I$154,9,FALSE)</f>
        <v>0</v>
      </c>
    </row>
    <row r="3" spans="1:9" ht="300" x14ac:dyDescent="0.25">
      <c r="A3" s="2" t="s">
        <v>51</v>
      </c>
      <c r="B3" s="2" t="s">
        <v>52</v>
      </c>
      <c r="C3" s="2" t="s">
        <v>40</v>
      </c>
      <c r="D3" s="2" t="s">
        <v>43</v>
      </c>
      <c r="E3" s="2" t="s">
        <v>43</v>
      </c>
      <c r="F3" s="2" t="s">
        <v>43</v>
      </c>
      <c r="G3" s="2" t="s">
        <v>40</v>
      </c>
      <c r="H3" s="2" t="s">
        <v>845</v>
      </c>
      <c r="I3" s="2"/>
    </row>
    <row r="4" spans="1:9" ht="409.5" x14ac:dyDescent="0.25">
      <c r="A4" s="2" t="s">
        <v>58</v>
      </c>
      <c r="B4" s="2" t="s">
        <v>59</v>
      </c>
      <c r="C4" s="2" t="s">
        <v>40</v>
      </c>
      <c r="D4" s="2" t="str">
        <f>VLOOKUP(A4,[1]Manual_Coding_Template!$A$2:$I$154,4,FALSE)</f>
        <v>Yes</v>
      </c>
      <c r="E4" s="2" t="str">
        <f>VLOOKUP(A4,[1]Manual_Coding_Template!$A$2:$I$154,5,FALSE)</f>
        <v>Partially</v>
      </c>
      <c r="F4" s="2" t="str">
        <f>VLOOKUP(A4,[1]Manual_Coding_Template!$A$2:$I$154,6,FALSE)</f>
        <v>Yes</v>
      </c>
      <c r="G4" s="2" t="str">
        <f>VLOOKUP(A4,[1]Manual_Coding_Template!$A$2:$I$154,7,FALSE)</f>
        <v>Included</v>
      </c>
      <c r="H4" s="2" t="str">
        <f>VLOOKUP(A4,[1]Manual_Coding_Template!$A$2:$I$154,8,FALSE)</f>
        <v>Include for full-text screening: the study explicitly focuses on computational thinking development through Scratch programming in a K–12 educational setting, suggesting a link between CT and programming practices.</v>
      </c>
      <c r="I4" s="2"/>
    </row>
    <row r="5" spans="1:9" ht="409.5" x14ac:dyDescent="0.25">
      <c r="A5" s="2" t="s">
        <v>62</v>
      </c>
      <c r="B5" s="2" t="s">
        <v>63</v>
      </c>
      <c r="C5" s="2" t="s">
        <v>40</v>
      </c>
      <c r="D5" s="2" t="s">
        <v>43</v>
      </c>
      <c r="E5" s="2" t="s">
        <v>53</v>
      </c>
      <c r="F5" s="2" t="s">
        <v>53</v>
      </c>
      <c r="G5" s="2" t="s">
        <v>115</v>
      </c>
      <c r="H5" s="2" t="s">
        <v>848</v>
      </c>
      <c r="I5" s="2"/>
    </row>
    <row r="6" spans="1:9" ht="409.5" x14ac:dyDescent="0.25">
      <c r="A6" s="2" t="s">
        <v>67</v>
      </c>
      <c r="B6" s="2" t="s">
        <v>68</v>
      </c>
      <c r="C6" s="2" t="s">
        <v>40</v>
      </c>
      <c r="D6" s="2" t="str">
        <f>VLOOKUP(A6,[1]Manual_Coding_Template!$A$2:$I$154,4,FALSE)</f>
        <v>Yes</v>
      </c>
      <c r="E6" s="2" t="str">
        <f>VLOOKUP(A6,[1]Manual_Coding_Template!$A$2:$I$154,5,FALSE)</f>
        <v>Yes</v>
      </c>
      <c r="F6" s="2" t="str">
        <f>VLOOKUP(A6,[1]Manual_Coding_Template!$A$2:$I$154,6,FALSE)</f>
        <v>Yes</v>
      </c>
      <c r="G6" s="2" t="str">
        <f>VLOOKUP(A6,[1]Manual_Coding_Template!$A$2:$I$154,7,FALSE)</f>
        <v>Included</v>
      </c>
      <c r="H6" s="2" t="str">
        <f>VLOOKUP(A6,[1]Manual_Coding_Template!$A$2:$I$154,8,FALSE)</f>
        <v>Included for full-text screening: the study explicitly investigates computational thinking development through a coding curriculum using programmable robots, suggesting a clear connection between CT and programming activities.</v>
      </c>
      <c r="I6" s="2"/>
    </row>
    <row r="7" spans="1:9" ht="330" x14ac:dyDescent="0.25">
      <c r="A7" s="2" t="s">
        <v>71</v>
      </c>
      <c r="B7" s="2" t="s">
        <v>72</v>
      </c>
      <c r="C7" s="2" t="s">
        <v>40</v>
      </c>
      <c r="D7" s="2" t="str">
        <f>VLOOKUP(A7,[1]Manual_Coding_Template!$A$2:$I$154,4,FALSE)</f>
        <v>Yes</v>
      </c>
      <c r="E7" s="2" t="str">
        <f>VLOOKUP(A7,[1]Manual_Coding_Template!$A$2:$I$154,5,FALSE)</f>
        <v>Partially</v>
      </c>
      <c r="F7" s="2" t="str">
        <f>VLOOKUP(A7,[1]Manual_Coding_Template!$A$2:$I$154,6,FALSE)</f>
        <v>Yes</v>
      </c>
      <c r="G7" s="2" t="str">
        <f>VLOOKUP(A7,[1]Manual_Coding_Template!$A$2:$I$154,7,FALSE)</f>
        <v>Included</v>
      </c>
      <c r="H7" s="2" t="str">
        <f>VLOOKUP(A7,[1]Manual_Coding_Template!$A$2:$I$154,8,FALSE)</f>
        <v>Include for full-text screening: the abstract explicitly addresses computational thinking in a programming-related context and suggests a possible connection between CT and programming.</v>
      </c>
      <c r="I7" s="2"/>
    </row>
    <row r="8" spans="1:9" ht="210" x14ac:dyDescent="0.25">
      <c r="A8" s="2" t="s">
        <v>75</v>
      </c>
      <c r="B8" s="2" t="s">
        <v>76</v>
      </c>
      <c r="C8" s="2" t="s">
        <v>40</v>
      </c>
      <c r="D8" s="2" t="s">
        <v>45</v>
      </c>
      <c r="E8" s="2" t="s">
        <v>45</v>
      </c>
      <c r="F8" s="2" t="s">
        <v>43</v>
      </c>
      <c r="G8" s="2" t="s">
        <v>115</v>
      </c>
      <c r="H8" s="2" t="s">
        <v>849</v>
      </c>
      <c r="I8" s="2"/>
    </row>
    <row r="9" spans="1:9" ht="285" x14ac:dyDescent="0.25">
      <c r="A9" s="2" t="s">
        <v>78</v>
      </c>
      <c r="B9" s="2" t="s">
        <v>79</v>
      </c>
      <c r="C9" s="2" t="s">
        <v>40</v>
      </c>
      <c r="D9" s="2" t="s">
        <v>43</v>
      </c>
      <c r="E9" s="2" t="s">
        <v>43</v>
      </c>
      <c r="F9" s="2" t="s">
        <v>43</v>
      </c>
      <c r="G9" s="2" t="s">
        <v>40</v>
      </c>
      <c r="H9" s="2" t="s">
        <v>850</v>
      </c>
      <c r="I9" s="2"/>
    </row>
    <row r="10" spans="1:9" ht="345" x14ac:dyDescent="0.25">
      <c r="A10" s="2" t="s">
        <v>82</v>
      </c>
      <c r="B10" s="2" t="s">
        <v>83</v>
      </c>
      <c r="C10" s="2" t="s">
        <v>40</v>
      </c>
      <c r="D10" s="2" t="s">
        <v>43</v>
      </c>
      <c r="E10" s="2" t="s">
        <v>43</v>
      </c>
      <c r="F10" s="2" t="s">
        <v>43</v>
      </c>
      <c r="G10" s="2" t="s">
        <v>40</v>
      </c>
      <c r="H10" s="2" t="s">
        <v>851</v>
      </c>
      <c r="I10" s="2"/>
    </row>
    <row r="11" spans="1:9" ht="345" x14ac:dyDescent="0.25">
      <c r="A11" s="2" t="s">
        <v>87</v>
      </c>
      <c r="B11" s="2" t="s">
        <v>88</v>
      </c>
      <c r="C11" s="2" t="s">
        <v>40</v>
      </c>
      <c r="D11" s="2" t="s">
        <v>43</v>
      </c>
      <c r="E11" s="2" t="s">
        <v>43</v>
      </c>
      <c r="F11" s="2" t="s">
        <v>43</v>
      </c>
      <c r="G11" s="2" t="s">
        <v>40</v>
      </c>
      <c r="H11" s="2" t="s">
        <v>852</v>
      </c>
      <c r="I11" s="2"/>
    </row>
    <row r="12" spans="1:9" ht="300" x14ac:dyDescent="0.25">
      <c r="A12" s="2" t="s">
        <v>91</v>
      </c>
      <c r="B12" s="2" t="s">
        <v>92</v>
      </c>
      <c r="C12" s="2" t="s">
        <v>40</v>
      </c>
      <c r="D12" s="2" t="str">
        <f>VLOOKUP(A12,[1]Manual_Coding_Template!$A$2:$I$154,4,FALSE)</f>
        <v>Yes</v>
      </c>
      <c r="E12" s="2" t="str">
        <f>VLOOKUP(A12,[1]Manual_Coding_Template!$A$2:$I$154,5,FALSE)</f>
        <v>Partially</v>
      </c>
      <c r="F12" s="2" t="str">
        <f>VLOOKUP(A12,[1]Manual_Coding_Template!$A$2:$I$154,6,FALSE)</f>
        <v>Yes</v>
      </c>
      <c r="G12" s="2" t="str">
        <f>VLOOKUP(A12,[1]Manual_Coding_Template!$A$2:$I$154,7,FALSE)</f>
        <v>Included</v>
      </c>
      <c r="H12" s="2" t="str">
        <f>VLOOKUP(A12,[1]Manual_Coding_Template!$A$2:$I$154,8,FALSE)</f>
        <v>Include for full-text screening: the study explicitly focuses on computational thinking and debugging activities using programmable robotics, suggesting a connection between CT and programming-related practices.</v>
      </c>
      <c r="I12" s="2"/>
    </row>
    <row r="13" spans="1:9" ht="345" x14ac:dyDescent="0.25">
      <c r="A13" s="2" t="s">
        <v>96</v>
      </c>
      <c r="B13" s="2" t="s">
        <v>97</v>
      </c>
      <c r="C13" s="2" t="s">
        <v>40</v>
      </c>
      <c r="D13" s="2" t="s">
        <v>43</v>
      </c>
      <c r="E13" s="2" t="s">
        <v>43</v>
      </c>
      <c r="F13" s="2" t="s">
        <v>43</v>
      </c>
      <c r="G13" s="2" t="s">
        <v>40</v>
      </c>
      <c r="H13" s="2" t="s">
        <v>846</v>
      </c>
      <c r="I13" s="2"/>
    </row>
    <row r="14" spans="1:9" ht="285" x14ac:dyDescent="0.25">
      <c r="A14" s="2" t="s">
        <v>100</v>
      </c>
      <c r="B14" s="2" t="s">
        <v>101</v>
      </c>
      <c r="C14" s="2" t="s">
        <v>40</v>
      </c>
      <c r="D14" s="2" t="s">
        <v>43</v>
      </c>
      <c r="E14" s="2" t="s">
        <v>43</v>
      </c>
      <c r="F14" s="2" t="s">
        <v>43</v>
      </c>
      <c r="G14" s="2" t="s">
        <v>40</v>
      </c>
      <c r="H14" s="2" t="s">
        <v>847</v>
      </c>
      <c r="I14" s="2"/>
    </row>
    <row r="15" spans="1:9" ht="315" x14ac:dyDescent="0.25">
      <c r="A15" s="2" t="s">
        <v>105</v>
      </c>
      <c r="B15" s="2" t="s">
        <v>106</v>
      </c>
      <c r="C15" s="2" t="s">
        <v>40</v>
      </c>
      <c r="D15" s="2" t="s">
        <v>43</v>
      </c>
      <c r="E15" s="2" t="s">
        <v>43</v>
      </c>
      <c r="F15" s="2" t="s">
        <v>43</v>
      </c>
      <c r="G15" s="2" t="s">
        <v>40</v>
      </c>
      <c r="H15" s="2" t="e">
        <f>VLOOKUP(A15,[1]Manual_Coding_Template!$A$2:$I$154,8,FALSE)</f>
        <v>#N/A</v>
      </c>
      <c r="I15" s="2"/>
    </row>
    <row r="16" spans="1:9" ht="409.5" x14ac:dyDescent="0.25">
      <c r="A16" s="2" t="s">
        <v>108</v>
      </c>
      <c r="B16" s="2" t="s">
        <v>109</v>
      </c>
      <c r="C16" s="2" t="s">
        <v>40</v>
      </c>
      <c r="D16" s="2" t="s">
        <v>43</v>
      </c>
      <c r="E16" s="2" t="s">
        <v>43</v>
      </c>
      <c r="F16" s="2" t="s">
        <v>43</v>
      </c>
      <c r="G16" s="2" t="s">
        <v>40</v>
      </c>
      <c r="H16" s="2" t="s">
        <v>857</v>
      </c>
      <c r="I16" s="2"/>
    </row>
    <row r="17" spans="1:9" ht="345" x14ac:dyDescent="0.25">
      <c r="A17" s="2" t="s">
        <v>112</v>
      </c>
      <c r="B17" s="2" t="s">
        <v>113</v>
      </c>
      <c r="C17" s="2" t="s">
        <v>40</v>
      </c>
      <c r="D17" s="2" t="str">
        <f>VLOOKUP(A17,[1]Manual_Coding_Template!$A$2:$I$154,4,FALSE)</f>
        <v>Yes</v>
      </c>
      <c r="E17" s="2" t="s">
        <v>43</v>
      </c>
      <c r="F17" s="2" t="str">
        <f>VLOOKUP(A17,[1]Manual_Coding_Template!$A$2:$I$154,6,FALSE)</f>
        <v>Yes</v>
      </c>
      <c r="G17" s="2" t="s">
        <v>40</v>
      </c>
      <c r="H17" s="2" t="s">
        <v>858</v>
      </c>
      <c r="I17" s="2"/>
    </row>
    <row r="18" spans="1:9" ht="330" x14ac:dyDescent="0.25">
      <c r="A18" s="2" t="s">
        <v>119</v>
      </c>
      <c r="B18" s="2" t="s">
        <v>120</v>
      </c>
      <c r="C18" s="2" t="s">
        <v>40</v>
      </c>
      <c r="D18" s="2" t="str">
        <f>VLOOKUP(A18,[1]Manual_Coding_Template!$A$2:$I$154,4,FALSE)</f>
        <v>Yes</v>
      </c>
      <c r="E18" s="2" t="str">
        <f>VLOOKUP(A18,[1]Manual_Coding_Template!$A$2:$I$154,5,FALSE)</f>
        <v>Yes</v>
      </c>
      <c r="F18" s="2" t="str">
        <f>VLOOKUP(A18,[1]Manual_Coding_Template!$A$2:$I$154,6,FALSE)</f>
        <v>Yes</v>
      </c>
      <c r="G18" s="2" t="str">
        <f>VLOOKUP(A18,[1]Manual_Coding_Template!$A$2:$I$154,7,FALSE)</f>
        <v>Included</v>
      </c>
      <c r="H18" s="2" t="str">
        <f>VLOOKUP(A18,[1]Manual_Coding_Template!$A$2:$I$154,8,FALSE)</f>
        <v>Include for full-text screening: the abstract explicitly addresses computational thinking in a programming-related context and suggests a possible connection between CT and programming.</v>
      </c>
      <c r="I18" s="2"/>
    </row>
    <row r="19" spans="1:9" ht="409.5" x14ac:dyDescent="0.25">
      <c r="A19" s="2" t="s">
        <v>124</v>
      </c>
      <c r="B19" s="2" t="s">
        <v>125</v>
      </c>
      <c r="C19" s="2" t="s">
        <v>40</v>
      </c>
      <c r="D19" s="2" t="str">
        <f>VLOOKUP(A19,[1]Manual_Coding_Template!$A$2:$I$154,4,FALSE)</f>
        <v>Yes</v>
      </c>
      <c r="E19" s="2" t="s">
        <v>43</v>
      </c>
      <c r="F19" s="2" t="str">
        <f>VLOOKUP(A19,[1]Manual_Coding_Template!$A$2:$I$154,6,FALSE)</f>
        <v>Yes</v>
      </c>
      <c r="G19" s="2" t="str">
        <f>VLOOKUP(A19,[1]Manual_Coding_Template!$A$2:$I$154,7,FALSE)</f>
        <v>Excluded</v>
      </c>
      <c r="H19" s="2" t="s">
        <v>859</v>
      </c>
      <c r="I19" s="2"/>
    </row>
    <row r="20" spans="1:9" ht="405" x14ac:dyDescent="0.25">
      <c r="A20" s="2" t="s">
        <v>128</v>
      </c>
      <c r="B20" s="2" t="s">
        <v>129</v>
      </c>
      <c r="C20" s="2" t="s">
        <v>40</v>
      </c>
      <c r="D20" s="2" t="s">
        <v>43</v>
      </c>
      <c r="E20" s="2" t="s">
        <v>43</v>
      </c>
      <c r="F20" s="2" t="s">
        <v>43</v>
      </c>
      <c r="G20" s="2" t="s">
        <v>40</v>
      </c>
      <c r="H20" s="2" t="e">
        <f>VLOOKUP(A20,[1]Manual_Coding_Template!$A$2:$I$154,8,FALSE)</f>
        <v>#N/A</v>
      </c>
      <c r="I20" s="2"/>
    </row>
    <row r="21" spans="1:9" ht="409.5" x14ac:dyDescent="0.25">
      <c r="A21" s="2" t="s">
        <v>132</v>
      </c>
      <c r="B21" s="2" t="s">
        <v>133</v>
      </c>
      <c r="C21" s="2" t="s">
        <v>40</v>
      </c>
      <c r="D21" s="2" t="str">
        <f>VLOOKUP(A21,[1]Manual_Coding_Template!$A$2:$I$154,4,FALSE)</f>
        <v>Yes</v>
      </c>
      <c r="E21" s="2" t="str">
        <f>VLOOKUP(A21,[1]Manual_Coding_Template!$A$2:$I$154,5,FALSE)</f>
        <v>Partially</v>
      </c>
      <c r="F21" s="2" t="str">
        <f>VLOOKUP(A21,[1]Manual_Coding_Template!$A$2:$I$154,6,FALSE)</f>
        <v>Yes</v>
      </c>
      <c r="G21" s="2" t="str">
        <f>VLOOKUP(A21,[1]Manual_Coding_Template!$A$2:$I$154,7,FALSE)</f>
        <v>Included</v>
      </c>
      <c r="H21" s="2" t="str">
        <f>VLOOKUP(A21,[1]Manual_Coding_Template!$A$2:$I$154,8,FALSE)</f>
        <v>Include for full-text screening: the study explicitly focuses on computational thinking through Scratch programming and refers to a CT framework used to support educational activities, suggesting a connection between CT and programming.</v>
      </c>
      <c r="I21" s="2"/>
    </row>
    <row r="22" spans="1:9" ht="409.5" x14ac:dyDescent="0.25">
      <c r="A22" s="2" t="s">
        <v>137</v>
      </c>
      <c r="B22" s="2" t="s">
        <v>138</v>
      </c>
      <c r="C22" s="2" t="s">
        <v>40</v>
      </c>
      <c r="D22" s="2" t="s">
        <v>43</v>
      </c>
      <c r="E22" s="2" t="s">
        <v>43</v>
      </c>
      <c r="F22" s="2" t="s">
        <v>43</v>
      </c>
      <c r="G22" s="2" t="s">
        <v>40</v>
      </c>
      <c r="H22" s="2" t="e">
        <f>VLOOKUP(A22,[1]Manual_Coding_Template!$A$2:$I$154,8,FALSE)</f>
        <v>#N/A</v>
      </c>
      <c r="I22" s="2"/>
    </row>
    <row r="23" spans="1:9" ht="409.5" x14ac:dyDescent="0.25">
      <c r="A23" s="2" t="s">
        <v>142</v>
      </c>
      <c r="B23" s="2" t="s">
        <v>143</v>
      </c>
      <c r="C23" s="2" t="s">
        <v>40</v>
      </c>
      <c r="D23" s="2" t="s">
        <v>43</v>
      </c>
      <c r="E23" s="2" t="s">
        <v>43</v>
      </c>
      <c r="F23" s="2" t="s">
        <v>43</v>
      </c>
      <c r="G23" s="2" t="s">
        <v>40</v>
      </c>
      <c r="H23" s="2" t="e">
        <f>VLOOKUP(A23,[1]Manual_Coding_Template!$A$2:$I$154,8,FALSE)</f>
        <v>#N/A</v>
      </c>
      <c r="I23" s="2"/>
    </row>
    <row r="24" spans="1:9" ht="285" x14ac:dyDescent="0.25">
      <c r="A24" s="2" t="s">
        <v>147</v>
      </c>
      <c r="B24" s="2" t="s">
        <v>148</v>
      </c>
      <c r="C24" s="2" t="s">
        <v>40</v>
      </c>
      <c r="D24" s="2" t="s">
        <v>43</v>
      </c>
      <c r="E24" s="2" t="s">
        <v>53</v>
      </c>
      <c r="F24" s="2" t="s">
        <v>43</v>
      </c>
      <c r="G24" s="2" t="s">
        <v>40</v>
      </c>
      <c r="H24" s="2" t="e">
        <f>VLOOKUP(A24,[1]Manual_Coding_Template!$A$2:$I$154,8,FALSE)</f>
        <v>#N/A</v>
      </c>
      <c r="I24" s="2"/>
    </row>
    <row r="25" spans="1:9" ht="390" x14ac:dyDescent="0.25">
      <c r="A25" s="2" t="s">
        <v>151</v>
      </c>
      <c r="B25" s="2" t="s">
        <v>152</v>
      </c>
      <c r="C25" s="2" t="s">
        <v>40</v>
      </c>
      <c r="D25" s="2" t="s">
        <v>43</v>
      </c>
      <c r="E25" s="2" t="s">
        <v>53</v>
      </c>
      <c r="F25" s="2" t="s">
        <v>43</v>
      </c>
      <c r="G25" s="2" t="s">
        <v>40</v>
      </c>
      <c r="H25" s="2" t="e">
        <f>VLOOKUP(A25,[1]Manual_Coding_Template!$A$2:$I$154,8,FALSE)</f>
        <v>#N/A</v>
      </c>
      <c r="I25" s="2"/>
    </row>
    <row r="26" spans="1:9" ht="409.5" x14ac:dyDescent="0.25">
      <c r="A26" s="2" t="s">
        <v>155</v>
      </c>
      <c r="B26" s="2" t="s">
        <v>156</v>
      </c>
      <c r="C26" s="2" t="s">
        <v>40</v>
      </c>
      <c r="D26" s="2" t="str">
        <f>VLOOKUP(A26,[1]Manual_Coding_Template!$A$2:$I$154,4,FALSE)</f>
        <v>Yes</v>
      </c>
      <c r="E26" s="2" t="str">
        <f>VLOOKUP(A26,[1]Manual_Coding_Template!$A$2:$I$154,5,FALSE)</f>
        <v>Partially</v>
      </c>
      <c r="F26" s="2" t="str">
        <f>VLOOKUP(A26,[1]Manual_Coding_Template!$A$2:$I$154,6,FALSE)</f>
        <v>Yes</v>
      </c>
      <c r="G26" s="2" t="str">
        <f>VLOOKUP(A26,[1]Manual_Coding_Template!$A$2:$I$154,7,FALSE)</f>
        <v>Included</v>
      </c>
      <c r="H26" s="2" t="str">
        <f>VLOOKUP(A26,[1]Manual_Coding_Template!$A$2:$I$154,8,FALSE)</f>
        <v>Include for full-text screening: the abstract explicitly focuses on computational thinking learning in Scratch projects and examines programming practices in relation to CT skills.</v>
      </c>
      <c r="I26" s="2"/>
    </row>
    <row r="27" spans="1:9" ht="409.5" x14ac:dyDescent="0.25">
      <c r="A27" s="2" t="s">
        <v>160</v>
      </c>
      <c r="B27" s="2" t="s">
        <v>161</v>
      </c>
      <c r="C27" s="2" t="s">
        <v>40</v>
      </c>
      <c r="D27" s="2" t="str">
        <f>VLOOKUP(A27,[1]Manual_Coding_Template!$A$2:$I$154,4,FALSE)</f>
        <v>Yes</v>
      </c>
      <c r="E27" s="2" t="str">
        <f>VLOOKUP(A27,[1]Manual_Coding_Template!$A$2:$I$154,5,FALSE)</f>
        <v>Partially</v>
      </c>
      <c r="F27" s="2" t="str">
        <f>VLOOKUP(A27,[1]Manual_Coding_Template!$A$2:$I$154,6,FALSE)</f>
        <v>Yes</v>
      </c>
      <c r="G27" s="2" t="str">
        <f>VLOOKUP(A27,[1]Manual_Coding_Template!$A$2:$I$154,7,FALSE)</f>
        <v>Included</v>
      </c>
      <c r="H27" s="2" t="str">
        <f>VLOOKUP(A27,[1]Manual_Coding_Template!$A$2:$I$154,8,FALSE)</f>
        <v>Include for full-text screening: the study explicitly examines computational thinking and computer science concepts in coding activities, suggesting a connection between CT and programming practices.</v>
      </c>
      <c r="I27" s="2"/>
    </row>
    <row r="28" spans="1:9" ht="270" x14ac:dyDescent="0.25">
      <c r="A28" s="2" t="s">
        <v>165</v>
      </c>
      <c r="B28" s="2" t="s">
        <v>166</v>
      </c>
      <c r="C28" s="2" t="s">
        <v>40</v>
      </c>
      <c r="D28" s="2" t="s">
        <v>43</v>
      </c>
      <c r="E28" s="2" t="s">
        <v>43</v>
      </c>
      <c r="F28" s="2" t="s">
        <v>43</v>
      </c>
      <c r="G28" s="2" t="s">
        <v>40</v>
      </c>
      <c r="H28" s="2" t="s">
        <v>860</v>
      </c>
      <c r="I28" s="2"/>
    </row>
    <row r="29" spans="1:9" ht="375" x14ac:dyDescent="0.25">
      <c r="A29" s="2" t="s">
        <v>170</v>
      </c>
      <c r="B29" s="2" t="s">
        <v>171</v>
      </c>
      <c r="C29" s="2" t="s">
        <v>40</v>
      </c>
      <c r="D29" s="2" t="s">
        <v>45</v>
      </c>
      <c r="E29" s="2" t="s">
        <v>45</v>
      </c>
      <c r="F29" s="2" t="s">
        <v>43</v>
      </c>
      <c r="G29" s="2" t="s">
        <v>115</v>
      </c>
      <c r="H29" s="2" t="s">
        <v>861</v>
      </c>
      <c r="I29" s="2"/>
    </row>
    <row r="30" spans="1:9" ht="409.5" x14ac:dyDescent="0.25">
      <c r="A30" s="2" t="s">
        <v>175</v>
      </c>
      <c r="B30" s="2" t="s">
        <v>176</v>
      </c>
      <c r="C30" s="2" t="s">
        <v>40</v>
      </c>
      <c r="D30" s="2" t="str">
        <f>VLOOKUP(A30,[1]Manual_Coding_Template!$A$2:$I$154,4,FALSE)</f>
        <v>Yes</v>
      </c>
      <c r="E30" s="2" t="str">
        <f>VLOOKUP(A30,[1]Manual_Coding_Template!$A$2:$I$154,5,FALSE)</f>
        <v>No</v>
      </c>
      <c r="F30" s="2" t="str">
        <f>VLOOKUP(A30,[1]Manual_Coding_Template!$A$2:$I$154,6,FALSE)</f>
        <v>Partially</v>
      </c>
      <c r="G30" s="2" t="str">
        <f>VLOOKUP(A30,[1]Manual_Coding_Template!$A$2:$I$154,7,FALSE)</f>
        <v>Excluded</v>
      </c>
      <c r="H30" s="2" t="str">
        <f>VLOOKUP(A30,[1]Manual_Coding_Template!$A$2:$I$154,8,FALSE)</f>
        <v>Excluded: the abstract does not provide sufficient evidence of a clear connection between computational thinking and programming based on the screening criteria.</v>
      </c>
      <c r="I30" s="2"/>
    </row>
    <row r="31" spans="1:9" ht="330" x14ac:dyDescent="0.25">
      <c r="A31" s="2" t="s">
        <v>179</v>
      </c>
      <c r="B31" s="2" t="s">
        <v>180</v>
      </c>
      <c r="C31" s="2" t="s">
        <v>40</v>
      </c>
      <c r="D31" s="2" t="s">
        <v>43</v>
      </c>
      <c r="E31" s="2" t="s">
        <v>43</v>
      </c>
      <c r="F31" s="2" t="s">
        <v>43</v>
      </c>
      <c r="G31" s="2" t="s">
        <v>40</v>
      </c>
      <c r="H31" s="2" t="s">
        <v>862</v>
      </c>
      <c r="I31" s="2"/>
    </row>
    <row r="32" spans="1:9" ht="409.5" x14ac:dyDescent="0.25">
      <c r="A32" s="2" t="s">
        <v>183</v>
      </c>
      <c r="B32" s="2" t="s">
        <v>184</v>
      </c>
      <c r="C32" s="2" t="s">
        <v>40</v>
      </c>
      <c r="D32" s="2" t="s">
        <v>43</v>
      </c>
      <c r="E32" s="2" t="s">
        <v>53</v>
      </c>
      <c r="F32" s="2" t="s">
        <v>43</v>
      </c>
      <c r="G32" s="2" t="s">
        <v>40</v>
      </c>
      <c r="H32" s="2" t="e">
        <f>VLOOKUP(A32,[1]Manual_Coding_Template!$A$2:$I$154,8,FALSE)</f>
        <v>#N/A</v>
      </c>
      <c r="I32" s="2"/>
    </row>
    <row r="33" spans="1:9" ht="409.5" x14ac:dyDescent="0.25">
      <c r="A33" s="2" t="s">
        <v>188</v>
      </c>
      <c r="B33" s="2" t="s">
        <v>189</v>
      </c>
      <c r="C33" s="2" t="s">
        <v>40</v>
      </c>
      <c r="D33" s="2" t="s">
        <v>43</v>
      </c>
      <c r="E33" s="2" t="s">
        <v>43</v>
      </c>
      <c r="F33" s="2" t="s">
        <v>43</v>
      </c>
      <c r="G33" s="2" t="s">
        <v>40</v>
      </c>
      <c r="H33" s="2" t="e">
        <f>VLOOKUP(A33,[1]Manual_Coding_Template!$A$2:$I$154,8,FALSE)</f>
        <v>#N/A</v>
      </c>
      <c r="I33" s="2"/>
    </row>
    <row r="34" spans="1:9" ht="409.5" x14ac:dyDescent="0.25">
      <c r="A34" s="2" t="s">
        <v>193</v>
      </c>
      <c r="B34" s="2" t="s">
        <v>194</v>
      </c>
      <c r="C34" s="2" t="s">
        <v>40</v>
      </c>
      <c r="D34" s="2" t="s">
        <v>43</v>
      </c>
      <c r="E34" s="2" t="s">
        <v>43</v>
      </c>
      <c r="F34" s="2" t="s">
        <v>43</v>
      </c>
      <c r="G34" s="2" t="s">
        <v>40</v>
      </c>
      <c r="H34" s="2" t="e">
        <f>VLOOKUP(A34,[1]Manual_Coding_Template!$A$2:$I$154,8,FALSE)</f>
        <v>#N/A</v>
      </c>
      <c r="I34" s="2"/>
    </row>
    <row r="35" spans="1:9" ht="360" x14ac:dyDescent="0.25">
      <c r="A35" s="2" t="s">
        <v>198</v>
      </c>
      <c r="B35" s="2" t="s">
        <v>199</v>
      </c>
      <c r="C35" s="2" t="s">
        <v>40</v>
      </c>
      <c r="D35" s="2" t="str">
        <f>VLOOKUP(A35,[1]Manual_Coding_Template!$A$2:$I$154,4,FALSE)</f>
        <v>Yes</v>
      </c>
      <c r="E35" s="2" t="str">
        <f>VLOOKUP(A35,[1]Manual_Coding_Template!$A$2:$I$154,5,FALSE)</f>
        <v>Partially</v>
      </c>
      <c r="F35" s="2" t="str">
        <f>VLOOKUP(A35,[1]Manual_Coding_Template!$A$2:$I$154,6,FALSE)</f>
        <v>Yes</v>
      </c>
      <c r="G35" s="2" t="str">
        <f>VLOOKUP(A35,[1]Manual_Coding_Template!$A$2:$I$154,7,FALSE)</f>
        <v>Included</v>
      </c>
      <c r="H35" s="2" t="str">
        <f>VLOOKUP(A35,[1]Manual_Coding_Template!$A$2:$I$154,8,FALSE)</f>
        <v>Include for full-text screening: the study explicitly examines computational thinking development through different programming approaches, suggesting a direct connection between CT and programming.</v>
      </c>
      <c r="I35" s="2"/>
    </row>
    <row r="36" spans="1:9" ht="405" x14ac:dyDescent="0.25">
      <c r="A36" s="2" t="s">
        <v>203</v>
      </c>
      <c r="B36" s="2" t="s">
        <v>204</v>
      </c>
      <c r="C36" s="2" t="s">
        <v>40</v>
      </c>
      <c r="D36" s="2" t="str">
        <f>VLOOKUP(A36,[1]Manual_Coding_Template!$A$2:$I$154,4,FALSE)</f>
        <v>Yes</v>
      </c>
      <c r="E36" s="2" t="str">
        <f>VLOOKUP(A36,[1]Manual_Coding_Template!$A$2:$I$154,5,FALSE)</f>
        <v>Yes</v>
      </c>
      <c r="F36" s="2" t="str">
        <f>VLOOKUP(A36,[1]Manual_Coding_Template!$A$2:$I$154,6,FALSE)</f>
        <v>Yes</v>
      </c>
      <c r="G36" s="2" t="str">
        <f>VLOOKUP(A36,[1]Manual_Coding_Template!$A$2:$I$154,7,FALSE)</f>
        <v>Included</v>
      </c>
      <c r="H36" s="2" t="str">
        <f>VLOOKUP(A36,[1]Manual_Coding_Template!$A$2:$I$154,8,FALSE)</f>
        <v>Included for full-text screening: the study explicitly focuses on computational thinking assessment and validates CT dimensions through relationships with programming tasks, suggesting a meaningful operationalization between CT and programming.</v>
      </c>
      <c r="I36" s="2"/>
    </row>
    <row r="37" spans="1:9" ht="409.5" x14ac:dyDescent="0.25">
      <c r="A37" s="2" t="s">
        <v>207</v>
      </c>
      <c r="B37" s="2" t="s">
        <v>208</v>
      </c>
      <c r="C37" s="2" t="s">
        <v>40</v>
      </c>
      <c r="D37" s="2" t="s">
        <v>43</v>
      </c>
      <c r="E37" s="2" t="s">
        <v>53</v>
      </c>
      <c r="F37" s="2" t="s">
        <v>43</v>
      </c>
      <c r="G37" s="2" t="s">
        <v>40</v>
      </c>
      <c r="H37" s="2" t="e">
        <f>VLOOKUP(A37,[1]Manual_Coding_Template!$A$2:$I$154,8,FALSE)</f>
        <v>#N/A</v>
      </c>
      <c r="I37" s="2"/>
    </row>
    <row r="38" spans="1:9" ht="409.5" x14ac:dyDescent="0.25">
      <c r="A38" s="2" t="s">
        <v>211</v>
      </c>
      <c r="B38" s="2" t="s">
        <v>212</v>
      </c>
      <c r="C38" s="2" t="s">
        <v>40</v>
      </c>
      <c r="D38" s="2" t="s">
        <v>43</v>
      </c>
      <c r="E38" s="2" t="s">
        <v>53</v>
      </c>
      <c r="F38" s="2" t="s">
        <v>43</v>
      </c>
      <c r="G38" s="2" t="s">
        <v>40</v>
      </c>
      <c r="H38" s="2" t="e">
        <f>VLOOKUP(A38,[1]Manual_Coding_Template!$A$2:$I$154,8,FALSE)</f>
        <v>#N/A</v>
      </c>
      <c r="I38" s="2"/>
    </row>
    <row r="39" spans="1:9" ht="330" x14ac:dyDescent="0.25">
      <c r="A39" s="2" t="s">
        <v>216</v>
      </c>
      <c r="B39" s="2" t="s">
        <v>217</v>
      </c>
      <c r="C39" s="2" t="s">
        <v>40</v>
      </c>
      <c r="D39" s="2" t="s">
        <v>43</v>
      </c>
      <c r="E39" s="2" t="s">
        <v>53</v>
      </c>
      <c r="F39" s="2" t="s">
        <v>43</v>
      </c>
      <c r="G39" s="2" t="s">
        <v>40</v>
      </c>
      <c r="H39" s="2" t="e">
        <f>VLOOKUP(A39,[1]Manual_Coding_Template!$A$2:$I$154,8,FALSE)</f>
        <v>#N/A</v>
      </c>
      <c r="I39" s="2"/>
    </row>
    <row r="40" spans="1:9" ht="330" x14ac:dyDescent="0.25">
      <c r="A40" s="2" t="s">
        <v>221</v>
      </c>
      <c r="B40" s="2" t="s">
        <v>222</v>
      </c>
      <c r="C40" s="2" t="s">
        <v>40</v>
      </c>
      <c r="D40" s="2" t="s">
        <v>43</v>
      </c>
      <c r="E40" s="2" t="s">
        <v>53</v>
      </c>
      <c r="F40" s="2" t="s">
        <v>43</v>
      </c>
      <c r="G40" s="2" t="s">
        <v>40</v>
      </c>
      <c r="H40" s="2" t="e">
        <f>VLOOKUP(A40,[1]Manual_Coding_Template!$A$2:$I$154,8,FALSE)</f>
        <v>#N/A</v>
      </c>
      <c r="I40" s="2"/>
    </row>
    <row r="41" spans="1:9" ht="409.5" x14ac:dyDescent="0.25">
      <c r="A41" s="2" t="s">
        <v>224</v>
      </c>
      <c r="B41" s="2" t="s">
        <v>225</v>
      </c>
      <c r="C41" s="2" t="s">
        <v>40</v>
      </c>
      <c r="D41" s="2" t="s">
        <v>43</v>
      </c>
      <c r="E41" s="2" t="s">
        <v>53</v>
      </c>
      <c r="F41" s="2" t="s">
        <v>43</v>
      </c>
      <c r="G41" s="2" t="s">
        <v>40</v>
      </c>
      <c r="H41" s="2" t="e">
        <f>VLOOKUP(A41,[1]Manual_Coding_Template!$A$2:$I$154,8,FALSE)</f>
        <v>#N/A</v>
      </c>
      <c r="I41" s="2"/>
    </row>
    <row r="42" spans="1:9" ht="300" x14ac:dyDescent="0.25">
      <c r="A42" s="2" t="s">
        <v>229</v>
      </c>
      <c r="B42" s="2" t="s">
        <v>230</v>
      </c>
      <c r="C42" s="2" t="s">
        <v>40</v>
      </c>
      <c r="D42" s="2" t="str">
        <f>VLOOKUP(A42,[1]Manual_Coding_Template!$A$2:$I$154,4,FALSE)</f>
        <v>Yes</v>
      </c>
      <c r="E42" s="2" t="s">
        <v>43</v>
      </c>
      <c r="F42" s="2" t="str">
        <f>VLOOKUP(A42,[1]Manual_Coding_Template!$A$2:$I$154,6,FALSE)</f>
        <v>Yes</v>
      </c>
      <c r="G42" s="2" t="s">
        <v>40</v>
      </c>
      <c r="H42" s="2"/>
      <c r="I42" s="2"/>
    </row>
    <row r="43" spans="1:9" ht="390" x14ac:dyDescent="0.25">
      <c r="A43" s="2" t="s">
        <v>233</v>
      </c>
      <c r="B43" s="2" t="s">
        <v>234</v>
      </c>
      <c r="C43" s="2" t="s">
        <v>40</v>
      </c>
      <c r="D43" s="2" t="s">
        <v>43</v>
      </c>
      <c r="E43" s="2" t="s">
        <v>43</v>
      </c>
      <c r="F43" s="2" t="s">
        <v>43</v>
      </c>
      <c r="G43" s="2" t="s">
        <v>40</v>
      </c>
      <c r="H43" s="2" t="e">
        <f>VLOOKUP(A43,[1]Manual_Coding_Template!$A$2:$I$154,8,FALSE)</f>
        <v>#N/A</v>
      </c>
      <c r="I43" s="2"/>
    </row>
    <row r="44" spans="1:9" ht="409.5" x14ac:dyDescent="0.25">
      <c r="A44" s="2" t="s">
        <v>238</v>
      </c>
      <c r="B44" s="2" t="s">
        <v>239</v>
      </c>
      <c r="C44" s="2" t="s">
        <v>40</v>
      </c>
      <c r="D44" s="2" t="s">
        <v>43</v>
      </c>
      <c r="E44" s="2" t="s">
        <v>43</v>
      </c>
      <c r="F44" s="2" t="s">
        <v>43</v>
      </c>
      <c r="G44" s="2" t="s">
        <v>40</v>
      </c>
      <c r="H44" s="2" t="e">
        <f>VLOOKUP(A44,[1]Manual_Coding_Template!$A$2:$I$154,8,FALSE)</f>
        <v>#N/A</v>
      </c>
      <c r="I44" s="2"/>
    </row>
    <row r="45" spans="1:9" ht="405" hidden="1" x14ac:dyDescent="0.25">
      <c r="A45" s="2" t="s">
        <v>243</v>
      </c>
      <c r="B45" s="2" t="s">
        <v>244</v>
      </c>
      <c r="C45" s="2" t="s">
        <v>115</v>
      </c>
      <c r="D45" s="2" t="s">
        <v>45</v>
      </c>
      <c r="E45" s="2" t="s">
        <v>45</v>
      </c>
      <c r="F45" s="2" t="s">
        <v>43</v>
      </c>
      <c r="G45" s="2" t="s">
        <v>115</v>
      </c>
      <c r="H45" s="2" t="e">
        <f>VLOOKUP(A45,[1]Manual_Coding_Template!$A$2:$I$154,8,FALSE)</f>
        <v>#N/A</v>
      </c>
      <c r="I45" s="2"/>
    </row>
    <row r="46" spans="1:9" ht="390" hidden="1" x14ac:dyDescent="0.25">
      <c r="A46" s="2" t="s">
        <v>248</v>
      </c>
      <c r="B46" s="2" t="s">
        <v>249</v>
      </c>
      <c r="C46" s="2" t="s">
        <v>115</v>
      </c>
      <c r="D46" s="2" t="str">
        <f>VLOOKUP(A46,[1]Manual_Coding_Template!$A$2:$I$154,4,FALSE)</f>
        <v>Yes</v>
      </c>
      <c r="E46" s="2" t="str">
        <f>VLOOKUP(A46,[1]Manual_Coding_Template!$A$2:$I$154,5,FALSE)</f>
        <v>No</v>
      </c>
      <c r="F46" s="2" t="str">
        <f>VLOOKUP(A46,[1]Manual_Coding_Template!$A$2:$I$154,6,FALSE)</f>
        <v>No</v>
      </c>
      <c r="G46" s="2" t="str">
        <f>VLOOKUP(A46,[1]Manual_Coding_Template!$A$2:$I$154,7,FALSE)</f>
        <v>Excluded</v>
      </c>
      <c r="H46" s="2" t="str">
        <f>VLOOKUP(A46,[1]Manual_Coding_Template!$A$2:$I$154,8,FALSE)</f>
        <v>Excluded: although the study examines computational thinking integration across school subjects, the focus is on teachers’ pedagogical content knowledge and attitudes rather than a programming context with a clear operationalization or mapping between CT and programming.</v>
      </c>
      <c r="I46" s="2"/>
    </row>
    <row r="47" spans="1:9" ht="330" hidden="1" x14ac:dyDescent="0.25">
      <c r="A47" s="2" t="s">
        <v>253</v>
      </c>
      <c r="B47" s="2" t="s">
        <v>254</v>
      </c>
      <c r="C47" s="2" t="s">
        <v>115</v>
      </c>
      <c r="D47" s="2" t="str">
        <f>VLOOKUP(A47,[1]Manual_Coding_Template!$A$2:$I$154,4,FALSE)</f>
        <v>Yes</v>
      </c>
      <c r="E47" s="2" t="str">
        <f>VLOOKUP(A47,[1]Manual_Coding_Template!$A$2:$I$154,5,FALSE)</f>
        <v>No</v>
      </c>
      <c r="F47" s="2" t="str">
        <f>VLOOKUP(A47,[1]Manual_Coding_Template!$A$2:$I$154,6,FALSE)</f>
        <v>No</v>
      </c>
      <c r="G47" s="2" t="str">
        <f>VLOOKUP(A47,[1]Manual_Coding_Template!$A$2:$I$154,7,FALSE)</f>
        <v>Excluded</v>
      </c>
      <c r="H47" s="2" t="str">
        <f>VLOOKUP(A47,[1]Manual_Coding_Template!$A$2:$I$154,8,FALSE)</f>
        <v>Excluded: although the study discusses computational thinking in primary education, the focus is on bibliometric analysis of research trends rather than a programming context with a clear operationalization or mapping between CT and programming.</v>
      </c>
      <c r="I47" s="2"/>
    </row>
    <row r="48" spans="1:9" ht="330" hidden="1" x14ac:dyDescent="0.25">
      <c r="A48" s="2" t="s">
        <v>258</v>
      </c>
      <c r="B48" s="2" t="s">
        <v>259</v>
      </c>
      <c r="C48" s="2" t="s">
        <v>115</v>
      </c>
      <c r="D48" s="2" t="s">
        <v>43</v>
      </c>
      <c r="E48" s="2" t="s">
        <v>45</v>
      </c>
      <c r="F48" s="2" t="s">
        <v>45</v>
      </c>
      <c r="G48" s="2" t="s">
        <v>115</v>
      </c>
      <c r="H48" s="2" t="s">
        <v>863</v>
      </c>
      <c r="I48" s="2"/>
    </row>
    <row r="49" spans="1:9" ht="270" hidden="1" x14ac:dyDescent="0.25">
      <c r="A49" s="2" t="s">
        <v>262</v>
      </c>
      <c r="B49" s="2" t="s">
        <v>263</v>
      </c>
      <c r="C49" s="2" t="s">
        <v>115</v>
      </c>
      <c r="D49" s="2" t="s">
        <v>43</v>
      </c>
      <c r="E49" s="2" t="e">
        <f>VLOOKUP(A49,[1]Manual_Coding_Template!$A$2:$I$154,5,FALSE)</f>
        <v>#N/A</v>
      </c>
      <c r="F49" s="2" t="e">
        <f>VLOOKUP(A49,[1]Manual_Coding_Template!$A$2:$I$154,6,FALSE)</f>
        <v>#N/A</v>
      </c>
      <c r="G49" s="2" t="e">
        <f>VLOOKUP(A49,[1]Manual_Coding_Template!$A$2:$I$154,7,FALSE)</f>
        <v>#N/A</v>
      </c>
      <c r="H49" s="2" t="e">
        <f>VLOOKUP(A49,[1]Manual_Coding_Template!$A$2:$I$154,8,FALSE)</f>
        <v>#N/A</v>
      </c>
      <c r="I49" s="2"/>
    </row>
    <row r="50" spans="1:9" ht="360" hidden="1" x14ac:dyDescent="0.25">
      <c r="A50" s="2" t="s">
        <v>265</v>
      </c>
      <c r="B50" s="2" t="s">
        <v>266</v>
      </c>
      <c r="C50" s="2" t="s">
        <v>115</v>
      </c>
      <c r="D50" s="2" t="str">
        <f>VLOOKUP(A50,[1]Manual_Coding_Template!$A$2:$I$154,4,FALSE)</f>
        <v>Yes</v>
      </c>
      <c r="E50" s="2" t="str">
        <f>VLOOKUP(A50,[1]Manual_Coding_Template!$A$2:$I$154,5,FALSE)</f>
        <v>No</v>
      </c>
      <c r="F50" s="2" t="str">
        <f>VLOOKUP(A50,[1]Manual_Coding_Template!$A$2:$I$154,6,FALSE)</f>
        <v>Yes</v>
      </c>
      <c r="G50" s="2" t="str">
        <f>VLOOKUP(A50,[1]Manual_Coding_Template!$A$2:$I$154,7,FALSE)</f>
        <v>Excluded</v>
      </c>
      <c r="H50" s="2" t="str">
        <f>VLOOKUP(A50,[1]Manual_Coding_Template!$A$2:$I$154,8,FALSE)</f>
        <v>Excluded: although the study addresses computational thinking and programming through Python workshops, the focus is on teachers’ motivations and professional learning rather than a clear operationalization or mapping between CT and programming.</v>
      </c>
      <c r="I50" s="2"/>
    </row>
    <row r="51" spans="1:9" ht="300" hidden="1" x14ac:dyDescent="0.25">
      <c r="A51" s="2" t="s">
        <v>269</v>
      </c>
      <c r="B51" s="2" t="s">
        <v>270</v>
      </c>
      <c r="C51" s="2" t="s">
        <v>115</v>
      </c>
      <c r="D51" s="2" t="s">
        <v>43</v>
      </c>
      <c r="E51" s="2" t="s">
        <v>45</v>
      </c>
      <c r="F51" s="2" t="s">
        <v>53</v>
      </c>
      <c r="G51" s="2" t="s">
        <v>115</v>
      </c>
      <c r="H51" s="2" t="e">
        <f>VLOOKUP(A51,[1]Manual_Coding_Template!$A$2:$I$154,8,FALSE)</f>
        <v>#N/A</v>
      </c>
      <c r="I51" s="2"/>
    </row>
    <row r="52" spans="1:9" ht="150" hidden="1" x14ac:dyDescent="0.25">
      <c r="A52" s="2" t="s">
        <v>274</v>
      </c>
      <c r="B52" s="2" t="s">
        <v>275</v>
      </c>
      <c r="C52" s="2" t="s">
        <v>115</v>
      </c>
      <c r="D52" s="2" t="s">
        <v>45</v>
      </c>
      <c r="E52" s="2" t="s">
        <v>45</v>
      </c>
      <c r="F52" s="2" t="s">
        <v>45</v>
      </c>
      <c r="G52" s="2" t="s">
        <v>115</v>
      </c>
      <c r="H52" s="2" t="e">
        <f>VLOOKUP(A52,[1]Manual_Coding_Template!$A$2:$I$154,8,FALSE)</f>
        <v>#N/A</v>
      </c>
      <c r="I52" s="2"/>
    </row>
    <row r="53" spans="1:9" ht="360" hidden="1" x14ac:dyDescent="0.25">
      <c r="A53" s="2" t="s">
        <v>279</v>
      </c>
      <c r="B53" s="2" t="s">
        <v>280</v>
      </c>
      <c r="C53" s="2" t="s">
        <v>115</v>
      </c>
      <c r="D53" s="2" t="s">
        <v>43</v>
      </c>
      <c r="E53" s="2" t="s">
        <v>45</v>
      </c>
      <c r="F53" s="2" t="s">
        <v>45</v>
      </c>
      <c r="G53" s="2" t="s">
        <v>115</v>
      </c>
      <c r="H53" s="2" t="s">
        <v>864</v>
      </c>
      <c r="I53" s="2"/>
    </row>
    <row r="54" spans="1:9" ht="255" hidden="1" x14ac:dyDescent="0.25">
      <c r="A54" s="2" t="s">
        <v>284</v>
      </c>
      <c r="B54" s="2" t="s">
        <v>285</v>
      </c>
      <c r="C54" s="2" t="s">
        <v>115</v>
      </c>
      <c r="D54" s="2" t="s">
        <v>43</v>
      </c>
      <c r="E54" s="2" t="s">
        <v>45</v>
      </c>
      <c r="F54" s="2" t="s">
        <v>53</v>
      </c>
      <c r="G54" s="2" t="s">
        <v>115</v>
      </c>
      <c r="H54" s="2" t="e">
        <f>VLOOKUP(A54,[1]Manual_Coding_Template!$A$2:$I$154,8,FALSE)</f>
        <v>#N/A</v>
      </c>
      <c r="I54" s="2"/>
    </row>
    <row r="55" spans="1:9" ht="345" hidden="1" x14ac:dyDescent="0.25">
      <c r="A55" s="2" t="s">
        <v>289</v>
      </c>
      <c r="B55" s="2" t="s">
        <v>290</v>
      </c>
      <c r="C55" s="2" t="s">
        <v>115</v>
      </c>
      <c r="D55" s="2" t="str">
        <f>VLOOKUP(A55,[1]Manual_Coding_Template!$A$2:$I$154,4,FALSE)</f>
        <v>Yes</v>
      </c>
      <c r="E55" s="2" t="str">
        <f>VLOOKUP(A55,[1]Manual_Coding_Template!$A$2:$I$154,5,FALSE)</f>
        <v>No</v>
      </c>
      <c r="F55" s="2" t="str">
        <f>VLOOKUP(A55,[1]Manual_Coding_Template!$A$2:$I$154,6,FALSE)</f>
        <v>Yes</v>
      </c>
      <c r="G55" s="2" t="str">
        <f>VLOOKUP(A55,[1]Manual_Coding_Template!$A$2:$I$154,7,FALSE)</f>
        <v>Excluded</v>
      </c>
      <c r="H55" s="2" t="str">
        <f>VLOOKUP(A55,[1]Manual_Coding_Template!$A$2:$I$154,8,FALSE)</f>
        <v>Excluded: although the study proposes a computational thinking framework, the focus is on neural network applications for working professionals rather than a programming context with a clear operationalization or mapping between CT and programming.</v>
      </c>
      <c r="I55" s="2"/>
    </row>
    <row r="56" spans="1:9" ht="330" hidden="1" x14ac:dyDescent="0.25">
      <c r="A56" s="2" t="s">
        <v>294</v>
      </c>
      <c r="B56" s="2" t="s">
        <v>295</v>
      </c>
      <c r="C56" s="2" t="s">
        <v>115</v>
      </c>
      <c r="D56" s="2" t="str">
        <f>VLOOKUP(A56,[1]Manual_Coding_Template!$A$2:$I$154,4,FALSE)</f>
        <v>Yes</v>
      </c>
      <c r="E56" s="2" t="str">
        <f>VLOOKUP(A56,[1]Manual_Coding_Template!$A$2:$I$154,5,FALSE)</f>
        <v>No</v>
      </c>
      <c r="F56" s="2" t="str">
        <f>VLOOKUP(A56,[1]Manual_Coding_Template!$A$2:$I$154,6,FALSE)</f>
        <v>No</v>
      </c>
      <c r="G56" s="2" t="str">
        <f>VLOOKUP(A56,[1]Manual_Coding_Template!$A$2:$I$154,7,FALSE)</f>
        <v>Excluded</v>
      </c>
      <c r="H56" s="2" t="str">
        <f>VLOOKUP(A56,[1]Manual_Coding_Template!$A$2:$I$154,8,FALSE)</f>
        <v>Excluded: although the study assesses computational thinking through educational robotics tasks, the focus is on measuring CT levels and assessment development rather than a clear operationalization or mapping between CT and programming.</v>
      </c>
      <c r="I56" s="2"/>
    </row>
    <row r="57" spans="1:9" ht="409.5" hidden="1" x14ac:dyDescent="0.25">
      <c r="A57" s="2" t="s">
        <v>299</v>
      </c>
      <c r="B57" s="2" t="s">
        <v>300</v>
      </c>
      <c r="C57" s="2" t="s">
        <v>115</v>
      </c>
      <c r="D57" s="2" t="str">
        <f>VLOOKUP(A57,[1]Manual_Coding_Template!$A$2:$I$154,4,FALSE)</f>
        <v>Yes</v>
      </c>
      <c r="E57" s="2" t="str">
        <f>VLOOKUP(A57,[1]Manual_Coding_Template!$A$2:$I$154,5,FALSE)</f>
        <v>No</v>
      </c>
      <c r="F57" s="2" t="str">
        <f>VLOOKUP(A57,[1]Manual_Coding_Template!$A$2:$I$154,6,FALSE)</f>
        <v>Yes</v>
      </c>
      <c r="G57" s="2" t="str">
        <f>VLOOKUP(A57,[1]Manual_Coding_Template!$A$2:$I$154,7,FALSE)</f>
        <v>Excluded</v>
      </c>
      <c r="H57" s="2" t="str">
        <f>VLOOKUP(A57,[1]Manual_Coding_Template!$A$2:$I$154,8,FALSE)</f>
        <v>Excluded: although the study is situated in a programming education context and examines computational thinking development, the focus is on developmental profiles and contextual influences rather than a clear operationalization or mapping between CT and programming.</v>
      </c>
      <c r="I57" s="2"/>
    </row>
    <row r="58" spans="1:9" ht="330" hidden="1" x14ac:dyDescent="0.25">
      <c r="A58" s="2" t="s">
        <v>302</v>
      </c>
      <c r="B58" s="2" t="s">
        <v>303</v>
      </c>
      <c r="C58" s="2" t="s">
        <v>115</v>
      </c>
      <c r="D58" s="2" t="str">
        <f>VLOOKUP(A58,[1]Manual_Coding_Template!$A$2:$I$154,4,FALSE)</f>
        <v>Yes</v>
      </c>
      <c r="E58" s="2" t="str">
        <f>VLOOKUP(A58,[1]Manual_Coding_Template!$A$2:$I$154,5,FALSE)</f>
        <v>No</v>
      </c>
      <c r="F58" s="2" t="str">
        <f>VLOOKUP(A58,[1]Manual_Coding_Template!$A$2:$I$154,6,FALSE)</f>
        <v>No</v>
      </c>
      <c r="G58" s="2" t="str">
        <f>VLOOKUP(A58,[1]Manual_Coding_Template!$A$2:$I$154,7,FALSE)</f>
        <v>Excluded</v>
      </c>
      <c r="H58" s="2" t="str">
        <f>VLOOKUP(A58,[1]Manual_Coding_Template!$A$2:$I$154,8,FALSE)</f>
        <v>Excluded: although the study focuses on computational thinking development through technology toys, the programming context and the connection between CT and programming are not sufficiently explicit in the abstract.</v>
      </c>
      <c r="I58" s="2"/>
    </row>
    <row r="59" spans="1:9" ht="405" hidden="1" x14ac:dyDescent="0.25">
      <c r="A59" s="2" t="s">
        <v>307</v>
      </c>
      <c r="B59" s="2" t="s">
        <v>308</v>
      </c>
      <c r="C59" s="2" t="s">
        <v>115</v>
      </c>
      <c r="D59" s="2" t="str">
        <f>VLOOKUP(A59,[1]Manual_Coding_Template!$A$2:$I$154,4,FALSE)</f>
        <v>Yes</v>
      </c>
      <c r="E59" s="2" t="str">
        <f>VLOOKUP(A59,[1]Manual_Coding_Template!$A$2:$I$154,5,FALSE)</f>
        <v>No</v>
      </c>
      <c r="F59" s="2" t="str">
        <f>VLOOKUP(A59,[1]Manual_Coding_Template!$A$2:$I$154,6,FALSE)</f>
        <v>No</v>
      </c>
      <c r="G59" s="2" t="str">
        <f>VLOOKUP(A59,[1]Manual_Coding_Template!$A$2:$I$154,7,FALSE)</f>
        <v>Excluded</v>
      </c>
      <c r="H59" s="2" t="str">
        <f>VLOOKUP(A59,[1]Manual_Coding_Template!$A$2:$I$154,8,FALSE)</f>
        <v>Excluded: although the study focuses on computational thinking and includes programming-related resilience, the focus is on students’ profiles, self-efficacy, identity, and resilience rather than a clear operationalization or mapping between CT and programming.</v>
      </c>
      <c r="I59" s="2"/>
    </row>
    <row r="60" spans="1:9" ht="405" hidden="1" x14ac:dyDescent="0.25">
      <c r="A60" s="2" t="s">
        <v>312</v>
      </c>
      <c r="B60" s="2" t="s">
        <v>313</v>
      </c>
      <c r="C60" s="2" t="s">
        <v>115</v>
      </c>
      <c r="D60" s="2" t="s">
        <v>43</v>
      </c>
      <c r="E60" s="2" t="s">
        <v>45</v>
      </c>
      <c r="F60" s="2" t="s">
        <v>43</v>
      </c>
      <c r="G60" s="2" t="s">
        <v>115</v>
      </c>
      <c r="H60" s="2" t="s">
        <v>865</v>
      </c>
      <c r="I60" s="2"/>
    </row>
    <row r="61" spans="1:9" ht="330" hidden="1" x14ac:dyDescent="0.25">
      <c r="A61" s="2" t="s">
        <v>317</v>
      </c>
      <c r="B61" s="2" t="s">
        <v>318</v>
      </c>
      <c r="C61" s="2" t="s">
        <v>115</v>
      </c>
      <c r="D61" s="2" t="str">
        <f>VLOOKUP(A61,[1]Manual_Coding_Template!$A$2:$I$154,4,FALSE)</f>
        <v>Yes</v>
      </c>
      <c r="E61" s="2" t="str">
        <f>VLOOKUP(A61,[1]Manual_Coding_Template!$A$2:$I$154,5,FALSE)</f>
        <v>No</v>
      </c>
      <c r="F61" s="2" t="str">
        <f>VLOOKUP(A61,[1]Manual_Coding_Template!$A$2:$I$154,6,FALSE)</f>
        <v>Yes</v>
      </c>
      <c r="G61" s="2" t="str">
        <f>VLOOKUP(A61,[1]Manual_Coding_Template!$A$2:$I$154,7,FALSE)</f>
        <v>Excluded</v>
      </c>
      <c r="H61" s="2" t="str">
        <f>VLOOKUP(A61,[1]Manual_Coding_Template!$A$2:$I$154,8,FALSE)</f>
        <v>Excluded: although the study uses computational thinking evaluation within a programming fundamentals course, the focus is on designing learning scenarios and student motivation rather than a clear operationalization or mapping between CT and programming.</v>
      </c>
      <c r="I61" s="2"/>
    </row>
    <row r="62" spans="1:9" ht="409.5" hidden="1" x14ac:dyDescent="0.25">
      <c r="A62" s="2" t="s">
        <v>322</v>
      </c>
      <c r="B62" s="2" t="s">
        <v>323</v>
      </c>
      <c r="C62" s="2" t="s">
        <v>115</v>
      </c>
      <c r="D62" s="2" t="s">
        <v>45</v>
      </c>
      <c r="E62" s="2" t="s">
        <v>45</v>
      </c>
      <c r="F62" s="2" t="s">
        <v>43</v>
      </c>
      <c r="G62" s="2" t="s">
        <v>115</v>
      </c>
      <c r="H62" s="2" t="e">
        <f>VLOOKUP(A62,[1]Manual_Coding_Template!$A$2:$I$154,8,FALSE)</f>
        <v>#N/A</v>
      </c>
      <c r="I62" s="2"/>
    </row>
    <row r="63" spans="1:9" ht="409.5" hidden="1" x14ac:dyDescent="0.25">
      <c r="A63" s="2" t="s">
        <v>326</v>
      </c>
      <c r="B63" s="2" t="s">
        <v>327</v>
      </c>
      <c r="C63" s="2" t="s">
        <v>115</v>
      </c>
      <c r="D63" s="2" t="s">
        <v>43</v>
      </c>
      <c r="E63" s="2" t="s">
        <v>45</v>
      </c>
      <c r="F63" s="2" t="s">
        <v>53</v>
      </c>
      <c r="G63" s="2" t="s">
        <v>115</v>
      </c>
      <c r="H63" s="2" t="e">
        <f>VLOOKUP(A63,[1]Manual_Coding_Template!$A$2:$I$154,8,FALSE)</f>
        <v>#N/A</v>
      </c>
      <c r="I63" s="2"/>
    </row>
    <row r="64" spans="1:9" ht="240" hidden="1" x14ac:dyDescent="0.25">
      <c r="A64" s="2" t="s">
        <v>331</v>
      </c>
      <c r="B64" s="2" t="s">
        <v>332</v>
      </c>
      <c r="C64" s="2" t="s">
        <v>115</v>
      </c>
      <c r="D64" s="2" t="s">
        <v>45</v>
      </c>
      <c r="E64" s="2" t="s">
        <v>45</v>
      </c>
      <c r="F64" s="2" t="s">
        <v>43</v>
      </c>
      <c r="G64" s="2" t="s">
        <v>115</v>
      </c>
      <c r="H64" s="2" t="e">
        <f>VLOOKUP(A64,[1]Manual_Coding_Template!$A$2:$I$154,8,FALSE)</f>
        <v>#N/A</v>
      </c>
      <c r="I64" s="2"/>
    </row>
    <row r="65" spans="1:9" ht="405" hidden="1" x14ac:dyDescent="0.25">
      <c r="A65" s="2" t="s">
        <v>335</v>
      </c>
      <c r="B65" s="2" t="s">
        <v>336</v>
      </c>
      <c r="C65" s="2" t="s">
        <v>115</v>
      </c>
      <c r="D65" s="2" t="str">
        <f>VLOOKUP(A65,[1]Manual_Coding_Template!$A$2:$I$154,4,FALSE)</f>
        <v>Yes</v>
      </c>
      <c r="E65" s="2" t="str">
        <f>VLOOKUP(A65,[1]Manual_Coding_Template!$A$2:$I$154,5,FALSE)</f>
        <v>No</v>
      </c>
      <c r="F65" s="2" t="str">
        <f>VLOOKUP(A65,[1]Manual_Coding_Template!$A$2:$I$154,6,FALSE)</f>
        <v>Partially</v>
      </c>
      <c r="G65" s="2" t="str">
        <f>VLOOKUP(A65,[1]Manual_Coding_Template!$A$2:$I$154,7,FALSE)</f>
        <v>Excluded</v>
      </c>
      <c r="H65" s="2" t="str">
        <f>VLOOKUP(A65,[1]Manual_Coding_Template!$A$2:$I$154,8,FALSE)</f>
        <v>Excluded: although the study compares computational thinking outcomes in a ScratchJr coding curriculum, the focus is on assessment normalization and measurement across grades rather than a clear operationalization or mapping between CT and programming.</v>
      </c>
      <c r="I65" s="2"/>
    </row>
    <row r="66" spans="1:9" ht="300" hidden="1" x14ac:dyDescent="0.25">
      <c r="A66" s="2" t="s">
        <v>340</v>
      </c>
      <c r="B66" s="2" t="s">
        <v>341</v>
      </c>
      <c r="C66" s="2" t="s">
        <v>115</v>
      </c>
      <c r="D66" s="2" t="s">
        <v>43</v>
      </c>
      <c r="E66" s="2" t="s">
        <v>45</v>
      </c>
      <c r="F66" s="2" t="s">
        <v>45</v>
      </c>
      <c r="G66" s="2" t="s">
        <v>115</v>
      </c>
      <c r="H66" s="2" t="e">
        <f>VLOOKUP(A66,[1]Manual_Coding_Template!$A$2:$I$154,8,FALSE)</f>
        <v>#N/A</v>
      </c>
      <c r="I66" s="2"/>
    </row>
    <row r="67" spans="1:9" ht="315" hidden="1" x14ac:dyDescent="0.25">
      <c r="A67" s="2" t="s">
        <v>345</v>
      </c>
      <c r="B67" s="2" t="s">
        <v>346</v>
      </c>
      <c r="C67" s="2" t="s">
        <v>115</v>
      </c>
      <c r="D67" s="2" t="s">
        <v>43</v>
      </c>
      <c r="E67" s="2" t="s">
        <v>45</v>
      </c>
      <c r="F67" s="2" t="s">
        <v>45</v>
      </c>
      <c r="G67" s="2" t="s">
        <v>115</v>
      </c>
      <c r="H67" s="2" t="e">
        <f>VLOOKUP(A67,[1]Manual_Coding_Template!$A$2:$I$154,8,FALSE)</f>
        <v>#N/A</v>
      </c>
      <c r="I67" s="2"/>
    </row>
    <row r="68" spans="1:9" ht="390" hidden="1" x14ac:dyDescent="0.25">
      <c r="A68" s="2" t="s">
        <v>349</v>
      </c>
      <c r="B68" s="2" t="s">
        <v>350</v>
      </c>
      <c r="C68" s="2" t="s">
        <v>115</v>
      </c>
      <c r="D68" s="2" t="s">
        <v>53</v>
      </c>
      <c r="E68" s="2" t="s">
        <v>45</v>
      </c>
      <c r="F68" s="2" t="s">
        <v>43</v>
      </c>
      <c r="G68" s="2" t="s">
        <v>115</v>
      </c>
      <c r="H68" s="2" t="e">
        <f>VLOOKUP(A68,[1]Manual_Coding_Template!$A$2:$I$154,8,FALSE)</f>
        <v>#N/A</v>
      </c>
      <c r="I68" s="2"/>
    </row>
    <row r="69" spans="1:9" ht="405" hidden="1" x14ac:dyDescent="0.25">
      <c r="A69" s="2" t="s">
        <v>354</v>
      </c>
      <c r="B69" s="2" t="s">
        <v>355</v>
      </c>
      <c r="C69" s="2" t="s">
        <v>115</v>
      </c>
      <c r="D69" s="2" t="s">
        <v>43</v>
      </c>
      <c r="E69" s="2" t="s">
        <v>45</v>
      </c>
      <c r="F69" s="2" t="s">
        <v>45</v>
      </c>
      <c r="G69" s="2" t="s">
        <v>115</v>
      </c>
      <c r="H69" s="2" t="e">
        <f>VLOOKUP(A69,[1]Manual_Coding_Template!$A$2:$I$154,8,FALSE)</f>
        <v>#N/A</v>
      </c>
      <c r="I69" s="2"/>
    </row>
    <row r="70" spans="1:9" ht="409.5" hidden="1" x14ac:dyDescent="0.25">
      <c r="A70" s="2" t="s">
        <v>359</v>
      </c>
      <c r="B70" s="2" t="s">
        <v>360</v>
      </c>
      <c r="C70" s="2" t="s">
        <v>115</v>
      </c>
      <c r="D70" s="2" t="s">
        <v>43</v>
      </c>
      <c r="E70" s="2" t="s">
        <v>45</v>
      </c>
      <c r="F70" s="2" t="s">
        <v>45</v>
      </c>
      <c r="G70" s="2" t="s">
        <v>115</v>
      </c>
      <c r="H70" s="2" t="e">
        <f>VLOOKUP(A70,[1]Manual_Coding_Template!$A$2:$I$154,8,FALSE)</f>
        <v>#N/A</v>
      </c>
      <c r="I70" s="2"/>
    </row>
    <row r="71" spans="1:9" ht="330" hidden="1" x14ac:dyDescent="0.25">
      <c r="A71" s="2" t="s">
        <v>364</v>
      </c>
      <c r="B71" s="2" t="s">
        <v>365</v>
      </c>
      <c r="C71" s="2" t="s">
        <v>115</v>
      </c>
      <c r="D71" s="2" t="str">
        <f>VLOOKUP(A71,[1]Manual_Coding_Template!$A$2:$I$154,4,FALSE)</f>
        <v>Yes</v>
      </c>
      <c r="E71" s="2" t="str">
        <f>VLOOKUP(A71,[1]Manual_Coding_Template!$A$2:$I$154,5,FALSE)</f>
        <v>No</v>
      </c>
      <c r="F71" s="2" t="str">
        <f>VLOOKUP(A71,[1]Manual_Coding_Template!$A$2:$I$154,6,FALSE)</f>
        <v>No</v>
      </c>
      <c r="G71" s="2" t="s">
        <v>115</v>
      </c>
      <c r="H71" s="2" t="str">
        <f>VLOOKUP(A71,[1]Manual_Coding_Template!$A$2:$I$154,8,FALSE)</f>
        <v>Excluded: although the review discusses computational thinking conceptualizations and content integration, the focus is on trends and research gaps rather than a clear operationalization or mapping between CT and programming.</v>
      </c>
      <c r="I71" s="2"/>
    </row>
    <row r="72" spans="1:9" ht="409.5" hidden="1" x14ac:dyDescent="0.25">
      <c r="A72" s="2" t="s">
        <v>369</v>
      </c>
      <c r="B72" s="2" t="s">
        <v>370</v>
      </c>
      <c r="C72" s="2" t="s">
        <v>115</v>
      </c>
      <c r="D72" s="2" t="s">
        <v>45</v>
      </c>
      <c r="E72" s="2" t="s">
        <v>45</v>
      </c>
      <c r="F72" s="2" t="s">
        <v>43</v>
      </c>
      <c r="G72" s="2" t="s">
        <v>115</v>
      </c>
      <c r="H72" s="2" t="e">
        <f>VLOOKUP(A72,[1]Manual_Coding_Template!$A$2:$I$154,8,FALSE)</f>
        <v>#N/A</v>
      </c>
      <c r="I72" s="2"/>
    </row>
    <row r="73" spans="1:9" ht="270" hidden="1" x14ac:dyDescent="0.25">
      <c r="A73" s="2" t="s">
        <v>372</v>
      </c>
      <c r="B73" s="2" t="s">
        <v>373</v>
      </c>
      <c r="C73" s="2" t="s">
        <v>115</v>
      </c>
      <c r="D73" s="2" t="s">
        <v>43</v>
      </c>
      <c r="E73" s="2" t="s">
        <v>45</v>
      </c>
      <c r="F73" s="2" t="s">
        <v>45</v>
      </c>
      <c r="G73" s="2" t="s">
        <v>115</v>
      </c>
      <c r="H73" s="2" t="e">
        <f>VLOOKUP(A73,[1]Manual_Coding_Template!$A$2:$I$154,8,FALSE)</f>
        <v>#N/A</v>
      </c>
      <c r="I73" s="2"/>
    </row>
    <row r="74" spans="1:9" ht="375" hidden="1" x14ac:dyDescent="0.25">
      <c r="A74" s="2" t="s">
        <v>377</v>
      </c>
      <c r="B74" s="2" t="s">
        <v>378</v>
      </c>
      <c r="C74" s="2" t="s">
        <v>115</v>
      </c>
      <c r="D74" s="2" t="s">
        <v>45</v>
      </c>
      <c r="E74" s="2" t="s">
        <v>45</v>
      </c>
      <c r="F74" s="2" t="s">
        <v>43</v>
      </c>
      <c r="G74" s="2" t="s">
        <v>115</v>
      </c>
      <c r="H74" s="2" t="e">
        <f>VLOOKUP(A74,[1]Manual_Coding_Template!$A$2:$I$154,8,FALSE)</f>
        <v>#N/A</v>
      </c>
      <c r="I74" s="2"/>
    </row>
    <row r="75" spans="1:9" ht="409.5" hidden="1" x14ac:dyDescent="0.25">
      <c r="A75" s="2" t="s">
        <v>380</v>
      </c>
      <c r="B75" s="2" t="s">
        <v>381</v>
      </c>
      <c r="C75" s="2" t="s">
        <v>115</v>
      </c>
      <c r="D75" s="2" t="str">
        <f>VLOOKUP(A75,[1]Manual_Coding_Template!$A$2:$I$154,4,FALSE)</f>
        <v>Yes</v>
      </c>
      <c r="E75" s="2" t="str">
        <f>VLOOKUP(A75,[1]Manual_Coding_Template!$A$2:$I$154,5,FALSE)</f>
        <v>No</v>
      </c>
      <c r="F75" s="2" t="str">
        <f>VLOOKUP(A75,[1]Manual_Coding_Template!$A$2:$I$154,6,FALSE)</f>
        <v>No</v>
      </c>
      <c r="G75" s="2" t="str">
        <f>VLOOKUP(A75,[1]Manual_Coding_Template!$A$2:$I$154,7,FALSE)</f>
        <v>Excluded</v>
      </c>
      <c r="H75" s="2" t="str">
        <f>VLOOKUP(A75,[1]Manual_Coding_Template!$A$2:$I$154,8,FALSE)</f>
        <v>Excluded: although the study examines teachers’ computational thinking application skills and professional development, the focus is on predictors of teacher performance rather than a programming context with a clear operationalization or mapping between CT and programming.</v>
      </c>
      <c r="I75" s="2"/>
    </row>
    <row r="76" spans="1:9" ht="330" hidden="1" x14ac:dyDescent="0.25">
      <c r="A76" s="2" t="s">
        <v>384</v>
      </c>
      <c r="B76" s="2" t="s">
        <v>385</v>
      </c>
      <c r="C76" s="2" t="s">
        <v>115</v>
      </c>
      <c r="D76" s="2" t="str">
        <f>VLOOKUP(A76,[1]Manual_Coding_Template!$A$2:$I$154,4,FALSE)</f>
        <v>Yes</v>
      </c>
      <c r="E76" s="2" t="str">
        <f>VLOOKUP(A76,[1]Manual_Coding_Template!$A$2:$I$154,5,FALSE)</f>
        <v>No</v>
      </c>
      <c r="F76" s="2" t="str">
        <f>VLOOKUP(A76,[1]Manual_Coding_Template!$A$2:$I$154,6,FALSE)</f>
        <v>Partially</v>
      </c>
      <c r="G76" s="2" t="str">
        <f>VLOOKUP(A76,[1]Manual_Coding_Template!$A$2:$I$154,7,FALSE)</f>
        <v>Excluded</v>
      </c>
      <c r="H76" s="2" t="str">
        <f>VLOOKUP(A76,[1]Manual_Coding_Template!$A$2:$I$154,8,FALSE)</f>
        <v>Excluded: although the study discusses computational thinking development in relation to programming and STEAM education, the focus is on a review protocol of teaching strategies rather than a clear operationalization or mapping between CT and programming.</v>
      </c>
      <c r="I76" s="2"/>
    </row>
    <row r="77" spans="1:9" ht="405" hidden="1" x14ac:dyDescent="0.25">
      <c r="A77" s="2" t="s">
        <v>389</v>
      </c>
      <c r="B77" s="2" t="s">
        <v>390</v>
      </c>
      <c r="C77" s="2" t="s">
        <v>115</v>
      </c>
      <c r="D77" s="2" t="s">
        <v>43</v>
      </c>
      <c r="E77" s="2" t="s">
        <v>45</v>
      </c>
      <c r="F77" s="2" t="s">
        <v>45</v>
      </c>
      <c r="G77" s="2" t="s">
        <v>115</v>
      </c>
      <c r="H77" s="2" t="e">
        <f>VLOOKUP(A77,[1]Manual_Coding_Template!$A$2:$I$154,8,FALSE)</f>
        <v>#N/A</v>
      </c>
      <c r="I77" s="2"/>
    </row>
    <row r="78" spans="1:9" ht="375" hidden="1" x14ac:dyDescent="0.25">
      <c r="A78" s="2" t="s">
        <v>393</v>
      </c>
      <c r="B78" s="2" t="s">
        <v>394</v>
      </c>
      <c r="C78" s="2" t="s">
        <v>115</v>
      </c>
      <c r="D78" s="2" t="s">
        <v>43</v>
      </c>
      <c r="E78" s="2" t="s">
        <v>45</v>
      </c>
      <c r="F78" s="2" t="s">
        <v>45</v>
      </c>
      <c r="G78" s="2" t="s">
        <v>115</v>
      </c>
      <c r="H78" s="2" t="e">
        <f>VLOOKUP(A78,[1]Manual_Coding_Template!$A$2:$I$154,8,FALSE)</f>
        <v>#N/A</v>
      </c>
      <c r="I78" s="2"/>
    </row>
    <row r="79" spans="1:9" ht="285" hidden="1" x14ac:dyDescent="0.25">
      <c r="A79" s="2" t="s">
        <v>398</v>
      </c>
      <c r="B79" s="2" t="s">
        <v>399</v>
      </c>
      <c r="C79" s="2" t="s">
        <v>115</v>
      </c>
      <c r="D79" s="2" t="s">
        <v>43</v>
      </c>
      <c r="E79" s="2" t="s">
        <v>45</v>
      </c>
      <c r="F79" s="2" t="s">
        <v>45</v>
      </c>
      <c r="G79" s="2" t="s">
        <v>115</v>
      </c>
      <c r="H79" s="2" t="e">
        <f>VLOOKUP(A79,[1]Manual_Coding_Template!$A$2:$I$154,8,FALSE)</f>
        <v>#N/A</v>
      </c>
      <c r="I79" s="2"/>
    </row>
    <row r="80" spans="1:9" ht="375" hidden="1" x14ac:dyDescent="0.25">
      <c r="A80" s="2" t="s">
        <v>402</v>
      </c>
      <c r="B80" s="2" t="s">
        <v>403</v>
      </c>
      <c r="C80" s="2" t="s">
        <v>115</v>
      </c>
      <c r="D80" s="2" t="str">
        <f>VLOOKUP(A80,[1]Manual_Coding_Template!$A$2:$I$154,4,FALSE)</f>
        <v>Yes</v>
      </c>
      <c r="E80" s="2" t="str">
        <f>VLOOKUP(A80,[1]Manual_Coding_Template!$A$2:$I$154,5,FALSE)</f>
        <v>No</v>
      </c>
      <c r="F80" s="2" t="str">
        <f>VLOOKUP(A80,[1]Manual_Coding_Template!$A$2:$I$154,6,FALSE)</f>
        <v>No</v>
      </c>
      <c r="G80" s="2" t="str">
        <f>VLOOKUP(A80,[1]Manual_Coding_Template!$A$2:$I$154,7,FALSE)</f>
        <v>Excluded</v>
      </c>
      <c r="H80" s="2" t="str">
        <f>VLOOKUP(A80,[1]Manual_Coding_Template!$A$2:$I$154,8,FALSE)</f>
        <v>Excluded: although the study discusses computational thinking and programming in teacher training, the focus is on workshop implementation and teachers’ perceptions rather than a clear operationalization or mapping between CT and programming.</v>
      </c>
      <c r="I80" s="2"/>
    </row>
    <row r="81" spans="1:9" ht="180" hidden="1" x14ac:dyDescent="0.25">
      <c r="A81" s="2" t="s">
        <v>407</v>
      </c>
      <c r="B81" s="2" t="s">
        <v>408</v>
      </c>
      <c r="C81" s="2" t="s">
        <v>115</v>
      </c>
      <c r="D81" s="2" t="s">
        <v>43</v>
      </c>
      <c r="E81" s="2" t="s">
        <v>45</v>
      </c>
      <c r="F81" s="2" t="s">
        <v>45</v>
      </c>
      <c r="G81" s="2" t="s">
        <v>115</v>
      </c>
      <c r="H81" s="2" t="e">
        <f>VLOOKUP(A81,[1]Manual_Coding_Template!$A$2:$I$154,8,FALSE)</f>
        <v>#N/A</v>
      </c>
      <c r="I81" s="2"/>
    </row>
    <row r="82" spans="1:9" ht="210" hidden="1" x14ac:dyDescent="0.25">
      <c r="A82" s="2" t="s">
        <v>413</v>
      </c>
      <c r="B82" s="2" t="s">
        <v>414</v>
      </c>
      <c r="C82" s="2" t="s">
        <v>115</v>
      </c>
      <c r="D82" s="2" t="s">
        <v>43</v>
      </c>
      <c r="E82" s="2" t="s">
        <v>45</v>
      </c>
      <c r="F82" s="2" t="s">
        <v>45</v>
      </c>
      <c r="G82" s="2" t="s">
        <v>115</v>
      </c>
      <c r="H82" s="2" t="e">
        <f>VLOOKUP(A82,[1]Manual_Coding_Template!$A$2:$I$154,8,FALSE)</f>
        <v>#N/A</v>
      </c>
      <c r="I82" s="2"/>
    </row>
    <row r="83" spans="1:9" ht="210" hidden="1" x14ac:dyDescent="0.25">
      <c r="A83" s="2" t="s">
        <v>417</v>
      </c>
      <c r="B83" s="2" t="s">
        <v>418</v>
      </c>
      <c r="C83" s="2" t="s">
        <v>115</v>
      </c>
      <c r="D83" s="2" t="s">
        <v>43</v>
      </c>
      <c r="E83" s="2" t="s">
        <v>45</v>
      </c>
      <c r="F83" s="2" t="s">
        <v>45</v>
      </c>
      <c r="G83" s="2" t="s">
        <v>115</v>
      </c>
      <c r="H83" s="2" t="e">
        <f>VLOOKUP(A83,[1]Manual_Coding_Template!$A$2:$I$154,8,FALSE)</f>
        <v>#N/A</v>
      </c>
      <c r="I83" s="2"/>
    </row>
    <row r="84" spans="1:9" ht="409.5" hidden="1" x14ac:dyDescent="0.25">
      <c r="A84" s="2" t="s">
        <v>422</v>
      </c>
      <c r="B84" s="2" t="s">
        <v>423</v>
      </c>
      <c r="C84" s="2" t="s">
        <v>115</v>
      </c>
      <c r="D84" s="2" t="s">
        <v>43</v>
      </c>
      <c r="E84" s="2" t="s">
        <v>45</v>
      </c>
      <c r="F84" s="2" t="s">
        <v>43</v>
      </c>
      <c r="G84" s="2" t="s">
        <v>115</v>
      </c>
      <c r="H84" s="2" t="s">
        <v>868</v>
      </c>
      <c r="I84" s="2"/>
    </row>
    <row r="85" spans="1:9" ht="270" hidden="1" x14ac:dyDescent="0.25">
      <c r="A85" s="2" t="s">
        <v>426</v>
      </c>
      <c r="B85" s="2" t="s">
        <v>427</v>
      </c>
      <c r="C85" s="2" t="s">
        <v>115</v>
      </c>
      <c r="D85" s="2" t="s">
        <v>43</v>
      </c>
      <c r="E85" s="2" t="s">
        <v>45</v>
      </c>
      <c r="F85" s="2" t="s">
        <v>43</v>
      </c>
      <c r="G85" s="2" t="s">
        <v>867</v>
      </c>
      <c r="H85" s="2" t="e">
        <f>VLOOKUP(A85,[1]Manual_Coding_Template!$A$2:$I$154,8,FALSE)</f>
        <v>#N/A</v>
      </c>
      <c r="I85" s="2"/>
    </row>
    <row r="86" spans="1:9" ht="409.5" hidden="1" x14ac:dyDescent="0.25">
      <c r="A86" s="2" t="s">
        <v>431</v>
      </c>
      <c r="B86" s="2" t="s">
        <v>432</v>
      </c>
      <c r="C86" s="2" t="s">
        <v>115</v>
      </c>
      <c r="D86" s="2" t="s">
        <v>43</v>
      </c>
      <c r="E86" s="2" t="s">
        <v>45</v>
      </c>
      <c r="F86" s="2" t="s">
        <v>43</v>
      </c>
      <c r="G86" s="2" t="s">
        <v>866</v>
      </c>
      <c r="H86" s="2" t="e">
        <f>VLOOKUP(A86,[1]Manual_Coding_Template!$A$2:$I$154,8,FALSE)</f>
        <v>#N/A</v>
      </c>
      <c r="I86" s="2"/>
    </row>
    <row r="87" spans="1:9" ht="300" hidden="1" x14ac:dyDescent="0.25">
      <c r="A87" s="2" t="s">
        <v>437</v>
      </c>
      <c r="B87" s="2" t="s">
        <v>438</v>
      </c>
      <c r="C87" s="2" t="s">
        <v>115</v>
      </c>
      <c r="D87" s="2" t="str">
        <f>VLOOKUP(A87,[1]Manual_Coding_Template!$A$2:$I$154,4,FALSE)</f>
        <v>Yes</v>
      </c>
      <c r="E87" s="2" t="str">
        <f>VLOOKUP(A87,[1]Manual_Coding_Template!$A$2:$I$154,5,FALSE)</f>
        <v>No</v>
      </c>
      <c r="F87" s="2" t="str">
        <f>VLOOKUP(A87,[1]Manual_Coding_Template!$A$2:$I$154,6,FALSE)</f>
        <v>Yes</v>
      </c>
      <c r="G87" s="2" t="str">
        <f>VLOOKUP(A87,[1]Manual_Coding_Template!$A$2:$I$154,7,FALSE)</f>
        <v>Excluded</v>
      </c>
      <c r="H87" s="2" t="str">
        <f>VLOOKUP(A87,[1]Manual_Coding_Template!$A$2:$I$154,8,FALSE)</f>
        <v>Excluded: although the study involves programmable robots and computational thinking learning, the focus is on accessibility, inclusion, and social play rather than a clear operationalization or mapping between CT and programming.</v>
      </c>
      <c r="I87" s="2"/>
    </row>
    <row r="88" spans="1:9" ht="225" hidden="1" x14ac:dyDescent="0.25">
      <c r="A88" s="2" t="s">
        <v>441</v>
      </c>
      <c r="B88" s="2" t="s">
        <v>442</v>
      </c>
      <c r="C88" s="2" t="s">
        <v>115</v>
      </c>
      <c r="D88" s="2" t="s">
        <v>43</v>
      </c>
      <c r="E88" s="2" t="s">
        <v>45</v>
      </c>
      <c r="F88" s="2" t="s">
        <v>53</v>
      </c>
      <c r="G88" s="2" t="s">
        <v>115</v>
      </c>
      <c r="H88" s="2" t="e">
        <f>VLOOKUP(A88,[1]Manual_Coding_Template!$A$2:$I$154,8,FALSE)</f>
        <v>#N/A</v>
      </c>
      <c r="I88" s="2"/>
    </row>
    <row r="89" spans="1:9" ht="300" hidden="1" x14ac:dyDescent="0.25">
      <c r="A89" s="2" t="s">
        <v>446</v>
      </c>
      <c r="B89" s="2" t="s">
        <v>447</v>
      </c>
      <c r="C89" s="2" t="s">
        <v>115</v>
      </c>
      <c r="D89" s="2" t="s">
        <v>43</v>
      </c>
      <c r="E89" s="2" t="s">
        <v>45</v>
      </c>
      <c r="F89" s="2" t="s">
        <v>53</v>
      </c>
      <c r="G89" s="2" t="s">
        <v>115</v>
      </c>
      <c r="H89" s="2" t="e">
        <f>VLOOKUP(A89,[1]Manual_Coding_Template!$A$2:$I$154,8,FALSE)</f>
        <v>#N/A</v>
      </c>
      <c r="I89" s="2"/>
    </row>
    <row r="90" spans="1:9" ht="150" hidden="1" x14ac:dyDescent="0.25">
      <c r="A90" s="2" t="s">
        <v>450</v>
      </c>
      <c r="B90" s="2" t="s">
        <v>451</v>
      </c>
      <c r="C90" s="2" t="s">
        <v>115</v>
      </c>
      <c r="D90" s="2" t="s">
        <v>45</v>
      </c>
      <c r="E90" s="2" t="s">
        <v>45</v>
      </c>
      <c r="F90" s="2" t="s">
        <v>43</v>
      </c>
      <c r="G90" s="2" t="s">
        <v>115</v>
      </c>
      <c r="H90" s="2" t="e">
        <f>VLOOKUP(A90,[1]Manual_Coding_Template!$A$2:$I$154,8,FALSE)</f>
        <v>#N/A</v>
      </c>
      <c r="I90" s="2"/>
    </row>
    <row r="91" spans="1:9" ht="285" hidden="1" x14ac:dyDescent="0.25">
      <c r="A91" s="2" t="s">
        <v>455</v>
      </c>
      <c r="B91" s="2" t="s">
        <v>456</v>
      </c>
      <c r="C91" s="2" t="s">
        <v>115</v>
      </c>
      <c r="D91" s="2" t="s">
        <v>43</v>
      </c>
      <c r="E91" s="2" t="s">
        <v>45</v>
      </c>
      <c r="F91" s="2" t="s">
        <v>45</v>
      </c>
      <c r="G91" s="2" t="s">
        <v>115</v>
      </c>
      <c r="H91" s="2" t="e">
        <f>VLOOKUP(A91,[1]Manual_Coding_Template!$A$2:$I$154,8,FALSE)</f>
        <v>#N/A</v>
      </c>
      <c r="I91" s="2"/>
    </row>
    <row r="92" spans="1:9" ht="270" hidden="1" x14ac:dyDescent="0.25">
      <c r="A92" s="2" t="s">
        <v>460</v>
      </c>
      <c r="B92" s="2" t="s">
        <v>461</v>
      </c>
      <c r="C92" s="2" t="s">
        <v>115</v>
      </c>
      <c r="D92" s="2" t="s">
        <v>45</v>
      </c>
      <c r="E92" s="2" t="s">
        <v>45</v>
      </c>
      <c r="F92" s="2" t="s">
        <v>43</v>
      </c>
      <c r="G92" s="2" t="s">
        <v>115</v>
      </c>
      <c r="H92" s="2" t="e">
        <f>VLOOKUP(A92,[1]Manual_Coding_Template!$A$2:$I$154,8,FALSE)</f>
        <v>#N/A</v>
      </c>
      <c r="I92" s="2"/>
    </row>
    <row r="93" spans="1:9" ht="409.5" hidden="1" x14ac:dyDescent="0.25">
      <c r="A93" s="2" t="s">
        <v>465</v>
      </c>
      <c r="B93" s="2" t="s">
        <v>466</v>
      </c>
      <c r="C93" s="2" t="s">
        <v>115</v>
      </c>
      <c r="D93" s="2" t="s">
        <v>43</v>
      </c>
      <c r="E93" s="2" t="s">
        <v>45</v>
      </c>
      <c r="F93" s="2" t="s">
        <v>45</v>
      </c>
      <c r="G93" s="2" t="s">
        <v>115</v>
      </c>
      <c r="H93" s="2" t="e">
        <f>VLOOKUP(A93,[1]Manual_Coding_Template!$A$2:$I$154,8,FALSE)</f>
        <v>#N/A</v>
      </c>
      <c r="I93" s="2"/>
    </row>
    <row r="94" spans="1:9" ht="405" hidden="1" x14ac:dyDescent="0.25">
      <c r="A94" s="2" t="s">
        <v>469</v>
      </c>
      <c r="B94" s="2" t="s">
        <v>470</v>
      </c>
      <c r="C94" s="2" t="s">
        <v>115</v>
      </c>
      <c r="D94" s="2" t="str">
        <f>VLOOKUP(A94,[1]Manual_Coding_Template!$A$2:$I$154,4,FALSE)</f>
        <v>No</v>
      </c>
      <c r="E94" s="2" t="str">
        <f>VLOOKUP(A94,[1]Manual_Coding_Template!$A$2:$I$154,5,FALSE)</f>
        <v>No</v>
      </c>
      <c r="F94" s="2" t="str">
        <f>VLOOKUP(A94,[1]Manual_Coding_Template!$A$2:$I$154,6,FALSE)</f>
        <v>No</v>
      </c>
      <c r="G94" s="2">
        <f>VLOOKUP(A94,[1]Manual_Coding_Template!$A$2:$I$154,7,FALSE)</f>
        <v>0</v>
      </c>
      <c r="H94" s="2" t="str">
        <f>VLOOKUP(A94,[1]Manual_Coding_Template!$A$2:$I$154,8,FALSE)</f>
        <v>Excluded: the study is unrelated to computational thinking in education and does not address a programming context relevant to the review.</v>
      </c>
      <c r="I94" s="2"/>
    </row>
    <row r="95" spans="1:9" ht="405" hidden="1" x14ac:dyDescent="0.25">
      <c r="A95" s="2" t="s">
        <v>472</v>
      </c>
      <c r="B95" s="2" t="s">
        <v>473</v>
      </c>
      <c r="C95" s="2" t="s">
        <v>115</v>
      </c>
      <c r="D95" s="2" t="str">
        <f>VLOOKUP(A95,[1]Manual_Coding_Template!$A$2:$I$154,4,FALSE)</f>
        <v>Yes</v>
      </c>
      <c r="E95" s="2" t="str">
        <f>VLOOKUP(A95,[1]Manual_Coding_Template!$A$2:$I$154,5,FALSE)</f>
        <v>No</v>
      </c>
      <c r="F95" s="2" t="str">
        <f>VLOOKUP(A95,[1]Manual_Coding_Template!$A$2:$I$154,6,FALSE)</f>
        <v>Partially</v>
      </c>
      <c r="G95" s="2" t="str">
        <f>VLOOKUP(A95,[1]Manual_Coding_Template!$A$2:$I$154,7,FALSE)</f>
        <v>Excluded</v>
      </c>
      <c r="H95" s="2" t="str">
        <f>VLOOKUP(A95,[1]Manual_Coding_Template!$A$2:$I$154,8,FALSE)</f>
        <v>Excluded: although the framework discusses computational thinking definitions, components, and programming-related developments, the focus is on conceptualizing and assessing CT rather than a clear operationalization or mapping between CT and programming.</v>
      </c>
      <c r="I95" s="2"/>
    </row>
    <row r="96" spans="1:9" ht="285" hidden="1" x14ac:dyDescent="0.25">
      <c r="A96" s="2" t="s">
        <v>477</v>
      </c>
      <c r="B96" s="2" t="s">
        <v>478</v>
      </c>
      <c r="C96" s="2" t="s">
        <v>115</v>
      </c>
      <c r="D96" s="2" t="s">
        <v>43</v>
      </c>
      <c r="E96" s="2" t="s">
        <v>45</v>
      </c>
      <c r="F96" s="2" t="s">
        <v>53</v>
      </c>
      <c r="G96" s="2" t="s">
        <v>115</v>
      </c>
      <c r="H96" s="2" t="s">
        <v>856</v>
      </c>
      <c r="I96" s="2"/>
    </row>
    <row r="97" spans="1:9" ht="330" hidden="1" x14ac:dyDescent="0.25">
      <c r="A97" s="2" t="s">
        <v>482</v>
      </c>
      <c r="B97" s="2" t="s">
        <v>483</v>
      </c>
      <c r="C97" s="2" t="s">
        <v>115</v>
      </c>
      <c r="D97" s="2" t="s">
        <v>43</v>
      </c>
      <c r="E97" s="2" t="s">
        <v>45</v>
      </c>
      <c r="F97" s="2" t="s">
        <v>53</v>
      </c>
      <c r="G97" s="2" t="s">
        <v>115</v>
      </c>
      <c r="H97" s="2" t="s">
        <v>855</v>
      </c>
      <c r="I97" s="2"/>
    </row>
    <row r="98" spans="1:9" ht="360" hidden="1" x14ac:dyDescent="0.25">
      <c r="A98" s="2" t="s">
        <v>485</v>
      </c>
      <c r="B98" s="2" t="s">
        <v>486</v>
      </c>
      <c r="C98" s="2" t="s">
        <v>115</v>
      </c>
      <c r="D98" s="2" t="str">
        <f>VLOOKUP(A98,[1]Manual_Coding_Template!$A$2:$I$154,4,FALSE)</f>
        <v>Yes</v>
      </c>
      <c r="E98" s="2" t="str">
        <f>VLOOKUP(A98,[1]Manual_Coding_Template!$A$2:$I$154,5,FALSE)</f>
        <v>No</v>
      </c>
      <c r="F98" s="2" t="str">
        <f>VLOOKUP(A98,[1]Manual_Coding_Template!$A$2:$I$154,6,FALSE)</f>
        <v>No</v>
      </c>
      <c r="G98" s="2" t="str">
        <f>VLOOKUP(A98,[1]Manual_Coding_Template!$A$2:$I$154,7,FALSE)</f>
        <v>Excluded</v>
      </c>
      <c r="H98" s="2" t="str">
        <f>VLOOKUP(A98,[1]Manual_Coding_Template!$A$2:$I$154,8,FALSE)</f>
        <v>Excluded: although the study proposes a computational thinking assessment framework, the focus is on assessment dimensions and non-cognitive factors rather than a programming context with a clear operationalization or mapping between CT and programming.</v>
      </c>
      <c r="I98" s="2"/>
    </row>
    <row r="99" spans="1:9" ht="390" hidden="1" x14ac:dyDescent="0.25">
      <c r="A99" s="2" t="s">
        <v>488</v>
      </c>
      <c r="B99" s="2" t="s">
        <v>489</v>
      </c>
      <c r="C99" s="2" t="s">
        <v>115</v>
      </c>
      <c r="D99" s="2" t="s">
        <v>43</v>
      </c>
      <c r="E99" s="2" t="s">
        <v>45</v>
      </c>
      <c r="F99" s="2" t="s">
        <v>45</v>
      </c>
      <c r="G99" s="2" t="s">
        <v>115</v>
      </c>
      <c r="H99" s="2" t="s">
        <v>854</v>
      </c>
      <c r="I99" s="2"/>
    </row>
    <row r="100" spans="1:9" ht="409.5" hidden="1" x14ac:dyDescent="0.25">
      <c r="A100" s="2" t="s">
        <v>492</v>
      </c>
      <c r="B100" s="2" t="s">
        <v>493</v>
      </c>
      <c r="C100" s="2" t="s">
        <v>115</v>
      </c>
      <c r="D100" s="2" t="s">
        <v>43</v>
      </c>
      <c r="E100" s="2" t="s">
        <v>45</v>
      </c>
      <c r="F100" s="2" t="s">
        <v>45</v>
      </c>
      <c r="G100" s="2" t="s">
        <v>115</v>
      </c>
      <c r="H100" s="2" t="s">
        <v>853</v>
      </c>
      <c r="I100" s="2"/>
    </row>
    <row r="101" spans="1:9" ht="315" hidden="1" x14ac:dyDescent="0.25">
      <c r="A101" s="2" t="s">
        <v>497</v>
      </c>
      <c r="B101" s="2" t="s">
        <v>869</v>
      </c>
      <c r="C101" s="2" t="s">
        <v>499</v>
      </c>
      <c r="D101" s="2" t="str">
        <f>VLOOKUP(A101,[1]Manual_Coding_Template!$A$2:$I$154,4,FALSE)</f>
        <v>Yes</v>
      </c>
      <c r="E101" s="2" t="str">
        <f>VLOOKUP(A101,[1]Manual_Coding_Template!$A$2:$I$154,5,FALSE)</f>
        <v>No</v>
      </c>
      <c r="F101" s="2" t="str">
        <f>VLOOKUP(A101,[1]Manual_Coding_Template!$A$2:$I$154,6,FALSE)</f>
        <v>Partially</v>
      </c>
      <c r="G101" s="2" t="str">
        <f>VLOOKUP(A101,[1]Manual_Coding_Template!$A$2:$I$154,7,FALSE)</f>
        <v>Excluded</v>
      </c>
      <c r="H101" s="2" t="str">
        <f>VLOOKUP(A101,[1]Manual_Coding_Template!$A$2:$I$154,8,FALSE)</f>
        <v>Excluded: although the review focuses on computational thinking assessment tools, the abstract does not provide sufficient evidence of a programming context or a clear operationalization or mapping between CT and programming.</v>
      </c>
      <c r="I101" s="2"/>
    </row>
    <row r="102" spans="1:9" ht="409.5" hidden="1" x14ac:dyDescent="0.25">
      <c r="A102" s="2" t="s">
        <v>506</v>
      </c>
      <c r="B102" s="2" t="s">
        <v>870</v>
      </c>
      <c r="C102" s="2" t="s">
        <v>499</v>
      </c>
      <c r="D102" s="2" t="str">
        <f>VLOOKUP(A102,[1]Manual_Coding_Template!$A$2:$I$154,4,FALSE)</f>
        <v>Yes</v>
      </c>
      <c r="E102" s="2" t="str">
        <f>VLOOKUP(A102,[1]Manual_Coding_Template!$A$2:$I$154,5,FALSE)</f>
        <v>No</v>
      </c>
      <c r="F102" s="2" t="str">
        <f>VLOOKUP(A102,[1]Manual_Coding_Template!$A$2:$I$154,6,FALSE)</f>
        <v>Yes</v>
      </c>
      <c r="G102" s="2" t="str">
        <f>VLOOKUP(A102,[1]Manual_Coding_Template!$A$2:$I$154,7,FALSE)</f>
        <v>Excluded</v>
      </c>
      <c r="H102" s="2" t="str">
        <f>VLOOKUP(A102,[1]Manual_Coding_Template!$A$2:$I$154,8,FALSE)</f>
        <v>Excluded: although the study uses computational thinking evaluations in a programming course, the focus is on predicting student enrollment and retention rather than a clear operationalization or mapping between CT and programming.</v>
      </c>
      <c r="I102" s="2"/>
    </row>
    <row r="103" spans="1:9" ht="409.5" hidden="1" x14ac:dyDescent="0.25">
      <c r="A103" s="2" t="s">
        <v>511</v>
      </c>
      <c r="B103" s="2" t="s">
        <v>871</v>
      </c>
      <c r="C103" s="2" t="s">
        <v>499</v>
      </c>
      <c r="D103" s="2" t="str">
        <f>VLOOKUP(A103,[1]Manual_Coding_Template!$A$2:$I$154,4,FALSE)</f>
        <v>Yes</v>
      </c>
      <c r="E103" s="2" t="str">
        <f>VLOOKUP(A103,[1]Manual_Coding_Template!$A$2:$I$154,5,FALSE)</f>
        <v>Partially</v>
      </c>
      <c r="F103" s="2" t="str">
        <f>VLOOKUP(A103,[1]Manual_Coding_Template!$A$2:$I$154,6,FALSE)</f>
        <v>Yes</v>
      </c>
      <c r="G103" s="2" t="str">
        <f>VLOOKUP(A103,[1]Manual_Coding_Template!$A$2:$I$154,7,FALSE)</f>
        <v>Included</v>
      </c>
      <c r="H103" s="2" t="str">
        <f>VLOOKUP(A103,[1]Manual_Coding_Template!$A$2:$I$154,8,FALSE)</f>
        <v>The paper mentions CT concepts and practices, suggesting the authors used Brennan &amp; Resnick Framework, however, the third dimension is not Ct perception, instead is problem solving efficiency, which gives an idea of a possible adapted framework that would worth to study in next filtering stage.</v>
      </c>
      <c r="I103" s="2"/>
    </row>
    <row r="104" spans="1:9" ht="409.5" hidden="1" x14ac:dyDescent="0.25">
      <c r="A104" s="2" t="s">
        <v>515</v>
      </c>
      <c r="B104" s="2" t="s">
        <v>872</v>
      </c>
      <c r="C104" s="2" t="s">
        <v>499</v>
      </c>
      <c r="D104" s="2" t="str">
        <f>VLOOKUP(A104,[1]Manual_Coding_Template!$A$2:$I$154,4,FALSE)</f>
        <v>Yes</v>
      </c>
      <c r="E104" s="2" t="str">
        <f>VLOOKUP(A104,[1]Manual_Coding_Template!$A$2:$I$154,5,FALSE)</f>
        <v>Partially</v>
      </c>
      <c r="F104" s="2" t="str">
        <f>VLOOKUP(A104,[1]Manual_Coding_Template!$A$2:$I$154,6,FALSE)</f>
        <v>Yes</v>
      </c>
      <c r="G104" s="2" t="str">
        <f>VLOOKUP(A104,[1]Manual_Coding_Template!$A$2:$I$154,7,FALSE)</f>
        <v>Included</v>
      </c>
      <c r="H104" s="2" t="str">
        <f>VLOOKUP(A104,[1]Manual_Coding_Template!$A$2:$I$154,8,FALSE)</f>
        <v>Although the paper does not mention clearly the use a framework to assess CT elements in programming courses, it mentions learning scenarios created by assessing CT skills. Therefore, as the content should be oriented a programming, we can assume that some mapping between the CT elements (which they define similarly to our study), can be mapped with some programming activities.</v>
      </c>
      <c r="I104" s="2"/>
    </row>
    <row r="105" spans="1:9" ht="390" hidden="1" x14ac:dyDescent="0.25">
      <c r="A105" s="2" t="s">
        <v>519</v>
      </c>
      <c r="B105" s="2" t="s">
        <v>883</v>
      </c>
      <c r="C105" s="2" t="s">
        <v>499</v>
      </c>
      <c r="D105" s="2" t="str">
        <f>VLOOKUP(A105,[1]Manual_Coding_Template!$A$2:$I$154,4,FALSE)</f>
        <v>Yes</v>
      </c>
      <c r="E105" s="2" t="str">
        <f>VLOOKUP(A105,[1]Manual_Coding_Template!$A$2:$I$154,5,FALSE)</f>
        <v>No</v>
      </c>
      <c r="F105" s="2" t="str">
        <f>VLOOKUP(A105,[1]Manual_Coding_Template!$A$2:$I$154,6,FALSE)</f>
        <v>No</v>
      </c>
      <c r="G105" s="2" t="str">
        <f>VLOOKUP(A105,[1]Manual_Coding_Template!$A$2:$I$154,7,FALSE)</f>
        <v>Excluded</v>
      </c>
      <c r="H105" s="2" t="str">
        <f>VLOOKUP(A105,[1]Manual_Coding_Template!$A$2:$I$154,8,FALSE)</f>
        <v>Excluded: although the study focuses on computational thinking practices and assessment in early childhood education, the abstract does not describe a programming activity or environment that would suggest a clear mapping between CT and programming.</v>
      </c>
      <c r="I105" s="2"/>
    </row>
    <row r="106" spans="1:9" ht="405" hidden="1" x14ac:dyDescent="0.25">
      <c r="A106" s="2" t="s">
        <v>524</v>
      </c>
      <c r="B106" s="2" t="s">
        <v>873</v>
      </c>
      <c r="C106" s="2" t="s">
        <v>499</v>
      </c>
      <c r="D106" s="2" t="str">
        <f>VLOOKUP(A106,[1]Manual_Coding_Template!$A$2:$I$154,4,FALSE)</f>
        <v>Yes</v>
      </c>
      <c r="E106" s="2" t="str">
        <f>VLOOKUP(A106,[1]Manual_Coding_Template!$A$2:$I$154,5,FALSE)</f>
        <v>No</v>
      </c>
      <c r="F106" s="2" t="str">
        <f>VLOOKUP(A106,[1]Manual_Coding_Template!$A$2:$I$154,6,FALSE)</f>
        <v>No</v>
      </c>
      <c r="G106" s="2" t="str">
        <f>VLOOKUP(A106,[1]Manual_Coding_Template!$A$2:$I$154,7,FALSE)</f>
        <v>Excluded</v>
      </c>
      <c r="H106" s="2" t="str">
        <f>VLOOKUP(A106,[1]Manual_Coding_Template!$A$2:$I$154,8,FALSE)</f>
        <v>Excluded: although the study assesses CT practices aligned with elements relevant to this review (e.g., pattern recognition, abstraction, decomposition, algorithmic thinking, and debugging), the abstract does not describe a programming activity or environment that would suggest a clear mapping between CT and programming.</v>
      </c>
      <c r="I106" s="2"/>
    </row>
    <row r="107" spans="1:9" ht="285" hidden="1" x14ac:dyDescent="0.25">
      <c r="A107" s="2" t="s">
        <v>529</v>
      </c>
      <c r="B107" s="2" t="s">
        <v>882</v>
      </c>
      <c r="C107" s="2" t="s">
        <v>499</v>
      </c>
      <c r="D107" s="2" t="str">
        <f>VLOOKUP(A107,[1]Manual_Coding_Template!$A$2:$I$154,4,FALSE)</f>
        <v>No</v>
      </c>
      <c r="E107" s="2" t="str">
        <f>VLOOKUP(A107,[1]Manual_Coding_Template!$A$2:$I$154,5,FALSE)</f>
        <v>No</v>
      </c>
      <c r="F107" s="2" t="str">
        <f>VLOOKUP(A107,[1]Manual_Coding_Template!$A$2:$I$154,6,FALSE)</f>
        <v>No</v>
      </c>
      <c r="G107" s="2" t="str">
        <f>VLOOKUP(A107,[1]Manual_Coding_Template!$A$2:$I$154,7,FALSE)</f>
        <v>Excluded</v>
      </c>
      <c r="H107" s="2" t="str">
        <f>VLOOKUP(A107,[1]Manual_Coding_Template!$A$2:$I$154,8,FALSE)</f>
        <v>Excluded: although the study involves an interactive AI system, the focus is on children’s understanding of AI bias and critical reflection rather than computational thinking in a programming context.</v>
      </c>
      <c r="I107" s="2"/>
    </row>
    <row r="108" spans="1:9" ht="375" hidden="1" x14ac:dyDescent="0.25">
      <c r="A108" s="2" t="s">
        <v>533</v>
      </c>
      <c r="B108" s="2" t="s">
        <v>874</v>
      </c>
      <c r="C108" s="2" t="s">
        <v>499</v>
      </c>
      <c r="D108" s="2" t="str">
        <f>VLOOKUP(A108,[1]Manual_Coding_Template!$A$2:$I$154,4,FALSE)</f>
        <v>No</v>
      </c>
      <c r="E108" s="2" t="str">
        <f>VLOOKUP(A108,[1]Manual_Coding_Template!$A$2:$I$154,5,FALSE)</f>
        <v>No</v>
      </c>
      <c r="F108" s="2" t="str">
        <f>VLOOKUP(A108,[1]Manual_Coding_Template!$A$2:$I$154,6,FALSE)</f>
        <v>Yes</v>
      </c>
      <c r="G108" s="2" t="str">
        <f>VLOOKUP(A108,[1]Manual_Coding_Template!$A$2:$I$154,7,FALSE)</f>
        <v>Excluded</v>
      </c>
      <c r="H108" s="2" t="str">
        <f>VLOOKUP(A108,[1]Manual_Coding_Template!$A$2:$I$154,8,FALSE)</f>
        <v>Excluded: although the study introduces an assessment rubric for mobile computational thinking in App Inventor products, the focus is on validating an assessment instrument rather than describing a clear operationalization or mapping between CT and programming concepts.</v>
      </c>
      <c r="I108" s="2"/>
    </row>
    <row r="109" spans="1:9" ht="360" hidden="1" x14ac:dyDescent="0.25">
      <c r="A109" s="2" t="s">
        <v>536</v>
      </c>
      <c r="B109" s="2" t="s">
        <v>881</v>
      </c>
      <c r="C109" s="2" t="s">
        <v>499</v>
      </c>
      <c r="D109" s="2" t="str">
        <f>VLOOKUP(A109,[1]Manual_Coding_Template!$A$2:$I$154,4,FALSE)</f>
        <v>Yes</v>
      </c>
      <c r="E109" s="2" t="str">
        <f>VLOOKUP(A109,[1]Manual_Coding_Template!$A$2:$I$154,5,FALSE)</f>
        <v>No</v>
      </c>
      <c r="F109" s="2" t="str">
        <f>VLOOKUP(A109,[1]Manual_Coding_Template!$A$2:$I$154,6,FALSE)</f>
        <v>Partially</v>
      </c>
      <c r="G109" s="2" t="str">
        <f>VLOOKUP(A109,[1]Manual_Coding_Template!$A$2:$I$154,7,FALSE)</f>
        <v>Excluded</v>
      </c>
      <c r="H109" s="2" t="str">
        <f>VLOOKUP(A109,[1]Manual_Coding_Template!$A$2:$I$154,8,FALSE)</f>
        <v>Excluded: although the study examines teachers’ conceptions of computational thinking, the focus is on definitions and perceptions of CT rather than a programming context with a clear operationalization or mapping between CT and programming.</v>
      </c>
      <c r="I109" s="2"/>
    </row>
    <row r="110" spans="1:9" ht="375" hidden="1" x14ac:dyDescent="0.25">
      <c r="A110" s="2" t="s">
        <v>539</v>
      </c>
      <c r="B110" s="2" t="s">
        <v>540</v>
      </c>
      <c r="C110" s="2" t="s">
        <v>499</v>
      </c>
      <c r="D110" s="2" t="str">
        <f>VLOOKUP(A110,[1]Manual_Coding_Template!$A$2:$I$154,4,FALSE)</f>
        <v>Yes</v>
      </c>
      <c r="E110" s="2" t="str">
        <f>VLOOKUP(A110,[1]Manual_Coding_Template!$A$2:$I$154,5,FALSE)</f>
        <v>No</v>
      </c>
      <c r="F110" s="2" t="str">
        <f>VLOOKUP(A110,[1]Manual_Coding_Template!$A$2:$I$154,6,FALSE)</f>
        <v>Partially</v>
      </c>
      <c r="G110" s="2" t="str">
        <f>VLOOKUP(A110,[1]Manual_Coding_Template!$A$2:$I$154,7,FALSE)</f>
        <v>Excluded</v>
      </c>
      <c r="H110" s="2" t="str">
        <f>VLOOKUP(A110,[1]Manual_Coding_Template!$A$2:$I$154,8,FALSE)</f>
        <v>Excluded: although the study discusses a framework for developing teachers’ computational thinking knowledge, the abstract explicitly states that the approach does not depend on computers or educational technology, suggesting no programming context or mapping between CT and programming.</v>
      </c>
      <c r="I110" s="2"/>
    </row>
    <row r="111" spans="1:9" ht="210" hidden="1" x14ac:dyDescent="0.25">
      <c r="A111" s="2" t="s">
        <v>544</v>
      </c>
      <c r="B111" s="2" t="s">
        <v>884</v>
      </c>
      <c r="C111" s="2" t="s">
        <v>499</v>
      </c>
      <c r="D111" s="2" t="s">
        <v>43</v>
      </c>
      <c r="E111" s="2" t="s">
        <v>45</v>
      </c>
      <c r="F111" s="2" t="s">
        <v>45</v>
      </c>
      <c r="G111" s="2" t="s">
        <v>115</v>
      </c>
      <c r="H111" s="2" t="e">
        <f>VLOOKUP(A111,[1]Manual_Coding_Template!$A$2:$I$154,8,FALSE)</f>
        <v>#N/A</v>
      </c>
      <c r="I111" s="2"/>
    </row>
    <row r="112" spans="1:9" ht="375" hidden="1" x14ac:dyDescent="0.25">
      <c r="A112" s="2" t="s">
        <v>550</v>
      </c>
      <c r="B112" s="2" t="s">
        <v>880</v>
      </c>
      <c r="C112" s="2" t="s">
        <v>499</v>
      </c>
      <c r="D112" s="2" t="str">
        <f>VLOOKUP(A112,[1]Manual_Coding_Template!$A$2:$I$154,4,FALSE)</f>
        <v>Yes</v>
      </c>
      <c r="E112" s="2" t="str">
        <f>VLOOKUP(A112,[1]Manual_Coding_Template!$A$2:$I$154,5,FALSE)</f>
        <v>No</v>
      </c>
      <c r="F112" s="2" t="str">
        <f>VLOOKUP(A112,[1]Manual_Coding_Template!$A$2:$I$154,6,FALSE)</f>
        <v>Yes</v>
      </c>
      <c r="G112" s="2" t="str">
        <f>VLOOKUP(A112,[1]Manual_Coding_Template!$A$2:$I$154,7,FALSE)</f>
        <v>Excluded</v>
      </c>
      <c r="H112" s="2" t="str">
        <f>VLOOKUP(A112,[1]Manual_Coding_Template!$A$2:$I$154,8,FALSE)</f>
        <v>Excluded: although the study discusses computational thinking through mobile app programming, the focus is on introducing and motivating CT learning in a summer school setting rather than a clear operationalization or mapping between CT and programming.</v>
      </c>
      <c r="I112" s="2"/>
    </row>
    <row r="113" spans="1:9" ht="225" hidden="1" x14ac:dyDescent="0.25">
      <c r="A113" s="2" t="s">
        <v>556</v>
      </c>
      <c r="B113" s="2" t="s">
        <v>557</v>
      </c>
      <c r="C113" s="2" t="s">
        <v>499</v>
      </c>
      <c r="D113" s="2" t="str">
        <f>VLOOKUP(A113,[1]Manual_Coding_Template!$A$2:$I$154,4,FALSE)</f>
        <v>Yes</v>
      </c>
      <c r="E113" s="2" t="str">
        <f>VLOOKUP(A113,[1]Manual_Coding_Template!$A$2:$I$154,5,FALSE)</f>
        <v>No</v>
      </c>
      <c r="F113" s="2" t="str">
        <f>VLOOKUP(A113,[1]Manual_Coding_Template!$A$2:$I$154,6,FALSE)</f>
        <v>No</v>
      </c>
      <c r="G113" s="2" t="str">
        <f>VLOOKUP(A113,[1]Manual_Coding_Template!$A$2:$I$154,7,FALSE)</f>
        <v>Excluded</v>
      </c>
      <c r="H113" s="2" t="str">
        <f>VLOOKUP(A113,[1]Manual_Coding_Template!$A$2:$I$154,8,FALSE)</f>
        <v>Excluded: the abstract does not provide sufficient information about a programming context or a clear operationalization or mapping between CT and programming.</v>
      </c>
      <c r="I113" s="2"/>
    </row>
    <row r="114" spans="1:9" ht="405" hidden="1" x14ac:dyDescent="0.25">
      <c r="A114" s="2" t="s">
        <v>560</v>
      </c>
      <c r="B114" s="2" t="s">
        <v>879</v>
      </c>
      <c r="C114" s="2" t="s">
        <v>499</v>
      </c>
      <c r="D114" s="2" t="str">
        <f>VLOOKUP(A114,[1]Manual_Coding_Template!$A$2:$I$154,4,FALSE)</f>
        <v>Yes</v>
      </c>
      <c r="E114" s="2" t="str">
        <f>VLOOKUP(A114,[1]Manual_Coding_Template!$A$2:$I$154,5,FALSE)</f>
        <v>No</v>
      </c>
      <c r="F114" s="2" t="str">
        <f>VLOOKUP(A114,[1]Manual_Coding_Template!$A$2:$I$154,6,FALSE)</f>
        <v>Partially</v>
      </c>
      <c r="G114" s="2" t="str">
        <f>VLOOKUP(A114,[1]Manual_Coding_Template!$A$2:$I$154,7,FALSE)</f>
        <v>Excluded</v>
      </c>
      <c r="H114" s="2" t="str">
        <f>VLOOKUP(A114,[1]Manual_Coding_Template!$A$2:$I$154,8,FALSE)</f>
        <v>Excluded: although the study is situated in an educational robotics context linked to CT development, the abstract focuses on the summer camp experience and challenge-based learning rather than a clear operationalization or mapping between CT and programming.</v>
      </c>
      <c r="I114" s="2"/>
    </row>
    <row r="115" spans="1:9" ht="409.5" hidden="1" x14ac:dyDescent="0.25">
      <c r="A115" s="2" t="s">
        <v>566</v>
      </c>
      <c r="B115" s="2" t="s">
        <v>878</v>
      </c>
      <c r="C115" s="2" t="s">
        <v>499</v>
      </c>
      <c r="D115" s="2" t="str">
        <f>VLOOKUP(A115,[1]Manual_Coding_Template!$A$2:$I$154,4,FALSE)</f>
        <v>Yes</v>
      </c>
      <c r="E115" s="2" t="str">
        <f>VLOOKUP(A115,[1]Manual_Coding_Template!$A$2:$I$154,5,FALSE)</f>
        <v>No</v>
      </c>
      <c r="F115" s="2" t="str">
        <f>VLOOKUP(A115,[1]Manual_Coding_Template!$A$2:$I$154,6,FALSE)</f>
        <v>Yes</v>
      </c>
      <c r="G115" s="2" t="str">
        <f>VLOOKUP(A115,[1]Manual_Coding_Template!$A$2:$I$154,7,FALSE)</f>
        <v>Excluded</v>
      </c>
      <c r="H115" s="2" t="str">
        <f>VLOOKUP(A115,[1]Manual_Coding_Template!$A$2:$I$154,8,FALSE)</f>
        <v>Excluded: although the study discusses computational thinking, computer science, and programming in primary education, the abstract mainly reports perceived impacts and implementation experiences rather than a clear operationalization or mapping between CT and programming.</v>
      </c>
      <c r="I115" s="2"/>
    </row>
    <row r="116" spans="1:9" ht="409.5" hidden="1" x14ac:dyDescent="0.25">
      <c r="A116" s="2" t="s">
        <v>570</v>
      </c>
      <c r="B116" s="2" t="s">
        <v>877</v>
      </c>
      <c r="C116" s="2" t="s">
        <v>499</v>
      </c>
      <c r="D116" s="2" t="str">
        <f>VLOOKUP(A116,[1]Manual_Coding_Template!$A$2:$I$154,4,FALSE)</f>
        <v>Yes</v>
      </c>
      <c r="E116" s="2" t="str">
        <f>VLOOKUP(A116,[1]Manual_Coding_Template!$A$2:$I$154,5,FALSE)</f>
        <v>No</v>
      </c>
      <c r="F116" s="2" t="str">
        <f>VLOOKUP(A116,[1]Manual_Coding_Template!$A$2:$I$154,6,FALSE)</f>
        <v>No</v>
      </c>
      <c r="G116" s="2" t="str">
        <f>VLOOKUP(A116,[1]Manual_Coding_Template!$A$2:$I$154,7,FALSE)</f>
        <v>Excluded</v>
      </c>
      <c r="H116" s="2" t="str">
        <f>VLOOKUP(A116,[1]Manual_Coding_Template!$A$2:$I$154,8,FALSE)</f>
        <v>Excluded: although the study discusses the relationship between computational thinking, coding, and computer science, it is primarily conceptual and does not provide a clear operationalization or mapping between CT and programming.</v>
      </c>
      <c r="I116" s="2"/>
    </row>
    <row r="117" spans="1:9" ht="255" hidden="1" x14ac:dyDescent="0.25">
      <c r="A117" s="2" t="s">
        <v>575</v>
      </c>
      <c r="B117" s="2" t="s">
        <v>876</v>
      </c>
      <c r="C117" s="2" t="s">
        <v>499</v>
      </c>
      <c r="D117" s="2" t="str">
        <f>VLOOKUP(A117,[1]Manual_Coding_Template!$A$2:$I$154,4,FALSE)</f>
        <v>Yes</v>
      </c>
      <c r="E117" s="2" t="str">
        <f>VLOOKUP(A117,[1]Manual_Coding_Template!$A$2:$I$154,5,FALSE)</f>
        <v>No</v>
      </c>
      <c r="F117" s="2" t="str">
        <f>VLOOKUP(A117,[1]Manual_Coding_Template!$A$2:$I$154,6,FALSE)</f>
        <v>No</v>
      </c>
      <c r="G117" s="2" t="str">
        <f>VLOOKUP(A117,[1]Manual_Coding_Template!$A$2:$I$154,7,FALSE)</f>
        <v>Excluded</v>
      </c>
      <c r="H117" s="2" t="str">
        <f>VLOOKUP(A117,[1]Manual_Coding_Template!$A$2:$I$154,8,FALSE)</f>
        <v>Excluded: although the study examines computational thinking skills through unplugged tasks, the abstract does not describe a programming context or a clear mapping between CT and programming.</v>
      </c>
      <c r="I117" s="2"/>
    </row>
    <row r="118" spans="1:9" ht="405" hidden="1" x14ac:dyDescent="0.25">
      <c r="A118" s="2" t="s">
        <v>577</v>
      </c>
      <c r="B118" s="2" t="s">
        <v>578</v>
      </c>
      <c r="C118" s="2" t="s">
        <v>499</v>
      </c>
      <c r="D118" s="2" t="str">
        <f>VLOOKUP(A118,[1]Manual_Coding_Template!$A$2:$I$154,4,FALSE)</f>
        <v>Yes</v>
      </c>
      <c r="E118" s="2" t="str">
        <f>VLOOKUP(A118,[1]Manual_Coding_Template!$A$2:$I$154,5,FALSE)</f>
        <v>No</v>
      </c>
      <c r="F118" s="2" t="str">
        <f>VLOOKUP(A118,[1]Manual_Coding_Template!$A$2:$I$154,6,FALSE)</f>
        <v>No</v>
      </c>
      <c r="G118" s="2" t="str">
        <f>VLOOKUP(A118,[1]Manual_Coding_Template!$A$2:$I$154,7,FALSE)</f>
        <v>Excluded</v>
      </c>
      <c r="H118" s="2" t="str">
        <f>VLOOKUP(A118,[1]Manual_Coding_Template!$A$2:$I$154,8,FALSE)</f>
        <v>Excluded: although the study examines computational thinking development and refers to algorithmic thinking and problem solving, the focus is on blended learning and educational outcomes rather than a programming context with a clear operationalization or mapping between CT and programming.</v>
      </c>
      <c r="I118" s="2"/>
    </row>
    <row r="119" spans="1:9" ht="409.5" hidden="1" x14ac:dyDescent="0.25">
      <c r="A119" s="2" t="s">
        <v>580</v>
      </c>
      <c r="B119" s="2" t="s">
        <v>875</v>
      </c>
      <c r="C119" s="2" t="s">
        <v>499</v>
      </c>
      <c r="D119" s="2" t="str">
        <f>VLOOKUP(A119,[1]Manual_Coding_Template!$A$2:$I$154,4,FALSE)</f>
        <v>Yes</v>
      </c>
      <c r="E119" s="2" t="str">
        <f>VLOOKUP(A119,[1]Manual_Coding_Template!$A$2:$I$154,5,FALSE)</f>
        <v>Partially</v>
      </c>
      <c r="F119" s="2" t="str">
        <f>VLOOKUP(A119,[1]Manual_Coding_Template!$A$2:$I$154,6,FALSE)</f>
        <v>Yes</v>
      </c>
      <c r="G119" s="2" t="str">
        <f>VLOOKUP(A119,[1]Manual_Coding_Template!$A$2:$I$154,7,FALSE)</f>
        <v>Included</v>
      </c>
      <c r="H119" s="2" t="str">
        <f>VLOOKUP(A119,[1]Manual_Coding_Template!$A$2:$I$154,8,FALSE)</f>
        <v>Included for full-text screening: the study explicitly focuses on computational thinking in a robotics programming context and discusses abstraction, automation, and analysis in relation to students’ programming interactions, suggesting a possible operationalization between CT concepts and programming practices relevant to the study.</v>
      </c>
      <c r="I119" s="2"/>
    </row>
    <row r="120" spans="1:9" ht="255" hidden="1" x14ac:dyDescent="0.25">
      <c r="A120" s="2" t="s">
        <v>582</v>
      </c>
      <c r="B120" s="2" t="s">
        <v>583</v>
      </c>
      <c r="C120" s="2" t="s">
        <v>584</v>
      </c>
      <c r="D120" s="2" t="e">
        <f>VLOOKUP(A120,[1]Manual_Coding_Template!$A$2:$I$154,4,FALSE)</f>
        <v>#N/A</v>
      </c>
      <c r="E120" s="2" t="e">
        <f>VLOOKUP(A120,[1]Manual_Coding_Template!$A$2:$I$154,5,FALSE)</f>
        <v>#N/A</v>
      </c>
      <c r="F120" s="2" t="e">
        <f>VLOOKUP(A120,[1]Manual_Coding_Template!$A$2:$I$154,6,FALSE)</f>
        <v>#N/A</v>
      </c>
      <c r="G120" s="2" t="e">
        <f>VLOOKUP(A120,[1]Manual_Coding_Template!$A$2:$I$154,7,FALSE)</f>
        <v>#N/A</v>
      </c>
      <c r="H120" s="2" t="e">
        <f>VLOOKUP(A120,[1]Manual_Coding_Template!$A$2:$I$154,8,FALSE)</f>
        <v>#N/A</v>
      </c>
      <c r="I120" s="2"/>
    </row>
    <row r="121" spans="1:9" ht="409.5" hidden="1" x14ac:dyDescent="0.25">
      <c r="A121" s="2" t="s">
        <v>587</v>
      </c>
      <c r="B121" s="2" t="s">
        <v>588</v>
      </c>
      <c r="C121" s="2" t="s">
        <v>584</v>
      </c>
      <c r="D121" s="2" t="str">
        <f>VLOOKUP(A121,[1]Manual_Coding_Template!$A$2:$I$154,4,FALSE)</f>
        <v>Yes</v>
      </c>
      <c r="E121" s="2" t="str">
        <f>VLOOKUP(A121,[1]Manual_Coding_Template!$A$2:$I$154,5,FALSE)</f>
        <v>No</v>
      </c>
      <c r="F121" s="2" t="str">
        <f>VLOOKUP(A121,[1]Manual_Coding_Template!$A$2:$I$154,6,FALSE)</f>
        <v>Yes</v>
      </c>
      <c r="G121" s="2" t="str">
        <f>VLOOKUP(A121,[1]Manual_Coding_Template!$A$2:$I$154,7,FALSE)</f>
        <v>Excluded</v>
      </c>
      <c r="H121" s="2" t="str">
        <f>VLOOKUP(A121,[1]Manual_Coding_Template!$A$2:$I$154,8,FALSE)</f>
        <v>Excluded: although the study is situated in a pair-programming context and examines computational thinking performance, the focus is on dialogue analysis and interaction patterns rather than a clear operationalization or mapping between CT and programming.</v>
      </c>
      <c r="I121" s="2"/>
    </row>
    <row r="122" spans="1:9" ht="409.5" hidden="1" x14ac:dyDescent="0.25">
      <c r="A122" s="2" t="s">
        <v>592</v>
      </c>
      <c r="B122" s="2" t="s">
        <v>593</v>
      </c>
      <c r="C122" s="2" t="s">
        <v>584</v>
      </c>
      <c r="D122" s="2" t="str">
        <f>VLOOKUP(A122,[1]Manual_Coding_Template!$A$2:$I$154,4,FALSE)</f>
        <v>No</v>
      </c>
      <c r="E122" s="2" t="str">
        <f>VLOOKUP(A122,[1]Manual_Coding_Template!$A$2:$I$154,5,FALSE)</f>
        <v>No</v>
      </c>
      <c r="F122" s="2" t="str">
        <f>VLOOKUP(A122,[1]Manual_Coding_Template!$A$2:$I$154,6,FALSE)</f>
        <v>Yes</v>
      </c>
      <c r="G122" s="2" t="str">
        <f>VLOOKUP(A122,[1]Manual_Coding_Template!$A$2:$I$154,7,FALSE)</f>
        <v>Excluded</v>
      </c>
      <c r="H122" s="2" t="str">
        <f>VLOOKUP(A122,[1]Manual_Coding_Template!$A$2:$I$154,8,FALSE)</f>
        <v>Excluded: although the study involves block-based programming lessons, the focus is on curriculum design, scaffolding, and pedagogical practices rather than a clear operationalization or mapping between CT and programming.</v>
      </c>
      <c r="I122" s="2"/>
    </row>
    <row r="123" spans="1:9" ht="240" hidden="1" x14ac:dyDescent="0.25">
      <c r="A123" s="2" t="s">
        <v>597</v>
      </c>
      <c r="B123" s="2" t="s">
        <v>598</v>
      </c>
      <c r="C123" s="2" t="s">
        <v>584</v>
      </c>
      <c r="D123" s="2" t="e">
        <f>VLOOKUP(A123,[1]Manual_Coding_Template!$A$2:$I$154,4,FALSE)</f>
        <v>#N/A</v>
      </c>
      <c r="E123" s="2" t="e">
        <f>VLOOKUP(A123,[1]Manual_Coding_Template!$A$2:$I$154,5,FALSE)</f>
        <v>#N/A</v>
      </c>
      <c r="F123" s="2" t="e">
        <f>VLOOKUP(A123,[1]Manual_Coding_Template!$A$2:$I$154,6,FALSE)</f>
        <v>#N/A</v>
      </c>
      <c r="G123" s="2" t="e">
        <f>VLOOKUP(A123,[1]Manual_Coding_Template!$A$2:$I$154,7,FALSE)</f>
        <v>#N/A</v>
      </c>
      <c r="H123" s="2" t="e">
        <f>VLOOKUP(A123,[1]Manual_Coding_Template!$A$2:$I$154,8,FALSE)</f>
        <v>#N/A</v>
      </c>
      <c r="I123" s="2"/>
    </row>
    <row r="124" spans="1:9" ht="409.5" hidden="1" x14ac:dyDescent="0.25">
      <c r="A124" s="2" t="s">
        <v>602</v>
      </c>
      <c r="B124" s="2" t="s">
        <v>603</v>
      </c>
      <c r="C124" s="2" t="s">
        <v>584</v>
      </c>
      <c r="D124" s="2" t="str">
        <f>VLOOKUP(A124,[1]Manual_Coding_Template!$A$2:$I$154,4,FALSE)</f>
        <v>Yes</v>
      </c>
      <c r="E124" s="2" t="str">
        <f>VLOOKUP(A124,[1]Manual_Coding_Template!$A$2:$I$154,5,FALSE)</f>
        <v>Partially</v>
      </c>
      <c r="F124" s="2" t="str">
        <f>VLOOKUP(A124,[1]Manual_Coding_Template!$A$2:$I$154,6,FALSE)</f>
        <v>Yes</v>
      </c>
      <c r="G124" s="2" t="str">
        <f>VLOOKUP(A124,[1]Manual_Coding_Template!$A$2:$I$154,7,FALSE)</f>
        <v>Included</v>
      </c>
      <c r="H124" s="2" t="str">
        <f>VLOOKUP(A124,[1]Manual_Coding_Template!$A$2:$I$154,8,FALSE)</f>
        <v>Included for full-text screening: the study explicitly focuses on computational thinking in a context involving programming and algorithms and proposes a tool intended to support CT development through problem-based learning, suggesting a possible operationalization between CT and programming relevant to the study.</v>
      </c>
      <c r="I124" s="2"/>
    </row>
    <row r="125" spans="1:9" ht="285" hidden="1" x14ac:dyDescent="0.25">
      <c r="A125" s="2" t="s">
        <v>607</v>
      </c>
      <c r="B125" s="2" t="s">
        <v>608</v>
      </c>
      <c r="C125" s="2" t="s">
        <v>584</v>
      </c>
      <c r="D125" s="2" t="e">
        <f>VLOOKUP(A125,[1]Manual_Coding_Template!$A$2:$I$154,4,FALSE)</f>
        <v>#N/A</v>
      </c>
      <c r="E125" s="2" t="e">
        <f>VLOOKUP(A125,[1]Manual_Coding_Template!$A$2:$I$154,5,FALSE)</f>
        <v>#N/A</v>
      </c>
      <c r="F125" s="2" t="e">
        <f>VLOOKUP(A125,[1]Manual_Coding_Template!$A$2:$I$154,6,FALSE)</f>
        <v>#N/A</v>
      </c>
      <c r="G125" s="2" t="e">
        <f>VLOOKUP(A125,[1]Manual_Coding_Template!$A$2:$I$154,7,FALSE)</f>
        <v>#N/A</v>
      </c>
      <c r="H125" s="2" t="e">
        <f>VLOOKUP(A125,[1]Manual_Coding_Template!$A$2:$I$154,8,FALSE)</f>
        <v>#N/A</v>
      </c>
      <c r="I125" s="2"/>
    </row>
    <row r="126" spans="1:9" ht="300" hidden="1" x14ac:dyDescent="0.25">
      <c r="A126" s="2" t="s">
        <v>612</v>
      </c>
      <c r="B126" s="2" t="s">
        <v>613</v>
      </c>
      <c r="C126" s="2" t="s">
        <v>584</v>
      </c>
      <c r="D126" s="2" t="e">
        <f>VLOOKUP(A126,[1]Manual_Coding_Template!$A$2:$I$154,4,FALSE)</f>
        <v>#N/A</v>
      </c>
      <c r="E126" s="2" t="e">
        <f>VLOOKUP(A126,[1]Manual_Coding_Template!$A$2:$I$154,5,FALSE)</f>
        <v>#N/A</v>
      </c>
      <c r="F126" s="2" t="e">
        <f>VLOOKUP(A126,[1]Manual_Coding_Template!$A$2:$I$154,6,FALSE)</f>
        <v>#N/A</v>
      </c>
      <c r="G126" s="2" t="e">
        <f>VLOOKUP(A126,[1]Manual_Coding_Template!$A$2:$I$154,7,FALSE)</f>
        <v>#N/A</v>
      </c>
      <c r="H126" s="2" t="e">
        <f>VLOOKUP(A126,[1]Manual_Coding_Template!$A$2:$I$154,8,FALSE)</f>
        <v>#N/A</v>
      </c>
      <c r="I126" s="2"/>
    </row>
    <row r="127" spans="1:9" ht="375" hidden="1" x14ac:dyDescent="0.25">
      <c r="A127" s="2" t="s">
        <v>617</v>
      </c>
      <c r="B127" s="2" t="s">
        <v>618</v>
      </c>
      <c r="C127" s="2" t="s">
        <v>584</v>
      </c>
      <c r="D127" s="2" t="str">
        <f>VLOOKUP(A127,[1]Manual_Coding_Template!$A$2:$I$154,4,FALSE)</f>
        <v>Yes</v>
      </c>
      <c r="E127" s="2" t="str">
        <f>VLOOKUP(A127,[1]Manual_Coding_Template!$A$2:$I$154,5,FALSE)</f>
        <v>No</v>
      </c>
      <c r="F127" s="2" t="str">
        <f>VLOOKUP(A127,[1]Manual_Coding_Template!$A$2:$I$154,6,FALSE)</f>
        <v>Yes</v>
      </c>
      <c r="G127" s="2" t="str">
        <f>VLOOKUP(A127,[1]Manual_Coding_Template!$A$2:$I$154,7,FALSE)</f>
        <v>Excluded</v>
      </c>
      <c r="H127" s="2" t="str">
        <f>VLOOKUP(A127,[1]Manual_Coding_Template!$A$2:$I$154,8,FALSE)</f>
        <v>Excluded: although the study explores computational thinking in a coding game context, the focus is on children’s engagement with CT competencies in an informal setting rather than a clear operationalization or mapping between CT and programming.</v>
      </c>
      <c r="I127" s="2"/>
    </row>
    <row r="128" spans="1:9" ht="345" hidden="1" x14ac:dyDescent="0.25">
      <c r="A128" s="2" t="s">
        <v>622</v>
      </c>
      <c r="B128" s="2" t="s">
        <v>623</v>
      </c>
      <c r="C128" s="2" t="s">
        <v>584</v>
      </c>
      <c r="D128" s="2" t="str">
        <f>VLOOKUP(A128,[1]Manual_Coding_Template!$A$2:$I$154,4,FALSE)</f>
        <v>Yes</v>
      </c>
      <c r="E128" s="2" t="str">
        <f>VLOOKUP(A128,[1]Manual_Coding_Template!$A$2:$I$154,5,FALSE)</f>
        <v>No</v>
      </c>
      <c r="F128" s="2" t="str">
        <f>VLOOKUP(A128,[1]Manual_Coding_Template!$A$2:$I$154,6,FALSE)</f>
        <v>Yes</v>
      </c>
      <c r="G128" s="2" t="str">
        <f>VLOOKUP(A128,[1]Manual_Coding_Template!$A$2:$I$154,7,FALSE)</f>
        <v>Excluded</v>
      </c>
      <c r="H128" s="2" t="str">
        <f>VLOOKUP(A128,[1]Manual_Coding_Template!$A$2:$I$154,8,FALSE)</f>
        <v>Excluded: although the study discusses computational thinking and programming through CodeCombat and CT-related instruments, the focus is on talent identification and learning motivation rather than a clear mapping between CT elements and programming elements.</v>
      </c>
      <c r="I128" s="2"/>
    </row>
    <row r="129" spans="1:9" ht="409.5" hidden="1" x14ac:dyDescent="0.25">
      <c r="A129" s="2" t="s">
        <v>626</v>
      </c>
      <c r="B129" s="2" t="s">
        <v>627</v>
      </c>
      <c r="C129" s="2" t="s">
        <v>584</v>
      </c>
      <c r="D129" s="2" t="str">
        <f>VLOOKUP(A129,[1]Manual_Coding_Template!$A$2:$I$154,4,FALSE)</f>
        <v>Yes</v>
      </c>
      <c r="E129" s="2" t="str">
        <f>VLOOKUP(A129,[1]Manual_Coding_Template!$A$2:$I$154,5,FALSE)</f>
        <v>Partially</v>
      </c>
      <c r="F129" s="2" t="str">
        <f>VLOOKUP(A129,[1]Manual_Coding_Template!$A$2:$I$154,6,FALSE)</f>
        <v>Yes</v>
      </c>
      <c r="G129" s="2" t="str">
        <f>VLOOKUP(A129,[1]Manual_Coding_Template!$A$2:$I$154,7,FALSE)</f>
        <v>Included</v>
      </c>
      <c r="H129" s="2" t="str">
        <f>VLOOKUP(A129,[1]Manual_Coding_Template!$A$2:$I$154,8,FALSE)</f>
        <v>Included for full-text screening: although the BCT instrument does not explicitly map CT elements to programming elements, the study discusses sequencing, loops, and conditions (CT concepts aligned with Brennan &amp; Resnick) within Bee-Bot programming activities, suggesting a possible connection between CT concepts and programming relevant to the study.</v>
      </c>
      <c r="I129" s="2"/>
    </row>
    <row r="130" spans="1:9" ht="409.5" hidden="1" x14ac:dyDescent="0.25">
      <c r="A130" s="2" t="s">
        <v>630</v>
      </c>
      <c r="B130" s="2" t="s">
        <v>631</v>
      </c>
      <c r="C130" s="2" t="s">
        <v>584</v>
      </c>
      <c r="D130" s="2" t="str">
        <f>VLOOKUP(A130,[1]Manual_Coding_Template!$A$2:$I$154,4,FALSE)</f>
        <v>Yes</v>
      </c>
      <c r="E130" s="2" t="str">
        <f>VLOOKUP(A130,[1]Manual_Coding_Template!$A$2:$I$154,5,FALSE)</f>
        <v>No</v>
      </c>
      <c r="F130" s="2" t="str">
        <f>VLOOKUP(A130,[1]Manual_Coding_Template!$A$2:$I$154,6,FALSE)</f>
        <v>Partially</v>
      </c>
      <c r="G130" s="2" t="str">
        <f>VLOOKUP(A130,[1]Manual_Coding_Template!$A$2:$I$154,7,FALSE)</f>
        <v>Excluded</v>
      </c>
      <c r="H130" s="2" t="str">
        <f>VLOOKUP(A130,[1]Manual_Coding_Template!$A$2:$I$154,8,FALSE)</f>
        <v>Excluded: although the study evaluates a computational thinking assessment and compares outcomes in a ScratchJr coding intervention, the focus is on score normalization and assessment validity rather than a clear operationalization or mapping between CT and programming.</v>
      </c>
      <c r="I130" s="2"/>
    </row>
    <row r="131" spans="1:9" ht="405" hidden="1" x14ac:dyDescent="0.25">
      <c r="A131" s="2" t="s">
        <v>635</v>
      </c>
      <c r="B131" s="2" t="s">
        <v>636</v>
      </c>
      <c r="C131" s="2" t="s">
        <v>584</v>
      </c>
      <c r="D131" s="2" t="e">
        <f>VLOOKUP(A131,[1]Manual_Coding_Template!$A$2:$I$154,4,FALSE)</f>
        <v>#N/A</v>
      </c>
      <c r="E131" s="2" t="e">
        <f>VLOOKUP(A131,[1]Manual_Coding_Template!$A$2:$I$154,5,FALSE)</f>
        <v>#N/A</v>
      </c>
      <c r="F131" s="2" t="e">
        <f>VLOOKUP(A131,[1]Manual_Coding_Template!$A$2:$I$154,6,FALSE)</f>
        <v>#N/A</v>
      </c>
      <c r="G131" s="2" t="e">
        <f>VLOOKUP(A131,[1]Manual_Coding_Template!$A$2:$I$154,7,FALSE)</f>
        <v>#N/A</v>
      </c>
      <c r="H131" s="2" t="e">
        <f>VLOOKUP(A131,[1]Manual_Coding_Template!$A$2:$I$154,8,FALSE)</f>
        <v>#N/A</v>
      </c>
      <c r="I131" s="2"/>
    </row>
    <row r="132" spans="1:9" ht="330" hidden="1" x14ac:dyDescent="0.25">
      <c r="A132" s="2" t="s">
        <v>640</v>
      </c>
      <c r="B132" s="2" t="s">
        <v>641</v>
      </c>
      <c r="C132" s="2" t="s">
        <v>584</v>
      </c>
      <c r="D132" s="2" t="e">
        <f>VLOOKUP(A132,[1]Manual_Coding_Template!$A$2:$I$154,4,FALSE)</f>
        <v>#N/A</v>
      </c>
      <c r="E132" s="2" t="e">
        <f>VLOOKUP(A132,[1]Manual_Coding_Template!$A$2:$I$154,5,FALSE)</f>
        <v>#N/A</v>
      </c>
      <c r="F132" s="2" t="e">
        <f>VLOOKUP(A132,[1]Manual_Coding_Template!$A$2:$I$154,6,FALSE)</f>
        <v>#N/A</v>
      </c>
      <c r="G132" s="2" t="e">
        <f>VLOOKUP(A132,[1]Manual_Coding_Template!$A$2:$I$154,7,FALSE)</f>
        <v>#N/A</v>
      </c>
      <c r="H132" s="2" t="e">
        <f>VLOOKUP(A132,[1]Manual_Coding_Template!$A$2:$I$154,8,FALSE)</f>
        <v>#N/A</v>
      </c>
      <c r="I132" s="2"/>
    </row>
    <row r="133" spans="1:9" ht="409.5" hidden="1" x14ac:dyDescent="0.25">
      <c r="A133" s="2" t="s">
        <v>645</v>
      </c>
      <c r="B133" s="2" t="s">
        <v>646</v>
      </c>
      <c r="C133" s="2" t="s">
        <v>584</v>
      </c>
      <c r="D133" s="2" t="e">
        <f>VLOOKUP(A133,[1]Manual_Coding_Template!$A$2:$I$154,4,FALSE)</f>
        <v>#N/A</v>
      </c>
      <c r="E133" s="2" t="e">
        <f>VLOOKUP(A133,[1]Manual_Coding_Template!$A$2:$I$154,5,FALSE)</f>
        <v>#N/A</v>
      </c>
      <c r="F133" s="2" t="e">
        <f>VLOOKUP(A133,[1]Manual_Coding_Template!$A$2:$I$154,6,FALSE)</f>
        <v>#N/A</v>
      </c>
      <c r="G133" s="2" t="e">
        <f>VLOOKUP(A133,[1]Manual_Coding_Template!$A$2:$I$154,7,FALSE)</f>
        <v>#N/A</v>
      </c>
      <c r="H133" s="2" t="e">
        <f>VLOOKUP(A133,[1]Manual_Coding_Template!$A$2:$I$154,8,FALSE)</f>
        <v>#N/A</v>
      </c>
      <c r="I133" s="2"/>
    </row>
    <row r="134" spans="1:9" ht="345" hidden="1" x14ac:dyDescent="0.25">
      <c r="A134" s="2" t="s">
        <v>650</v>
      </c>
      <c r="B134" s="2" t="s">
        <v>651</v>
      </c>
      <c r="C134" s="2" t="s">
        <v>584</v>
      </c>
      <c r="D134" s="2" t="str">
        <f>VLOOKUP(A134,[1]Manual_Coding_Template!$A$2:$I$154,4,FALSE)</f>
        <v>Yes</v>
      </c>
      <c r="E134" s="2" t="str">
        <f>VLOOKUP(A134,[1]Manual_Coding_Template!$A$2:$I$154,5,FALSE)</f>
        <v>Partially</v>
      </c>
      <c r="F134" s="2" t="str">
        <f>VLOOKUP(A134,[1]Manual_Coding_Template!$A$2:$I$154,6,FALSE)</f>
        <v>Yes</v>
      </c>
      <c r="G134" s="2" t="str">
        <f>VLOOKUP(A134,[1]Manual_Coding_Template!$A$2:$I$154,7,FALSE)</f>
        <v>Included</v>
      </c>
      <c r="H134" s="2" t="str">
        <f>VLOOKUP(A134,[1]Manual_Coding_Template!$A$2:$I$154,8,FALSE)</f>
        <v>Include for full-text screening: the abstract explicitly focuses on computational thinking integration and describes the use of coding tools in instructional design, suggesting a connection between CT and programming.</v>
      </c>
      <c r="I134" s="2"/>
    </row>
    <row r="135" spans="1:9" ht="360" hidden="1" x14ac:dyDescent="0.25">
      <c r="A135" s="2" t="s">
        <v>655</v>
      </c>
      <c r="B135" s="2" t="s">
        <v>656</v>
      </c>
      <c r="C135" s="2" t="s">
        <v>584</v>
      </c>
      <c r="D135" s="2" t="e">
        <f>VLOOKUP(A135,[1]Manual_Coding_Template!$A$2:$I$154,4,FALSE)</f>
        <v>#N/A</v>
      </c>
      <c r="E135" s="2" t="e">
        <f>VLOOKUP(A135,[1]Manual_Coding_Template!$A$2:$I$154,5,FALSE)</f>
        <v>#N/A</v>
      </c>
      <c r="F135" s="2" t="e">
        <f>VLOOKUP(A135,[1]Manual_Coding_Template!$A$2:$I$154,6,FALSE)</f>
        <v>#N/A</v>
      </c>
      <c r="G135" s="2" t="e">
        <f>VLOOKUP(A135,[1]Manual_Coding_Template!$A$2:$I$154,7,FALSE)</f>
        <v>#N/A</v>
      </c>
      <c r="H135" s="2" t="e">
        <f>VLOOKUP(A135,[1]Manual_Coding_Template!$A$2:$I$154,8,FALSE)</f>
        <v>#N/A</v>
      </c>
      <c r="I135" s="2"/>
    </row>
    <row r="136" spans="1:9" ht="409.5" hidden="1" x14ac:dyDescent="0.25">
      <c r="A136" s="2" t="s">
        <v>659</v>
      </c>
      <c r="B136" s="2" t="s">
        <v>660</v>
      </c>
      <c r="C136" s="2" t="s">
        <v>584</v>
      </c>
      <c r="D136" s="2" t="str">
        <f>VLOOKUP(A136,[1]Manual_Coding_Template!$A$2:$I$154,4,FALSE)</f>
        <v>Yes</v>
      </c>
      <c r="E136" s="2" t="str">
        <f>VLOOKUP(A136,[1]Manual_Coding_Template!$A$2:$I$154,5,FALSE)</f>
        <v>No</v>
      </c>
      <c r="F136" s="2" t="str">
        <f>VLOOKUP(A136,[1]Manual_Coding_Template!$A$2:$I$154,6,FALSE)</f>
        <v>Yes</v>
      </c>
      <c r="G136" s="2" t="str">
        <f>VLOOKUP(A136,[1]Manual_Coding_Template!$A$2:$I$154,7,FALSE)</f>
        <v>Excluded</v>
      </c>
      <c r="H136" s="2" t="str">
        <f>VLOOKUP(A136,[1]Manual_Coding_Template!$A$2:$I$154,8,FALSE)</f>
        <v>Excluded: although the study focuses on computational thinking in maker and robotics activities, the abstract emphasizes workshop design and CT development outcomes rather than a clear operationalization or connection between CT and programming.</v>
      </c>
      <c r="I136" s="2"/>
    </row>
    <row r="137" spans="1:9" ht="390" hidden="1" x14ac:dyDescent="0.25">
      <c r="A137" s="2" t="s">
        <v>664</v>
      </c>
      <c r="B137" s="2" t="s">
        <v>665</v>
      </c>
      <c r="C137" s="2" t="s">
        <v>584</v>
      </c>
      <c r="D137" s="2" t="e">
        <f>VLOOKUP(A137,[1]Manual_Coding_Template!$A$2:$I$154,4,FALSE)</f>
        <v>#N/A</v>
      </c>
      <c r="E137" s="2" t="e">
        <f>VLOOKUP(A137,[1]Manual_Coding_Template!$A$2:$I$154,5,FALSE)</f>
        <v>#N/A</v>
      </c>
      <c r="F137" s="2" t="e">
        <f>VLOOKUP(A137,[1]Manual_Coding_Template!$A$2:$I$154,6,FALSE)</f>
        <v>#N/A</v>
      </c>
      <c r="G137" s="2" t="e">
        <f>VLOOKUP(A137,[1]Manual_Coding_Template!$A$2:$I$154,7,FALSE)</f>
        <v>#N/A</v>
      </c>
      <c r="H137" s="2" t="e">
        <f>VLOOKUP(A137,[1]Manual_Coding_Template!$A$2:$I$154,8,FALSE)</f>
        <v>#N/A</v>
      </c>
      <c r="I137" s="2"/>
    </row>
    <row r="138" spans="1:9" ht="390" hidden="1" x14ac:dyDescent="0.25">
      <c r="A138" s="2" t="s">
        <v>669</v>
      </c>
      <c r="B138" s="2" t="s">
        <v>670</v>
      </c>
      <c r="C138" s="2" t="s">
        <v>584</v>
      </c>
      <c r="D138" s="2" t="str">
        <f>VLOOKUP(A138,[1]Manual_Coding_Template!$A$2:$I$154,4,FALSE)</f>
        <v>Yes</v>
      </c>
      <c r="E138" s="2" t="str">
        <f>VLOOKUP(A138,[1]Manual_Coding_Template!$A$2:$I$154,5,FALSE)</f>
        <v>No</v>
      </c>
      <c r="F138" s="2" t="str">
        <f>VLOOKUP(A138,[1]Manual_Coding_Template!$A$2:$I$154,6,FALSE)</f>
        <v>Yes</v>
      </c>
      <c r="G138" s="2" t="str">
        <f>VLOOKUP(A138,[1]Manual_Coding_Template!$A$2:$I$154,7,FALSE)</f>
        <v>Excluded</v>
      </c>
      <c r="H138" s="2" t="str">
        <f>VLOOKUP(A138,[1]Manual_Coding_Template!$A$2:$I$154,8,FALSE)</f>
        <v>Excluded: although the study is situated in a programming learning context and examines computational thinking perspectives, the focus is on computational identity formation rather than a clear operationalization or mapping between CT and programming.</v>
      </c>
      <c r="I138" s="2"/>
    </row>
    <row r="139" spans="1:9" ht="315" hidden="1" x14ac:dyDescent="0.25">
      <c r="A139" s="2" t="s">
        <v>673</v>
      </c>
      <c r="B139" s="2" t="s">
        <v>674</v>
      </c>
      <c r="C139" s="2" t="s">
        <v>584</v>
      </c>
      <c r="D139" s="2" t="str">
        <f>VLOOKUP(A139,[1]Manual_Coding_Template!$A$2:$I$154,4,FALSE)</f>
        <v>Yes</v>
      </c>
      <c r="E139" s="2" t="str">
        <f>VLOOKUP(A139,[1]Manual_Coding_Template!$A$2:$I$154,5,FALSE)</f>
        <v>No</v>
      </c>
      <c r="F139" s="2" t="str">
        <f>VLOOKUP(A139,[1]Manual_Coding_Template!$A$2:$I$154,6,FALSE)</f>
        <v>Partially</v>
      </c>
      <c r="G139" s="2" t="str">
        <f>VLOOKUP(A139,[1]Manual_Coding_Template!$A$2:$I$154,7,FALSE)</f>
        <v>Excluded</v>
      </c>
      <c r="H139" s="2" t="str">
        <f>VLOOKUP(A139,[1]Manual_Coding_Template!$A$2:$I$154,8,FALSE)</f>
        <v>Excluded: although the study reviews CT assessment tools and highlights programming skills, the focus is on assessment practices and pedagogical approaches rather than a clear operationalization or mapping between CT and programming.</v>
      </c>
      <c r="I139" s="2"/>
    </row>
    <row r="140" spans="1:9" ht="409.5" hidden="1" x14ac:dyDescent="0.25">
      <c r="A140" s="2" t="s">
        <v>678</v>
      </c>
      <c r="B140" s="2" t="s">
        <v>679</v>
      </c>
      <c r="C140" s="2" t="s">
        <v>584</v>
      </c>
      <c r="D140" s="2" t="str">
        <f>VLOOKUP(A140,[1]Manual_Coding_Template!$A$2:$I$154,4,FALSE)</f>
        <v>Yes</v>
      </c>
      <c r="E140" s="2" t="str">
        <f>VLOOKUP(A140,[1]Manual_Coding_Template!$A$2:$I$154,5,FALSE)</f>
        <v>Yes</v>
      </c>
      <c r="F140" s="2" t="str">
        <f>VLOOKUP(A140,[1]Manual_Coding_Template!$A$2:$I$154,6,FALSE)</f>
        <v>Yes</v>
      </c>
      <c r="G140" s="2" t="str">
        <f>VLOOKUP(A140,[1]Manual_Coding_Template!$A$2:$I$154,7,FALSE)</f>
        <v>Included</v>
      </c>
      <c r="H140" s="2" t="str">
        <f>VLOOKUP(A140,[1]Manual_Coding_Template!$A$2:$I$154,8,FALSE)</f>
        <v>Include for full-text screening: the abstract explicitly addresses computational thinking in a programming-related context and suggests a possible connection between CT and programming.</v>
      </c>
      <c r="I140" s="2"/>
    </row>
    <row r="141" spans="1:9" ht="409.5" hidden="1" x14ac:dyDescent="0.25">
      <c r="A141" s="2" t="s">
        <v>683</v>
      </c>
      <c r="B141" s="2" t="s">
        <v>684</v>
      </c>
      <c r="C141" s="2" t="s">
        <v>584</v>
      </c>
      <c r="D141" s="2" t="str">
        <f>VLOOKUP(A141,[1]Manual_Coding_Template!$A$2:$I$154,4,FALSE)</f>
        <v>Partially</v>
      </c>
      <c r="E141" s="2" t="str">
        <f>VLOOKUP(A141,[1]Manual_Coding_Template!$A$2:$I$154,5,FALSE)</f>
        <v>Partially</v>
      </c>
      <c r="F141" s="2" t="str">
        <f>VLOOKUP(A141,[1]Manual_Coding_Template!$A$2:$I$154,6,FALSE)</f>
        <v>Yes</v>
      </c>
      <c r="G141" s="2" t="str">
        <f>VLOOKUP(A141,[1]Manual_Coding_Template!$A$2:$I$154,7,FALSE)</f>
        <v>Excluded</v>
      </c>
      <c r="H141" s="2" t="str">
        <f>VLOOKUP(A141,[1]Manual_Coding_Template!$A$2:$I$154,8,FALSE)</f>
        <v>Excluded: although computational thinking is discussed, the abstract mainly focuses on software development education and problem-solving methodology rather than a programming context directly connected to CT development.</v>
      </c>
      <c r="I141" s="2"/>
    </row>
    <row r="142" spans="1:9" ht="405" hidden="1" x14ac:dyDescent="0.25">
      <c r="A142" s="2" t="s">
        <v>688</v>
      </c>
      <c r="B142" s="2" t="s">
        <v>689</v>
      </c>
      <c r="C142" s="2" t="s">
        <v>584</v>
      </c>
      <c r="D142" s="2" t="e">
        <f>VLOOKUP(A142,[1]Manual_Coding_Template!$A$2:$I$154,4,FALSE)</f>
        <v>#N/A</v>
      </c>
      <c r="E142" s="2" t="e">
        <f>VLOOKUP(A142,[1]Manual_Coding_Template!$A$2:$I$154,5,FALSE)</f>
        <v>#N/A</v>
      </c>
      <c r="F142" s="2" t="e">
        <f>VLOOKUP(A142,[1]Manual_Coding_Template!$A$2:$I$154,6,FALSE)</f>
        <v>#N/A</v>
      </c>
      <c r="G142" s="2" t="e">
        <f>VLOOKUP(A142,[1]Manual_Coding_Template!$A$2:$I$154,7,FALSE)</f>
        <v>#N/A</v>
      </c>
      <c r="H142" s="2" t="e">
        <f>VLOOKUP(A142,[1]Manual_Coding_Template!$A$2:$I$154,8,FALSE)</f>
        <v>#N/A</v>
      </c>
      <c r="I142" s="2"/>
    </row>
    <row r="143" spans="1:9" ht="345" hidden="1" x14ac:dyDescent="0.25">
      <c r="A143" s="2" t="s">
        <v>693</v>
      </c>
      <c r="B143" s="2" t="s">
        <v>694</v>
      </c>
      <c r="C143" s="2" t="s">
        <v>584</v>
      </c>
      <c r="D143" s="2" t="str">
        <f>VLOOKUP(A143,[1]Manual_Coding_Template!$A$2:$I$154,4,FALSE)</f>
        <v>Yes</v>
      </c>
      <c r="E143" s="2" t="str">
        <f>VLOOKUP(A143,[1]Manual_Coding_Template!$A$2:$I$154,5,FALSE)</f>
        <v>No</v>
      </c>
      <c r="F143" s="2" t="str">
        <f>VLOOKUP(A143,[1]Manual_Coding_Template!$A$2:$I$154,6,FALSE)</f>
        <v>No</v>
      </c>
      <c r="G143" s="2" t="str">
        <f>VLOOKUP(A143,[1]Manual_Coding_Template!$A$2:$I$154,7,FALSE)</f>
        <v>Excluded</v>
      </c>
      <c r="H143" s="2" t="str">
        <f>VLOOKUP(A143,[1]Manual_Coding_Template!$A$2:$I$154,8,FALSE)</f>
        <v>Excluded: although the study examines computational thinking practices through a learning game, the abstract emphasizes gameplay and CT assessment rather than a programming context with a clear connection or operationalization between CT and programming.</v>
      </c>
      <c r="I143" s="2"/>
    </row>
    <row r="144" spans="1:9" ht="345" hidden="1" x14ac:dyDescent="0.25">
      <c r="A144" s="2" t="s">
        <v>698</v>
      </c>
      <c r="B144" s="2" t="s">
        <v>699</v>
      </c>
      <c r="C144" s="2" t="s">
        <v>584</v>
      </c>
      <c r="D144" s="2" t="e">
        <f>VLOOKUP(A144,[1]Manual_Coding_Template!$A$2:$I$154,4,FALSE)</f>
        <v>#N/A</v>
      </c>
      <c r="E144" s="2" t="e">
        <f>VLOOKUP(A144,[1]Manual_Coding_Template!$A$2:$I$154,5,FALSE)</f>
        <v>#N/A</v>
      </c>
      <c r="F144" s="2" t="e">
        <f>VLOOKUP(A144,[1]Manual_Coding_Template!$A$2:$I$154,6,FALSE)</f>
        <v>#N/A</v>
      </c>
      <c r="G144" s="2" t="e">
        <f>VLOOKUP(A144,[1]Manual_Coding_Template!$A$2:$I$154,7,FALSE)</f>
        <v>#N/A</v>
      </c>
      <c r="H144" s="2" t="e">
        <f>VLOOKUP(A144,[1]Manual_Coding_Template!$A$2:$I$154,8,FALSE)</f>
        <v>#N/A</v>
      </c>
      <c r="I144" s="2"/>
    </row>
    <row r="145" spans="1:9" ht="409.5" hidden="1" x14ac:dyDescent="0.25">
      <c r="A145" s="2" t="s">
        <v>703</v>
      </c>
      <c r="B145" s="2" t="s">
        <v>704</v>
      </c>
      <c r="C145" s="2" t="s">
        <v>584</v>
      </c>
      <c r="D145" s="2" t="str">
        <f>VLOOKUP(A145,[1]Manual_Coding_Template!$A$2:$I$154,4,FALSE)</f>
        <v>Yes</v>
      </c>
      <c r="E145" s="2" t="str">
        <f>VLOOKUP(A145,[1]Manual_Coding_Template!$A$2:$I$154,5,FALSE)</f>
        <v>No</v>
      </c>
      <c r="F145" s="2" t="str">
        <f>VLOOKUP(A145,[1]Manual_Coding_Template!$A$2:$I$154,6,FALSE)</f>
        <v>Yes</v>
      </c>
      <c r="G145" s="2" t="str">
        <f>VLOOKUP(A145,[1]Manual_Coding_Template!$A$2:$I$154,7,FALSE)</f>
        <v>Excluded</v>
      </c>
      <c r="H145" s="2" t="str">
        <f>VLOOKUP(A145,[1]Manual_Coding_Template!$A$2:$I$154,8,FALSE)</f>
        <v>Excluded: although the study addresses computational thinking in a Scratch programming context, the focus is on the effects of problem-based learning on performance, collaboration, and CT outcomes rather than a clear operationalization or mapping between CT and programming.</v>
      </c>
      <c r="I145" s="2"/>
    </row>
    <row r="146" spans="1:9" ht="409.5" hidden="1" x14ac:dyDescent="0.25">
      <c r="A146" s="2" t="s">
        <v>708</v>
      </c>
      <c r="B146" s="2" t="s">
        <v>709</v>
      </c>
      <c r="C146" s="2" t="s">
        <v>584</v>
      </c>
      <c r="D146" s="2" t="str">
        <f>VLOOKUP(A146,[1]Manual_Coding_Template!$A$2:$I$154,4,FALSE)</f>
        <v>Yes</v>
      </c>
      <c r="E146" s="2" t="str">
        <f>VLOOKUP(A146,[1]Manual_Coding_Template!$A$2:$I$154,5,FALSE)</f>
        <v>No</v>
      </c>
      <c r="F146" s="2" t="str">
        <f>VLOOKUP(A146,[1]Manual_Coding_Template!$A$2:$I$154,6,FALSE)</f>
        <v>Yes</v>
      </c>
      <c r="G146" s="2" t="str">
        <f>VLOOKUP(A146,[1]Manual_Coding_Template!$A$2:$I$154,7,FALSE)</f>
        <v>Excluded</v>
      </c>
      <c r="H146" s="2" t="str">
        <f>VLOOKUP(A146,[1]Manual_Coding_Template!$A$2:$I$154,8,FALSE)</f>
        <v>Excluded: although the review discusses computational thinking and programming in Arduino-based educational initiatives, the focus is on implementation, benefits, and educational outcomes rather than a clear operationalization or mapping between CT and programming.</v>
      </c>
      <c r="I146" s="2"/>
    </row>
  </sheetData>
  <autoFilter ref="A1:I146" xr:uid="{00000000-0009-0000-0000-000001000000}">
    <filterColumn colId="2">
      <filters>
        <filter val="Included"/>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1" topLeftCell="A2" activePane="bottomLeft" state="frozen"/>
      <selection pane="bottomLeft"/>
    </sheetView>
  </sheetViews>
  <sheetFormatPr defaultRowHeight="15" x14ac:dyDescent="0.25"/>
  <cols>
    <col min="1" max="1" width="32" customWidth="1"/>
    <col min="2" max="2" width="15" customWidth="1"/>
    <col min="3" max="3" width="17" customWidth="1"/>
  </cols>
  <sheetData>
    <row r="1" spans="1:3" x14ac:dyDescent="0.25">
      <c r="A1" s="1" t="s">
        <v>719</v>
      </c>
      <c r="B1" s="1" t="s">
        <v>720</v>
      </c>
      <c r="C1" s="1" t="s">
        <v>721</v>
      </c>
    </row>
    <row r="2" spans="1:3" x14ac:dyDescent="0.25">
      <c r="A2" s="2" t="s">
        <v>40</v>
      </c>
      <c r="B2" s="2">
        <v>289</v>
      </c>
      <c r="C2" s="2">
        <v>43</v>
      </c>
    </row>
    <row r="3" spans="1:3" x14ac:dyDescent="0.25">
      <c r="A3" s="2" t="s">
        <v>115</v>
      </c>
      <c r="B3" s="2">
        <v>375</v>
      </c>
      <c r="C3" s="2">
        <v>56</v>
      </c>
    </row>
    <row r="4" spans="1:3" x14ac:dyDescent="0.25">
      <c r="A4" s="2" t="s">
        <v>499</v>
      </c>
      <c r="B4" s="2">
        <v>19</v>
      </c>
      <c r="C4" s="2">
        <v>19</v>
      </c>
    </row>
    <row r="5" spans="1:3" x14ac:dyDescent="0.25">
      <c r="A5" s="2" t="s">
        <v>722</v>
      </c>
      <c r="B5" s="2">
        <v>19</v>
      </c>
      <c r="C5" s="2">
        <v>19</v>
      </c>
    </row>
    <row r="6" spans="1:3" x14ac:dyDescent="0.25">
      <c r="A6" s="2" t="s">
        <v>584</v>
      </c>
      <c r="B6" s="2">
        <v>30</v>
      </c>
      <c r="C6" s="2">
        <v>30</v>
      </c>
    </row>
    <row r="7" spans="1:3" x14ac:dyDescent="0.25">
      <c r="A7" s="2" t="s">
        <v>723</v>
      </c>
      <c r="B7" s="2">
        <v>683</v>
      </c>
      <c r="C7" s="2">
        <v>145</v>
      </c>
    </row>
  </sheetData>
  <autoFilter ref="A1:C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
  <sheetViews>
    <sheetView workbookViewId="0">
      <pane ySplit="1" topLeftCell="A19" activePane="bottomLeft" state="frozen"/>
      <selection pane="bottomLeft" activeCell="R20" sqref="R20"/>
    </sheetView>
  </sheetViews>
  <sheetFormatPr defaultRowHeight="15" x14ac:dyDescent="0.2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ht="30" x14ac:dyDescent="0.25">
      <c r="A1" s="1" t="s">
        <v>724</v>
      </c>
      <c r="B1" s="1" t="s">
        <v>0</v>
      </c>
      <c r="C1" s="1" t="s">
        <v>1</v>
      </c>
      <c r="D1" s="1" t="s">
        <v>4</v>
      </c>
      <c r="E1" s="1" t="s">
        <v>725</v>
      </c>
      <c r="F1" s="1" t="s">
        <v>726</v>
      </c>
      <c r="G1" s="1" t="s">
        <v>727</v>
      </c>
      <c r="H1" s="1" t="s">
        <v>6</v>
      </c>
      <c r="I1" s="1" t="s">
        <v>728</v>
      </c>
      <c r="J1" s="1" t="s">
        <v>729</v>
      </c>
      <c r="K1" s="1" t="s">
        <v>730</v>
      </c>
      <c r="L1" s="1" t="s">
        <v>731</v>
      </c>
      <c r="M1" s="1" t="s">
        <v>5</v>
      </c>
      <c r="N1" s="1" t="s">
        <v>7</v>
      </c>
      <c r="O1" s="1" t="s">
        <v>8</v>
      </c>
      <c r="P1" s="1" t="s">
        <v>9</v>
      </c>
      <c r="Q1" s="1" t="s">
        <v>10</v>
      </c>
      <c r="R1" s="1" t="s">
        <v>3</v>
      </c>
    </row>
    <row r="2" spans="1:18" ht="120" x14ac:dyDescent="0.25">
      <c r="A2" s="2">
        <v>1</v>
      </c>
      <c r="B2" s="2" t="s">
        <v>497</v>
      </c>
      <c r="C2" s="2" t="s">
        <v>498</v>
      </c>
      <c r="D2" s="2" t="s">
        <v>499</v>
      </c>
      <c r="E2" s="2" t="s">
        <v>43</v>
      </c>
      <c r="F2" s="2" t="s">
        <v>499</v>
      </c>
      <c r="G2" s="2" t="s">
        <v>499</v>
      </c>
      <c r="H2" s="2" t="s">
        <v>502</v>
      </c>
      <c r="I2" s="2" t="s">
        <v>505</v>
      </c>
      <c r="J2" s="2" t="s">
        <v>503</v>
      </c>
      <c r="K2" s="2" t="s">
        <v>43</v>
      </c>
      <c r="L2" s="2" t="s">
        <v>504</v>
      </c>
      <c r="M2" s="2" t="s">
        <v>501</v>
      </c>
      <c r="N2" s="2" t="s">
        <v>319</v>
      </c>
      <c r="O2" s="2" t="s">
        <v>319</v>
      </c>
      <c r="P2" s="2" t="s">
        <v>320</v>
      </c>
      <c r="Q2" s="2" t="s">
        <v>319</v>
      </c>
      <c r="R2" s="2" t="s">
        <v>500</v>
      </c>
    </row>
    <row r="3" spans="1:18" ht="105" x14ac:dyDescent="0.25">
      <c r="A3" s="2">
        <v>2</v>
      </c>
      <c r="B3" s="2" t="s">
        <v>506</v>
      </c>
      <c r="C3" s="2" t="s">
        <v>507</v>
      </c>
      <c r="D3" s="2" t="s">
        <v>499</v>
      </c>
      <c r="E3" s="2" t="s">
        <v>43</v>
      </c>
      <c r="F3" s="2" t="s">
        <v>499</v>
      </c>
      <c r="G3" s="2" t="s">
        <v>43</v>
      </c>
      <c r="H3" s="2" t="s">
        <v>499</v>
      </c>
      <c r="I3" s="2" t="s">
        <v>510</v>
      </c>
      <c r="J3" s="2" t="s">
        <v>503</v>
      </c>
      <c r="K3" s="2" t="s">
        <v>43</v>
      </c>
      <c r="L3" s="2" t="s">
        <v>508</v>
      </c>
      <c r="M3" s="2" t="s">
        <v>501</v>
      </c>
      <c r="N3" s="2" t="s">
        <v>319</v>
      </c>
      <c r="O3" s="2" t="s">
        <v>319</v>
      </c>
      <c r="P3" s="2" t="s">
        <v>320</v>
      </c>
      <c r="Q3" s="2" t="s">
        <v>319</v>
      </c>
      <c r="R3" s="2" t="s">
        <v>508</v>
      </c>
    </row>
    <row r="4" spans="1:18" ht="45" x14ac:dyDescent="0.25">
      <c r="A4" s="2">
        <v>10</v>
      </c>
      <c r="B4" s="2" t="s">
        <v>511</v>
      </c>
      <c r="C4" s="2" t="s">
        <v>512</v>
      </c>
      <c r="D4" s="2" t="s">
        <v>499</v>
      </c>
      <c r="E4" s="2" t="s">
        <v>499</v>
      </c>
      <c r="F4" s="2" t="s">
        <v>499</v>
      </c>
      <c r="G4" s="2" t="s">
        <v>499</v>
      </c>
      <c r="H4" s="2" t="s">
        <v>499</v>
      </c>
      <c r="I4" s="2" t="s">
        <v>514</v>
      </c>
      <c r="J4" s="2" t="s">
        <v>503</v>
      </c>
      <c r="K4" s="2" t="s">
        <v>43</v>
      </c>
      <c r="L4" s="2" t="s">
        <v>513</v>
      </c>
      <c r="M4" s="2" t="s">
        <v>501</v>
      </c>
      <c r="N4" s="2" t="s">
        <v>319</v>
      </c>
      <c r="O4" s="2" t="s">
        <v>319</v>
      </c>
      <c r="P4" s="2" t="s">
        <v>320</v>
      </c>
      <c r="Q4" s="2" t="s">
        <v>319</v>
      </c>
      <c r="R4" s="2" t="s">
        <v>513</v>
      </c>
    </row>
    <row r="5" spans="1:18" ht="165" x14ac:dyDescent="0.25">
      <c r="A5" s="2">
        <v>21</v>
      </c>
      <c r="B5" s="2" t="s">
        <v>515</v>
      </c>
      <c r="C5" s="2" t="s">
        <v>516</v>
      </c>
      <c r="D5" s="2" t="s">
        <v>499</v>
      </c>
      <c r="E5" s="2" t="s">
        <v>43</v>
      </c>
      <c r="F5" s="2" t="s">
        <v>499</v>
      </c>
      <c r="G5" s="2" t="s">
        <v>43</v>
      </c>
      <c r="H5" s="2" t="s">
        <v>499</v>
      </c>
      <c r="I5" s="2" t="s">
        <v>518</v>
      </c>
      <c r="J5" s="2" t="s">
        <v>503</v>
      </c>
      <c r="K5" s="2" t="s">
        <v>43</v>
      </c>
      <c r="L5" s="2" t="s">
        <v>508</v>
      </c>
      <c r="M5" s="2" t="s">
        <v>501</v>
      </c>
      <c r="N5" s="2">
        <v>0</v>
      </c>
      <c r="O5" s="2">
        <v>0</v>
      </c>
      <c r="P5" s="2">
        <v>3</v>
      </c>
      <c r="Q5" s="2">
        <v>0</v>
      </c>
      <c r="R5" s="2" t="s">
        <v>508</v>
      </c>
    </row>
    <row r="6" spans="1:18" ht="270" x14ac:dyDescent="0.25">
      <c r="A6" s="2">
        <v>38</v>
      </c>
      <c r="B6" s="2" t="s">
        <v>519</v>
      </c>
      <c r="C6" s="2" t="s">
        <v>520</v>
      </c>
      <c r="D6" s="2" t="s">
        <v>499</v>
      </c>
      <c r="E6" s="2" t="s">
        <v>43</v>
      </c>
      <c r="F6" s="2" t="s">
        <v>45</v>
      </c>
      <c r="G6" s="2" t="s">
        <v>45</v>
      </c>
      <c r="H6" s="2" t="s">
        <v>42</v>
      </c>
      <c r="I6" s="2" t="s">
        <v>521</v>
      </c>
      <c r="J6" s="2" t="s">
        <v>44</v>
      </c>
      <c r="K6" s="2" t="s">
        <v>43</v>
      </c>
      <c r="L6" s="2" t="s">
        <v>508</v>
      </c>
      <c r="M6" s="2" t="s">
        <v>245</v>
      </c>
      <c r="N6" s="2">
        <v>0</v>
      </c>
      <c r="O6" s="2">
        <v>3</v>
      </c>
      <c r="P6" s="2">
        <v>0</v>
      </c>
      <c r="Q6" s="2">
        <v>0</v>
      </c>
      <c r="R6" s="2" t="s">
        <v>508</v>
      </c>
    </row>
    <row r="7" spans="1:18" ht="90" x14ac:dyDescent="0.25">
      <c r="A7" s="2">
        <v>42</v>
      </c>
      <c r="B7" s="2" t="s">
        <v>524</v>
      </c>
      <c r="C7" s="2" t="s">
        <v>525</v>
      </c>
      <c r="D7" s="2" t="s">
        <v>499</v>
      </c>
      <c r="E7" s="2" t="s">
        <v>43</v>
      </c>
      <c r="F7" s="2" t="s">
        <v>499</v>
      </c>
      <c r="G7" s="2" t="s">
        <v>499</v>
      </c>
      <c r="H7" s="2" t="s">
        <v>499</v>
      </c>
      <c r="I7" s="2" t="s">
        <v>527</v>
      </c>
      <c r="J7" s="2" t="s">
        <v>503</v>
      </c>
      <c r="K7" s="2" t="s">
        <v>43</v>
      </c>
      <c r="L7" s="2" t="s">
        <v>528</v>
      </c>
      <c r="M7" s="2" t="s">
        <v>501</v>
      </c>
      <c r="N7" s="2">
        <v>0</v>
      </c>
      <c r="O7" s="2">
        <v>0</v>
      </c>
      <c r="P7" s="2">
        <v>3</v>
      </c>
      <c r="Q7" s="2">
        <v>0</v>
      </c>
      <c r="R7" s="2" t="s">
        <v>500</v>
      </c>
    </row>
    <row r="8" spans="1:18" ht="270" x14ac:dyDescent="0.25">
      <c r="A8" s="2">
        <v>88</v>
      </c>
      <c r="B8" s="2" t="s">
        <v>529</v>
      </c>
      <c r="C8" s="2" t="s">
        <v>530</v>
      </c>
      <c r="D8" s="2" t="s">
        <v>499</v>
      </c>
      <c r="E8" s="2" t="s">
        <v>45</v>
      </c>
      <c r="F8" s="2" t="s">
        <v>45</v>
      </c>
      <c r="G8" s="2" t="s">
        <v>45</v>
      </c>
      <c r="H8" s="2" t="s">
        <v>42</v>
      </c>
      <c r="I8" s="2" t="s">
        <v>532</v>
      </c>
      <c r="J8" s="2" t="s">
        <v>44</v>
      </c>
      <c r="K8" s="2" t="s">
        <v>43</v>
      </c>
      <c r="L8" s="2" t="s">
        <v>508</v>
      </c>
      <c r="M8" s="2" t="s">
        <v>245</v>
      </c>
      <c r="N8" s="2">
        <v>0</v>
      </c>
      <c r="O8" s="2">
        <v>3</v>
      </c>
      <c r="P8" s="2">
        <v>0</v>
      </c>
      <c r="Q8" s="2">
        <v>0</v>
      </c>
      <c r="R8" s="2" t="s">
        <v>508</v>
      </c>
    </row>
    <row r="9" spans="1:18" ht="45" x14ac:dyDescent="0.25">
      <c r="A9" s="2">
        <v>103</v>
      </c>
      <c r="B9" s="2" t="s">
        <v>533</v>
      </c>
      <c r="C9" s="2" t="s">
        <v>534</v>
      </c>
      <c r="D9" s="2" t="s">
        <v>499</v>
      </c>
      <c r="E9" s="2" t="s">
        <v>499</v>
      </c>
      <c r="F9" s="2" t="s">
        <v>499</v>
      </c>
      <c r="G9" s="2" t="s">
        <v>499</v>
      </c>
      <c r="H9" s="2" t="s">
        <v>499</v>
      </c>
      <c r="I9" s="2" t="s">
        <v>535</v>
      </c>
      <c r="J9" s="2" t="s">
        <v>503</v>
      </c>
      <c r="K9" s="2" t="s">
        <v>43</v>
      </c>
      <c r="L9" s="2" t="s">
        <v>513</v>
      </c>
      <c r="M9" s="2" t="s">
        <v>501</v>
      </c>
      <c r="N9" s="2">
        <v>0</v>
      </c>
      <c r="O9" s="2">
        <v>0</v>
      </c>
      <c r="P9" s="2">
        <v>3</v>
      </c>
      <c r="Q9" s="2">
        <v>0</v>
      </c>
      <c r="R9" s="2" t="s">
        <v>513</v>
      </c>
    </row>
    <row r="10" spans="1:18" ht="90" x14ac:dyDescent="0.25">
      <c r="A10" s="2">
        <v>104</v>
      </c>
      <c r="B10" s="2" t="s">
        <v>536</v>
      </c>
      <c r="C10" s="2" t="s">
        <v>537</v>
      </c>
      <c r="D10" s="2" t="s">
        <v>499</v>
      </c>
      <c r="E10" s="2" t="s">
        <v>45</v>
      </c>
      <c r="F10" s="2" t="s">
        <v>45</v>
      </c>
      <c r="G10" s="2" t="s">
        <v>45</v>
      </c>
      <c r="H10" s="2" t="s">
        <v>42</v>
      </c>
      <c r="I10" s="2" t="s">
        <v>538</v>
      </c>
      <c r="J10" s="2" t="s">
        <v>44</v>
      </c>
      <c r="K10" s="2" t="s">
        <v>43</v>
      </c>
      <c r="L10" s="2" t="s">
        <v>513</v>
      </c>
      <c r="M10" s="2" t="s">
        <v>245</v>
      </c>
      <c r="N10" s="2">
        <v>0</v>
      </c>
      <c r="O10" s="2">
        <v>3</v>
      </c>
      <c r="P10" s="2">
        <v>0</v>
      </c>
      <c r="Q10" s="2">
        <v>0</v>
      </c>
      <c r="R10" s="2" t="s">
        <v>513</v>
      </c>
    </row>
    <row r="11" spans="1:18" ht="75" x14ac:dyDescent="0.25">
      <c r="A11" s="2">
        <v>105</v>
      </c>
      <c r="B11" s="2" t="s">
        <v>539</v>
      </c>
      <c r="C11" s="2" t="s">
        <v>540</v>
      </c>
      <c r="D11" s="2" t="s">
        <v>499</v>
      </c>
      <c r="E11" s="2" t="s">
        <v>45</v>
      </c>
      <c r="F11" s="2" t="s">
        <v>45</v>
      </c>
      <c r="G11" s="2" t="s">
        <v>45</v>
      </c>
      <c r="H11" s="2" t="s">
        <v>42</v>
      </c>
      <c r="I11" s="2" t="s">
        <v>541</v>
      </c>
      <c r="J11" s="2" t="s">
        <v>44</v>
      </c>
      <c r="K11" s="2" t="s">
        <v>43</v>
      </c>
      <c r="L11" s="2" t="s">
        <v>513</v>
      </c>
      <c r="M11" s="2" t="s">
        <v>245</v>
      </c>
      <c r="N11" s="2">
        <v>0</v>
      </c>
      <c r="O11" s="2">
        <v>3</v>
      </c>
      <c r="P11" s="2">
        <v>0</v>
      </c>
      <c r="Q11" s="2">
        <v>0</v>
      </c>
      <c r="R11" s="2" t="s">
        <v>513</v>
      </c>
    </row>
    <row r="12" spans="1:18" ht="75" x14ac:dyDescent="0.25">
      <c r="A12" s="2">
        <v>106</v>
      </c>
      <c r="B12" s="2" t="s">
        <v>544</v>
      </c>
      <c r="C12" s="2" t="s">
        <v>545</v>
      </c>
      <c r="D12" s="2" t="s">
        <v>499</v>
      </c>
      <c r="E12" s="2" t="s">
        <v>43</v>
      </c>
      <c r="F12" s="2" t="s">
        <v>45</v>
      </c>
      <c r="G12" s="2" t="s">
        <v>45</v>
      </c>
      <c r="H12" s="2" t="s">
        <v>42</v>
      </c>
      <c r="I12" s="2" t="s">
        <v>546</v>
      </c>
      <c r="J12" s="2" t="s">
        <v>54</v>
      </c>
      <c r="K12" s="2" t="s">
        <v>43</v>
      </c>
      <c r="L12" s="2" t="s">
        <v>500</v>
      </c>
      <c r="M12" s="2" t="s">
        <v>114</v>
      </c>
      <c r="N12" s="2">
        <v>0</v>
      </c>
      <c r="O12" s="2">
        <v>2</v>
      </c>
      <c r="P12" s="2">
        <v>1</v>
      </c>
      <c r="Q12" s="2">
        <v>0</v>
      </c>
      <c r="R12" s="2" t="s">
        <v>500</v>
      </c>
    </row>
    <row r="13" spans="1:18" ht="285" x14ac:dyDescent="0.25">
      <c r="A13" s="2">
        <v>114</v>
      </c>
      <c r="B13" s="2" t="s">
        <v>550</v>
      </c>
      <c r="C13" s="2" t="s">
        <v>551</v>
      </c>
      <c r="D13" s="2" t="s">
        <v>499</v>
      </c>
      <c r="E13" s="2" t="s">
        <v>43</v>
      </c>
      <c r="F13" s="2" t="s">
        <v>53</v>
      </c>
      <c r="G13" s="2" t="s">
        <v>43</v>
      </c>
      <c r="H13" s="2" t="s">
        <v>42</v>
      </c>
      <c r="I13" s="2" t="s">
        <v>553</v>
      </c>
      <c r="J13" s="2" t="s">
        <v>54</v>
      </c>
      <c r="K13" s="2" t="s">
        <v>43</v>
      </c>
      <c r="L13" s="2" t="s">
        <v>552</v>
      </c>
      <c r="M13" s="2" t="s">
        <v>41</v>
      </c>
      <c r="N13" s="2">
        <v>3</v>
      </c>
      <c r="O13" s="2">
        <v>0</v>
      </c>
      <c r="P13" s="2">
        <v>0</v>
      </c>
      <c r="Q13" s="2">
        <v>0</v>
      </c>
      <c r="R13" s="2" t="s">
        <v>552</v>
      </c>
    </row>
    <row r="14" spans="1:18" ht="75" x14ac:dyDescent="0.25">
      <c r="A14" s="2">
        <v>121</v>
      </c>
      <c r="B14" s="2" t="s">
        <v>556</v>
      </c>
      <c r="C14" s="2" t="s">
        <v>557</v>
      </c>
      <c r="D14" s="2" t="s">
        <v>499</v>
      </c>
      <c r="E14" s="2" t="s">
        <v>45</v>
      </c>
      <c r="F14" s="2" t="s">
        <v>45</v>
      </c>
      <c r="G14" s="2" t="s">
        <v>45</v>
      </c>
      <c r="H14" s="2" t="s">
        <v>42</v>
      </c>
      <c r="I14" s="2" t="s">
        <v>558</v>
      </c>
      <c r="J14" s="2" t="s">
        <v>503</v>
      </c>
      <c r="K14" s="2" t="s">
        <v>43</v>
      </c>
      <c r="L14" s="2" t="s">
        <v>513</v>
      </c>
      <c r="M14" s="2" t="s">
        <v>245</v>
      </c>
      <c r="N14" s="2">
        <v>0</v>
      </c>
      <c r="O14" s="2">
        <v>3</v>
      </c>
      <c r="P14" s="2">
        <v>0</v>
      </c>
      <c r="Q14" s="2">
        <v>0</v>
      </c>
      <c r="R14" s="2" t="s">
        <v>513</v>
      </c>
    </row>
    <row r="15" spans="1:18" ht="90" x14ac:dyDescent="0.25">
      <c r="A15" s="2">
        <v>147</v>
      </c>
      <c r="B15" s="2" t="s">
        <v>560</v>
      </c>
      <c r="C15" s="2" t="s">
        <v>561</v>
      </c>
      <c r="D15" s="2" t="s">
        <v>499</v>
      </c>
      <c r="E15" s="2" t="s">
        <v>45</v>
      </c>
      <c r="F15" s="2" t="s">
        <v>45</v>
      </c>
      <c r="G15" s="2" t="s">
        <v>45</v>
      </c>
      <c r="H15" s="2" t="s">
        <v>499</v>
      </c>
      <c r="I15" s="2" t="s">
        <v>562</v>
      </c>
      <c r="J15" s="2" t="s">
        <v>503</v>
      </c>
      <c r="K15" s="2" t="s">
        <v>43</v>
      </c>
      <c r="L15" s="2" t="s">
        <v>535</v>
      </c>
      <c r="M15" s="2" t="s">
        <v>245</v>
      </c>
      <c r="N15" s="2">
        <v>0</v>
      </c>
      <c r="O15" s="2">
        <v>3</v>
      </c>
      <c r="P15" s="2">
        <v>0</v>
      </c>
      <c r="Q15" s="2">
        <v>0</v>
      </c>
      <c r="R15" s="2" t="s">
        <v>500</v>
      </c>
    </row>
    <row r="16" spans="1:18" ht="90" x14ac:dyDescent="0.25">
      <c r="A16" s="2">
        <v>152</v>
      </c>
      <c r="B16" s="2" t="s">
        <v>566</v>
      </c>
      <c r="C16" s="2" t="s">
        <v>567</v>
      </c>
      <c r="D16" s="2" t="s">
        <v>499</v>
      </c>
      <c r="E16" s="2" t="s">
        <v>45</v>
      </c>
      <c r="F16" s="2" t="s">
        <v>45</v>
      </c>
      <c r="G16" s="2" t="s">
        <v>45</v>
      </c>
      <c r="H16" s="2" t="s">
        <v>499</v>
      </c>
      <c r="I16" s="2" t="s">
        <v>564</v>
      </c>
      <c r="J16" s="2" t="s">
        <v>503</v>
      </c>
      <c r="K16" s="2" t="s">
        <v>43</v>
      </c>
      <c r="L16" s="2" t="s">
        <v>535</v>
      </c>
      <c r="M16" s="2" t="s">
        <v>245</v>
      </c>
      <c r="N16" s="2">
        <v>0</v>
      </c>
      <c r="O16" s="2">
        <v>3</v>
      </c>
      <c r="P16" s="2">
        <v>0</v>
      </c>
      <c r="Q16" s="2">
        <v>0</v>
      </c>
      <c r="R16" s="2" t="s">
        <v>500</v>
      </c>
    </row>
    <row r="17" spans="1:18" ht="60" x14ac:dyDescent="0.25">
      <c r="A17" s="2">
        <v>162</v>
      </c>
      <c r="B17" s="2" t="s">
        <v>570</v>
      </c>
      <c r="C17" s="2" t="s">
        <v>571</v>
      </c>
      <c r="D17" s="2" t="s">
        <v>499</v>
      </c>
      <c r="E17" s="2" t="s">
        <v>43</v>
      </c>
      <c r="F17" s="2" t="s">
        <v>45</v>
      </c>
      <c r="G17" s="2" t="s">
        <v>45</v>
      </c>
      <c r="H17" s="2" t="s">
        <v>499</v>
      </c>
      <c r="I17" s="2" t="s">
        <v>572</v>
      </c>
      <c r="J17" s="2" t="s">
        <v>503</v>
      </c>
      <c r="K17" s="2" t="s">
        <v>43</v>
      </c>
      <c r="L17" s="2" t="s">
        <v>513</v>
      </c>
      <c r="M17" s="2" t="s">
        <v>245</v>
      </c>
      <c r="N17" s="2">
        <v>0</v>
      </c>
      <c r="O17" s="2">
        <v>3</v>
      </c>
      <c r="P17" s="2">
        <v>0</v>
      </c>
      <c r="Q17" s="2">
        <v>0</v>
      </c>
      <c r="R17" s="2" t="s">
        <v>513</v>
      </c>
    </row>
    <row r="18" spans="1:18" ht="75" x14ac:dyDescent="0.25">
      <c r="A18" s="2">
        <v>190</v>
      </c>
      <c r="B18" s="2" t="s">
        <v>575</v>
      </c>
      <c r="C18" s="2" t="s">
        <v>576</v>
      </c>
      <c r="D18" s="2" t="s">
        <v>499</v>
      </c>
      <c r="E18" s="2" t="s">
        <v>45</v>
      </c>
      <c r="F18" s="2" t="s">
        <v>45</v>
      </c>
      <c r="G18" s="2" t="s">
        <v>45</v>
      </c>
      <c r="H18" s="2" t="s">
        <v>499</v>
      </c>
      <c r="I18" s="2" t="s">
        <v>572</v>
      </c>
      <c r="J18" s="2" t="s">
        <v>503</v>
      </c>
      <c r="K18" s="2" t="s">
        <v>43</v>
      </c>
      <c r="L18" s="2" t="s">
        <v>568</v>
      </c>
      <c r="M18" s="2" t="s">
        <v>245</v>
      </c>
      <c r="N18" s="2">
        <v>0</v>
      </c>
      <c r="O18" s="2">
        <v>3</v>
      </c>
      <c r="P18" s="2">
        <v>0</v>
      </c>
      <c r="Q18" s="2">
        <v>0</v>
      </c>
      <c r="R18" s="2" t="s">
        <v>500</v>
      </c>
    </row>
    <row r="19" spans="1:18" ht="75" x14ac:dyDescent="0.25">
      <c r="A19" s="2">
        <v>192</v>
      </c>
      <c r="B19" s="2" t="s">
        <v>577</v>
      </c>
      <c r="C19" s="2" t="s">
        <v>578</v>
      </c>
      <c r="D19" s="2" t="s">
        <v>499</v>
      </c>
      <c r="E19" s="2" t="s">
        <v>45</v>
      </c>
      <c r="F19" s="2" t="s">
        <v>45</v>
      </c>
      <c r="G19" s="2" t="s">
        <v>45</v>
      </c>
      <c r="H19" s="2" t="s">
        <v>499</v>
      </c>
      <c r="I19" s="2" t="s">
        <v>579</v>
      </c>
      <c r="J19" s="2" t="s">
        <v>503</v>
      </c>
      <c r="K19" s="2" t="s">
        <v>43</v>
      </c>
      <c r="L19" s="2" t="s">
        <v>568</v>
      </c>
      <c r="M19" s="2" t="s">
        <v>245</v>
      </c>
      <c r="N19" s="2">
        <v>0</v>
      </c>
      <c r="O19" s="2">
        <v>3</v>
      </c>
      <c r="P19" s="2">
        <v>0</v>
      </c>
      <c r="Q19" s="2">
        <v>0</v>
      </c>
      <c r="R19" s="2" t="s">
        <v>500</v>
      </c>
    </row>
    <row r="20" spans="1:18" ht="75" x14ac:dyDescent="0.25">
      <c r="A20" s="2">
        <v>316</v>
      </c>
      <c r="B20" s="2" t="s">
        <v>580</v>
      </c>
      <c r="C20" s="2" t="s">
        <v>581</v>
      </c>
      <c r="D20" s="2" t="s">
        <v>499</v>
      </c>
      <c r="E20" s="2" t="s">
        <v>499</v>
      </c>
      <c r="F20" s="2" t="s">
        <v>499</v>
      </c>
      <c r="G20" s="2" t="s">
        <v>499</v>
      </c>
      <c r="H20" s="2" t="s">
        <v>499</v>
      </c>
      <c r="I20" s="2" t="s">
        <v>535</v>
      </c>
      <c r="J20" s="2" t="s">
        <v>503</v>
      </c>
      <c r="K20" s="2" t="s">
        <v>43</v>
      </c>
      <c r="L20" s="2" t="s">
        <v>513</v>
      </c>
      <c r="M20" s="2" t="s">
        <v>501</v>
      </c>
      <c r="N20" s="2">
        <v>0</v>
      </c>
      <c r="O20" s="2">
        <v>0</v>
      </c>
      <c r="P20" s="2">
        <v>3</v>
      </c>
      <c r="Q20" s="2">
        <v>0</v>
      </c>
      <c r="R20" s="2" t="s">
        <v>513</v>
      </c>
    </row>
  </sheetData>
  <autoFilter ref="A1:R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workbookViewId="0">
      <pane ySplit="1" topLeftCell="A2" activePane="bottomLeft" state="frozen"/>
      <selection pane="bottomLeft"/>
    </sheetView>
  </sheetViews>
  <sheetFormatPr defaultRowHeight="15" x14ac:dyDescent="0.25"/>
  <cols>
    <col min="1" max="1" width="55" customWidth="1"/>
    <col min="2" max="2" width="34" customWidth="1"/>
    <col min="3" max="4" width="16" customWidth="1"/>
    <col min="5" max="5" width="20" customWidth="1"/>
    <col min="6" max="6" width="13" customWidth="1"/>
    <col min="7" max="7" width="26" customWidth="1"/>
    <col min="8" max="8" width="20" customWidth="1"/>
    <col min="9" max="9" width="23" customWidth="1"/>
  </cols>
  <sheetData>
    <row r="1" spans="1:9" ht="30" x14ac:dyDescent="0.25">
      <c r="A1" s="1" t="s">
        <v>0</v>
      </c>
      <c r="B1" s="1" t="s">
        <v>732</v>
      </c>
      <c r="C1" s="1" t="s">
        <v>7</v>
      </c>
      <c r="D1" s="1" t="s">
        <v>8</v>
      </c>
      <c r="E1" s="1" t="s">
        <v>9</v>
      </c>
      <c r="F1" s="1" t="s">
        <v>10</v>
      </c>
      <c r="G1" s="1" t="s">
        <v>733</v>
      </c>
      <c r="H1" s="1" t="s">
        <v>734</v>
      </c>
      <c r="I1" s="1" t="s">
        <v>4</v>
      </c>
    </row>
    <row r="2" spans="1:9" ht="30" x14ac:dyDescent="0.25">
      <c r="A2" s="2" t="s">
        <v>582</v>
      </c>
      <c r="B2" s="2" t="s">
        <v>735</v>
      </c>
      <c r="C2" s="2">
        <v>1</v>
      </c>
      <c r="D2" s="2">
        <v>2</v>
      </c>
      <c r="E2" s="2">
        <v>0</v>
      </c>
      <c r="F2" s="2">
        <v>0</v>
      </c>
      <c r="G2" s="2">
        <v>1</v>
      </c>
      <c r="H2" s="2" t="s">
        <v>40</v>
      </c>
      <c r="I2" s="2" t="s">
        <v>115</v>
      </c>
    </row>
    <row r="3" spans="1:9" ht="45" x14ac:dyDescent="0.25">
      <c r="A3" s="2" t="s">
        <v>587</v>
      </c>
      <c r="B3" s="2" t="s">
        <v>736</v>
      </c>
      <c r="C3" s="2">
        <v>2</v>
      </c>
      <c r="D3" s="2">
        <v>1</v>
      </c>
      <c r="E3" s="2">
        <v>0</v>
      </c>
      <c r="F3" s="2">
        <v>0</v>
      </c>
      <c r="G3" s="2">
        <v>1</v>
      </c>
      <c r="H3" s="2" t="s">
        <v>115</v>
      </c>
      <c r="I3" s="2" t="s">
        <v>40</v>
      </c>
    </row>
    <row r="4" spans="1:9" ht="30" x14ac:dyDescent="0.25">
      <c r="A4" s="2" t="s">
        <v>544</v>
      </c>
      <c r="B4" s="2" t="s">
        <v>737</v>
      </c>
      <c r="C4" s="2">
        <v>0</v>
      </c>
      <c r="D4" s="2">
        <v>2</v>
      </c>
      <c r="E4" s="2">
        <v>1</v>
      </c>
      <c r="F4" s="2">
        <v>0</v>
      </c>
      <c r="G4" s="2">
        <v>1</v>
      </c>
      <c r="H4" s="2" t="s">
        <v>499</v>
      </c>
      <c r="I4" s="2" t="s">
        <v>499</v>
      </c>
    </row>
    <row r="5" spans="1:9" ht="45" x14ac:dyDescent="0.25">
      <c r="A5" s="2" t="s">
        <v>592</v>
      </c>
      <c r="B5" s="2" t="s">
        <v>738</v>
      </c>
      <c r="C5" s="2">
        <v>1</v>
      </c>
      <c r="D5" s="2">
        <v>2</v>
      </c>
      <c r="E5" s="2">
        <v>0</v>
      </c>
      <c r="F5" s="2">
        <v>0</v>
      </c>
      <c r="G5" s="2">
        <v>1</v>
      </c>
      <c r="H5" s="2" t="s">
        <v>40</v>
      </c>
      <c r="I5" s="2" t="s">
        <v>115</v>
      </c>
    </row>
    <row r="6" spans="1:9" ht="30" x14ac:dyDescent="0.25">
      <c r="A6" s="2" t="s">
        <v>597</v>
      </c>
      <c r="B6" s="2" t="s">
        <v>739</v>
      </c>
      <c r="C6" s="2">
        <v>2</v>
      </c>
      <c r="D6" s="2">
        <v>1</v>
      </c>
      <c r="E6" s="2">
        <v>0</v>
      </c>
      <c r="F6" s="2">
        <v>0</v>
      </c>
      <c r="G6" s="2">
        <v>1</v>
      </c>
      <c r="H6" s="2" t="s">
        <v>115</v>
      </c>
      <c r="I6" s="2" t="s">
        <v>40</v>
      </c>
    </row>
    <row r="7" spans="1:9" ht="30" x14ac:dyDescent="0.25">
      <c r="A7" s="2" t="s">
        <v>602</v>
      </c>
      <c r="B7" s="2" t="s">
        <v>736</v>
      </c>
      <c r="C7" s="2">
        <v>2</v>
      </c>
      <c r="D7" s="2">
        <v>1</v>
      </c>
      <c r="E7" s="2">
        <v>0</v>
      </c>
      <c r="F7" s="2">
        <v>0</v>
      </c>
      <c r="G7" s="2">
        <v>1</v>
      </c>
      <c r="H7" s="2" t="s">
        <v>115</v>
      </c>
      <c r="I7" s="2" t="s">
        <v>40</v>
      </c>
    </row>
    <row r="8" spans="1:9" ht="30" x14ac:dyDescent="0.25">
      <c r="A8" s="2" t="s">
        <v>607</v>
      </c>
      <c r="B8" s="2" t="s">
        <v>740</v>
      </c>
      <c r="C8" s="2">
        <v>1</v>
      </c>
      <c r="D8" s="2">
        <v>2</v>
      </c>
      <c r="E8" s="2">
        <v>0</v>
      </c>
      <c r="F8" s="2">
        <v>0</v>
      </c>
      <c r="G8" s="2">
        <v>1</v>
      </c>
      <c r="H8" s="2" t="s">
        <v>40</v>
      </c>
      <c r="I8" s="2" t="s">
        <v>115</v>
      </c>
    </row>
    <row r="9" spans="1:9" ht="30" x14ac:dyDescent="0.25">
      <c r="A9" s="2" t="s">
        <v>612</v>
      </c>
      <c r="B9" s="2" t="s">
        <v>739</v>
      </c>
      <c r="C9" s="2">
        <v>2</v>
      </c>
      <c r="D9" s="2">
        <v>1</v>
      </c>
      <c r="E9" s="2">
        <v>0</v>
      </c>
      <c r="F9" s="2">
        <v>0</v>
      </c>
      <c r="G9" s="2">
        <v>1</v>
      </c>
      <c r="H9" s="2" t="s">
        <v>115</v>
      </c>
      <c r="I9" s="2" t="s">
        <v>40</v>
      </c>
    </row>
    <row r="10" spans="1:9" ht="30" x14ac:dyDescent="0.25">
      <c r="A10" s="2" t="s">
        <v>617</v>
      </c>
      <c r="B10" s="2" t="s">
        <v>738</v>
      </c>
      <c r="C10" s="2">
        <v>1</v>
      </c>
      <c r="D10" s="2">
        <v>2</v>
      </c>
      <c r="E10" s="2">
        <v>0</v>
      </c>
      <c r="F10" s="2">
        <v>0</v>
      </c>
      <c r="G10" s="2">
        <v>1</v>
      </c>
      <c r="H10" s="2" t="s">
        <v>40</v>
      </c>
      <c r="I10" s="2" t="s">
        <v>115</v>
      </c>
    </row>
    <row r="11" spans="1:9" ht="30" x14ac:dyDescent="0.25">
      <c r="A11" s="2" t="s">
        <v>622</v>
      </c>
      <c r="B11" s="2" t="s">
        <v>740</v>
      </c>
      <c r="C11" s="2">
        <v>1</v>
      </c>
      <c r="D11" s="2">
        <v>2</v>
      </c>
      <c r="E11" s="2">
        <v>0</v>
      </c>
      <c r="F11" s="2">
        <v>0</v>
      </c>
      <c r="G11" s="2">
        <v>1</v>
      </c>
      <c r="H11" s="2" t="s">
        <v>40</v>
      </c>
      <c r="I11" s="2" t="s">
        <v>115</v>
      </c>
    </row>
    <row r="12" spans="1:9" ht="45" x14ac:dyDescent="0.25">
      <c r="A12" s="2" t="s">
        <v>626</v>
      </c>
      <c r="B12" s="2" t="s">
        <v>735</v>
      </c>
      <c r="C12" s="2">
        <v>1</v>
      </c>
      <c r="D12" s="2">
        <v>2</v>
      </c>
      <c r="E12" s="2">
        <v>0</v>
      </c>
      <c r="F12" s="2">
        <v>0</v>
      </c>
      <c r="G12" s="2">
        <v>1</v>
      </c>
      <c r="H12" s="2" t="s">
        <v>40</v>
      </c>
      <c r="I12" s="2" t="s">
        <v>115</v>
      </c>
    </row>
    <row r="13" spans="1:9" ht="30" x14ac:dyDescent="0.25">
      <c r="A13" s="2" t="s">
        <v>289</v>
      </c>
      <c r="B13" s="2" t="s">
        <v>735</v>
      </c>
      <c r="C13" s="2">
        <v>1</v>
      </c>
      <c r="D13" s="2">
        <v>2</v>
      </c>
      <c r="E13" s="2">
        <v>0</v>
      </c>
      <c r="F13" s="2">
        <v>0</v>
      </c>
      <c r="G13" s="2">
        <v>1</v>
      </c>
      <c r="H13" s="2" t="s">
        <v>40</v>
      </c>
      <c r="I13" s="2" t="s">
        <v>115</v>
      </c>
    </row>
    <row r="14" spans="1:9" ht="30" x14ac:dyDescent="0.25">
      <c r="A14" s="2" t="s">
        <v>630</v>
      </c>
      <c r="B14" s="2" t="s">
        <v>741</v>
      </c>
      <c r="C14" s="2">
        <v>2</v>
      </c>
      <c r="D14" s="2">
        <v>1</v>
      </c>
      <c r="E14" s="2">
        <v>0</v>
      </c>
      <c r="F14" s="2">
        <v>0</v>
      </c>
      <c r="G14" s="2">
        <v>1</v>
      </c>
      <c r="H14" s="2" t="s">
        <v>115</v>
      </c>
      <c r="I14" s="2" t="s">
        <v>40</v>
      </c>
    </row>
    <row r="15" spans="1:9" ht="45" x14ac:dyDescent="0.25">
      <c r="A15" s="2" t="s">
        <v>635</v>
      </c>
      <c r="B15" s="2" t="s">
        <v>738</v>
      </c>
      <c r="C15" s="2">
        <v>1</v>
      </c>
      <c r="D15" s="2">
        <v>2</v>
      </c>
      <c r="E15" s="2">
        <v>0</v>
      </c>
      <c r="F15" s="2">
        <v>0</v>
      </c>
      <c r="G15" s="2">
        <v>1</v>
      </c>
      <c r="H15" s="2" t="s">
        <v>40</v>
      </c>
      <c r="I15" s="2" t="s">
        <v>115</v>
      </c>
    </row>
    <row r="16" spans="1:9" ht="30" x14ac:dyDescent="0.25">
      <c r="A16" s="2" t="s">
        <v>640</v>
      </c>
      <c r="B16" s="2" t="s">
        <v>738</v>
      </c>
      <c r="C16" s="2">
        <v>1</v>
      </c>
      <c r="D16" s="2">
        <v>2</v>
      </c>
      <c r="E16" s="2">
        <v>0</v>
      </c>
      <c r="F16" s="2">
        <v>0</v>
      </c>
      <c r="G16" s="2">
        <v>1</v>
      </c>
      <c r="H16" s="2" t="s">
        <v>40</v>
      </c>
      <c r="I16" s="2" t="s">
        <v>115</v>
      </c>
    </row>
    <row r="17" spans="1:9" ht="30" x14ac:dyDescent="0.25">
      <c r="A17" s="2" t="s">
        <v>645</v>
      </c>
      <c r="B17" s="2" t="s">
        <v>736</v>
      </c>
      <c r="C17" s="2">
        <v>2</v>
      </c>
      <c r="D17" s="2">
        <v>1</v>
      </c>
      <c r="E17" s="2">
        <v>0</v>
      </c>
      <c r="F17" s="2">
        <v>0</v>
      </c>
      <c r="G17" s="2">
        <v>1</v>
      </c>
      <c r="H17" s="2" t="s">
        <v>115</v>
      </c>
      <c r="I17" s="2" t="s">
        <v>40</v>
      </c>
    </row>
    <row r="18" spans="1:9" ht="30" x14ac:dyDescent="0.25">
      <c r="A18" s="2" t="s">
        <v>112</v>
      </c>
      <c r="B18" s="2" t="s">
        <v>739</v>
      </c>
      <c r="C18" s="2">
        <v>2</v>
      </c>
      <c r="D18" s="2">
        <v>1</v>
      </c>
      <c r="E18" s="2">
        <v>0</v>
      </c>
      <c r="F18" s="2">
        <v>0</v>
      </c>
      <c r="G18" s="2">
        <v>1</v>
      </c>
      <c r="H18" s="2" t="s">
        <v>115</v>
      </c>
      <c r="I18" s="2" t="s">
        <v>40</v>
      </c>
    </row>
    <row r="19" spans="1:9" ht="45" x14ac:dyDescent="0.25">
      <c r="A19" s="2" t="s">
        <v>650</v>
      </c>
      <c r="B19" s="2" t="s">
        <v>741</v>
      </c>
      <c r="C19" s="2">
        <v>2</v>
      </c>
      <c r="D19" s="2">
        <v>1</v>
      </c>
      <c r="E19" s="2">
        <v>0</v>
      </c>
      <c r="F19" s="2">
        <v>0</v>
      </c>
      <c r="G19" s="2">
        <v>1</v>
      </c>
      <c r="H19" s="2" t="s">
        <v>115</v>
      </c>
      <c r="I19" s="2" t="s">
        <v>40</v>
      </c>
    </row>
    <row r="20" spans="1:9" ht="60" x14ac:dyDescent="0.25">
      <c r="A20" s="2" t="s">
        <v>655</v>
      </c>
      <c r="B20" s="2" t="s">
        <v>739</v>
      </c>
      <c r="C20" s="2">
        <v>2</v>
      </c>
      <c r="D20" s="2">
        <v>1</v>
      </c>
      <c r="E20" s="2">
        <v>0</v>
      </c>
      <c r="F20" s="2">
        <v>0</v>
      </c>
      <c r="G20" s="2">
        <v>1</v>
      </c>
      <c r="H20" s="2" t="s">
        <v>115</v>
      </c>
      <c r="I20" s="2" t="s">
        <v>40</v>
      </c>
    </row>
    <row r="21" spans="1:9" ht="45" x14ac:dyDescent="0.25">
      <c r="A21" s="2" t="s">
        <v>659</v>
      </c>
      <c r="B21" s="2" t="s">
        <v>741</v>
      </c>
      <c r="C21" s="2">
        <v>2</v>
      </c>
      <c r="D21" s="2">
        <v>1</v>
      </c>
      <c r="E21" s="2">
        <v>0</v>
      </c>
      <c r="F21" s="2">
        <v>0</v>
      </c>
      <c r="G21" s="2">
        <v>1</v>
      </c>
      <c r="H21" s="2" t="s">
        <v>115</v>
      </c>
      <c r="I21" s="2" t="s">
        <v>40</v>
      </c>
    </row>
    <row r="22" spans="1:9" ht="45" x14ac:dyDescent="0.25">
      <c r="A22" s="2" t="s">
        <v>664</v>
      </c>
      <c r="B22" s="2" t="s">
        <v>736</v>
      </c>
      <c r="C22" s="2">
        <v>2</v>
      </c>
      <c r="D22" s="2">
        <v>1</v>
      </c>
      <c r="E22" s="2">
        <v>0</v>
      </c>
      <c r="F22" s="2">
        <v>0</v>
      </c>
      <c r="G22" s="2">
        <v>1</v>
      </c>
      <c r="H22" s="2" t="s">
        <v>115</v>
      </c>
      <c r="I22" s="2" t="s">
        <v>40</v>
      </c>
    </row>
    <row r="23" spans="1:9" ht="60" x14ac:dyDescent="0.25">
      <c r="A23" s="2" t="s">
        <v>669</v>
      </c>
      <c r="B23" s="2" t="s">
        <v>736</v>
      </c>
      <c r="C23" s="2">
        <v>2</v>
      </c>
      <c r="D23" s="2">
        <v>1</v>
      </c>
      <c r="E23" s="2">
        <v>0</v>
      </c>
      <c r="F23" s="2">
        <v>0</v>
      </c>
      <c r="G23" s="2">
        <v>1</v>
      </c>
      <c r="H23" s="2" t="s">
        <v>115</v>
      </c>
      <c r="I23" s="2" t="s">
        <v>40</v>
      </c>
    </row>
    <row r="24" spans="1:9" ht="45" x14ac:dyDescent="0.25">
      <c r="A24" s="2" t="s">
        <v>673</v>
      </c>
      <c r="B24" s="2" t="s">
        <v>740</v>
      </c>
      <c r="C24" s="2">
        <v>1</v>
      </c>
      <c r="D24" s="2">
        <v>2</v>
      </c>
      <c r="E24" s="2">
        <v>0</v>
      </c>
      <c r="F24" s="2">
        <v>0</v>
      </c>
      <c r="G24" s="2">
        <v>1</v>
      </c>
      <c r="H24" s="2" t="s">
        <v>40</v>
      </c>
      <c r="I24" s="2" t="s">
        <v>115</v>
      </c>
    </row>
    <row r="25" spans="1:9" ht="45" x14ac:dyDescent="0.25">
      <c r="A25" s="2" t="s">
        <v>678</v>
      </c>
      <c r="B25" s="2" t="s">
        <v>738</v>
      </c>
      <c r="C25" s="2">
        <v>1</v>
      </c>
      <c r="D25" s="2">
        <v>2</v>
      </c>
      <c r="E25" s="2">
        <v>0</v>
      </c>
      <c r="F25" s="2">
        <v>0</v>
      </c>
      <c r="G25" s="2">
        <v>1</v>
      </c>
      <c r="H25" s="2" t="s">
        <v>40</v>
      </c>
      <c r="I25" s="2" t="s">
        <v>115</v>
      </c>
    </row>
    <row r="26" spans="1:9" ht="45" x14ac:dyDescent="0.25">
      <c r="A26" s="2" t="s">
        <v>683</v>
      </c>
      <c r="B26" s="2" t="s">
        <v>740</v>
      </c>
      <c r="C26" s="2">
        <v>1</v>
      </c>
      <c r="D26" s="2">
        <v>2</v>
      </c>
      <c r="E26" s="2">
        <v>0</v>
      </c>
      <c r="F26" s="2">
        <v>0</v>
      </c>
      <c r="G26" s="2">
        <v>1</v>
      </c>
      <c r="H26" s="2" t="s">
        <v>40</v>
      </c>
      <c r="I26" s="2" t="s">
        <v>115</v>
      </c>
    </row>
    <row r="27" spans="1:9" ht="45" x14ac:dyDescent="0.25">
      <c r="A27" s="2" t="s">
        <v>688</v>
      </c>
      <c r="B27" s="2" t="s">
        <v>735</v>
      </c>
      <c r="C27" s="2">
        <v>1</v>
      </c>
      <c r="D27" s="2">
        <v>2</v>
      </c>
      <c r="E27" s="2">
        <v>0</v>
      </c>
      <c r="F27" s="2">
        <v>0</v>
      </c>
      <c r="G27" s="2">
        <v>1</v>
      </c>
      <c r="H27" s="2" t="s">
        <v>40</v>
      </c>
      <c r="I27" s="2" t="s">
        <v>115</v>
      </c>
    </row>
    <row r="28" spans="1:9" ht="45" x14ac:dyDescent="0.25">
      <c r="A28" s="2" t="s">
        <v>693</v>
      </c>
      <c r="B28" s="2" t="s">
        <v>740</v>
      </c>
      <c r="C28" s="2">
        <v>1</v>
      </c>
      <c r="D28" s="2">
        <v>2</v>
      </c>
      <c r="E28" s="2">
        <v>0</v>
      </c>
      <c r="F28" s="2">
        <v>0</v>
      </c>
      <c r="G28" s="2">
        <v>1</v>
      </c>
      <c r="H28" s="2" t="s">
        <v>40</v>
      </c>
      <c r="I28" s="2" t="s">
        <v>115</v>
      </c>
    </row>
    <row r="29" spans="1:9" ht="45" x14ac:dyDescent="0.25">
      <c r="A29" s="2" t="s">
        <v>698</v>
      </c>
      <c r="B29" s="2" t="s">
        <v>736</v>
      </c>
      <c r="C29" s="2">
        <v>2</v>
      </c>
      <c r="D29" s="2">
        <v>1</v>
      </c>
      <c r="E29" s="2">
        <v>0</v>
      </c>
      <c r="F29" s="2">
        <v>0</v>
      </c>
      <c r="G29" s="2">
        <v>1</v>
      </c>
      <c r="H29" s="2" t="s">
        <v>115</v>
      </c>
      <c r="I29" s="2" t="s">
        <v>40</v>
      </c>
    </row>
    <row r="30" spans="1:9" ht="45" x14ac:dyDescent="0.25">
      <c r="A30" s="2" t="s">
        <v>703</v>
      </c>
      <c r="B30" s="2" t="s">
        <v>736</v>
      </c>
      <c r="C30" s="2">
        <v>2</v>
      </c>
      <c r="D30" s="2">
        <v>1</v>
      </c>
      <c r="E30" s="2">
        <v>0</v>
      </c>
      <c r="F30" s="2">
        <v>0</v>
      </c>
      <c r="G30" s="2">
        <v>1</v>
      </c>
      <c r="H30" s="2" t="s">
        <v>115</v>
      </c>
      <c r="I30" s="2" t="s">
        <v>40</v>
      </c>
    </row>
    <row r="31" spans="1:9" ht="30" x14ac:dyDescent="0.25">
      <c r="A31" s="2" t="s">
        <v>708</v>
      </c>
      <c r="B31" s="2" t="s">
        <v>736</v>
      </c>
      <c r="C31" s="2">
        <v>2</v>
      </c>
      <c r="D31" s="2">
        <v>1</v>
      </c>
      <c r="E31" s="2">
        <v>0</v>
      </c>
      <c r="F31" s="2">
        <v>0</v>
      </c>
      <c r="G31" s="2">
        <v>1</v>
      </c>
      <c r="H31" s="2" t="s">
        <v>115</v>
      </c>
      <c r="I31" s="2" t="s">
        <v>40</v>
      </c>
    </row>
  </sheetData>
  <autoFilter ref="A1:I3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59"/>
  <sheetViews>
    <sheetView workbookViewId="0">
      <pane ySplit="1" topLeftCell="A2" activePane="bottomLeft" state="frozen"/>
      <selection pane="bottomLeft"/>
    </sheetView>
  </sheetViews>
  <sheetFormatPr defaultRowHeight="15" x14ac:dyDescent="0.25"/>
  <cols>
    <col min="1" max="1" width="13" customWidth="1"/>
    <col min="2" max="4" width="55" customWidth="1"/>
    <col min="5" max="5" width="12" customWidth="1"/>
    <col min="6" max="6" width="29" customWidth="1"/>
    <col min="7" max="7" width="55" customWidth="1"/>
    <col min="8" max="8" width="19" customWidth="1"/>
    <col min="9" max="9" width="13" customWidth="1"/>
    <col min="10" max="12" width="55" customWidth="1"/>
    <col min="13" max="13" width="12" customWidth="1"/>
    <col min="14" max="14" width="45" customWidth="1"/>
    <col min="15" max="15" width="55" customWidth="1"/>
    <col min="16" max="16" width="19" customWidth="1"/>
    <col min="17" max="17" width="18" customWidth="1"/>
    <col min="18" max="18" width="21" customWidth="1"/>
    <col min="19" max="19" width="52" customWidth="1"/>
    <col min="20" max="20" width="24" customWidth="1"/>
    <col min="21" max="21" width="28" customWidth="1"/>
    <col min="22" max="22" width="30" customWidth="1"/>
    <col min="23" max="23" width="23" customWidth="1"/>
    <col min="24" max="24" width="24" customWidth="1"/>
    <col min="25" max="25" width="55" customWidth="1"/>
  </cols>
  <sheetData>
    <row r="1" spans="1:25" ht="30" x14ac:dyDescent="0.25">
      <c r="A1" s="1" t="s">
        <v>742</v>
      </c>
      <c r="B1" s="1" t="s">
        <v>743</v>
      </c>
      <c r="C1" s="1" t="s">
        <v>744</v>
      </c>
      <c r="D1" s="1" t="s">
        <v>745</v>
      </c>
      <c r="E1" s="1" t="s">
        <v>746</v>
      </c>
      <c r="F1" s="1" t="s">
        <v>747</v>
      </c>
      <c r="G1" s="1" t="s">
        <v>748</v>
      </c>
      <c r="H1" s="1" t="s">
        <v>749</v>
      </c>
      <c r="I1" s="1" t="s">
        <v>750</v>
      </c>
      <c r="J1" s="1" t="s">
        <v>751</v>
      </c>
      <c r="K1" s="1" t="s">
        <v>752</v>
      </c>
      <c r="L1" s="1" t="s">
        <v>753</v>
      </c>
      <c r="M1" s="1" t="s">
        <v>754</v>
      </c>
      <c r="N1" s="1" t="s">
        <v>755</v>
      </c>
      <c r="O1" s="1" t="s">
        <v>756</v>
      </c>
      <c r="P1" s="1" t="s">
        <v>757</v>
      </c>
      <c r="Q1" s="1" t="s">
        <v>758</v>
      </c>
      <c r="R1" s="1" t="s">
        <v>759</v>
      </c>
      <c r="S1" s="1" t="s">
        <v>760</v>
      </c>
      <c r="T1" s="1" t="s">
        <v>761</v>
      </c>
      <c r="U1" s="1" t="s">
        <v>762</v>
      </c>
      <c r="V1" s="1" t="s">
        <v>763</v>
      </c>
      <c r="W1" s="1" t="s">
        <v>764</v>
      </c>
      <c r="X1" s="1" t="s">
        <v>765</v>
      </c>
      <c r="Y1" s="1" t="s">
        <v>766</v>
      </c>
    </row>
    <row r="2" spans="1:25" ht="30" x14ac:dyDescent="0.25">
      <c r="A2" s="2" t="s">
        <v>767</v>
      </c>
      <c r="B2" s="2" t="s">
        <v>768</v>
      </c>
      <c r="C2" s="2"/>
      <c r="D2" s="2" t="s">
        <v>769</v>
      </c>
      <c r="E2" s="2">
        <v>2022</v>
      </c>
      <c r="F2" s="2" t="s">
        <v>770</v>
      </c>
      <c r="G2" s="2" t="s">
        <v>771</v>
      </c>
      <c r="H2" s="2" t="s">
        <v>772</v>
      </c>
      <c r="I2" s="2" t="s">
        <v>773</v>
      </c>
      <c r="J2" s="2" t="s">
        <v>774</v>
      </c>
      <c r="K2" s="2"/>
      <c r="L2" s="2" t="s">
        <v>775</v>
      </c>
      <c r="M2" s="2">
        <v>2021</v>
      </c>
      <c r="N2" s="2"/>
      <c r="O2" s="2"/>
      <c r="P2" s="2" t="s">
        <v>772</v>
      </c>
      <c r="Q2" s="2">
        <v>0.224</v>
      </c>
      <c r="R2" s="2">
        <v>1</v>
      </c>
      <c r="S2" s="2" t="s">
        <v>776</v>
      </c>
      <c r="T2" s="2"/>
      <c r="U2" s="2"/>
      <c r="V2" s="2"/>
      <c r="W2" s="2"/>
      <c r="X2" s="2" t="s">
        <v>43</v>
      </c>
      <c r="Y2" s="2" t="s">
        <v>777</v>
      </c>
    </row>
    <row r="3" spans="1:25" ht="30" x14ac:dyDescent="0.25">
      <c r="A3" s="2" t="s">
        <v>767</v>
      </c>
      <c r="B3" s="2" t="s">
        <v>768</v>
      </c>
      <c r="C3" s="2"/>
      <c r="D3" s="2" t="s">
        <v>769</v>
      </c>
      <c r="E3" s="2">
        <v>2022</v>
      </c>
      <c r="F3" s="2" t="s">
        <v>770</v>
      </c>
      <c r="G3" s="2" t="s">
        <v>771</v>
      </c>
      <c r="H3" s="2" t="s">
        <v>772</v>
      </c>
      <c r="I3" s="2" t="s">
        <v>778</v>
      </c>
      <c r="J3" s="2" t="s">
        <v>779</v>
      </c>
      <c r="K3" s="2"/>
      <c r="L3" s="2"/>
      <c r="M3" s="2">
        <v>2024</v>
      </c>
      <c r="N3" s="2"/>
      <c r="O3" s="2"/>
      <c r="P3" s="2" t="s">
        <v>772</v>
      </c>
      <c r="Q3" s="2">
        <v>0.38</v>
      </c>
      <c r="R3" s="2">
        <v>1</v>
      </c>
      <c r="S3" s="2" t="s">
        <v>776</v>
      </c>
      <c r="T3" s="2"/>
      <c r="U3" s="2"/>
      <c r="V3" s="2"/>
      <c r="W3" s="2"/>
      <c r="X3" s="2" t="s">
        <v>43</v>
      </c>
      <c r="Y3" s="2" t="s">
        <v>777</v>
      </c>
    </row>
    <row r="4" spans="1:25" ht="30" x14ac:dyDescent="0.25">
      <c r="A4" s="2" t="s">
        <v>767</v>
      </c>
      <c r="B4" s="2" t="s">
        <v>768</v>
      </c>
      <c r="C4" s="2"/>
      <c r="D4" s="2" t="s">
        <v>769</v>
      </c>
      <c r="E4" s="2">
        <v>2022</v>
      </c>
      <c r="F4" s="2" t="s">
        <v>770</v>
      </c>
      <c r="G4" s="2" t="s">
        <v>771</v>
      </c>
      <c r="H4" s="2" t="s">
        <v>772</v>
      </c>
      <c r="I4" s="2" t="s">
        <v>780</v>
      </c>
      <c r="J4" s="2" t="s">
        <v>781</v>
      </c>
      <c r="K4" s="2"/>
      <c r="L4" s="2" t="s">
        <v>782</v>
      </c>
      <c r="M4" s="2">
        <v>2022</v>
      </c>
      <c r="N4" s="2"/>
      <c r="O4" s="2"/>
      <c r="P4" s="2" t="s">
        <v>772</v>
      </c>
      <c r="Q4" s="2">
        <v>0.36399999999999999</v>
      </c>
      <c r="R4" s="2">
        <v>1</v>
      </c>
      <c r="S4" s="2" t="s">
        <v>783</v>
      </c>
      <c r="T4" s="2"/>
      <c r="U4" s="2"/>
      <c r="V4" s="2"/>
      <c r="W4" s="2"/>
      <c r="X4" s="2" t="s">
        <v>43</v>
      </c>
      <c r="Y4" s="2" t="s">
        <v>777</v>
      </c>
    </row>
    <row r="5" spans="1:25" ht="45" x14ac:dyDescent="0.25">
      <c r="A5" s="2" t="s">
        <v>767</v>
      </c>
      <c r="B5" s="2" t="s">
        <v>768</v>
      </c>
      <c r="C5" s="2"/>
      <c r="D5" s="2" t="s">
        <v>769</v>
      </c>
      <c r="E5" s="2">
        <v>2022</v>
      </c>
      <c r="F5" s="2" t="s">
        <v>770</v>
      </c>
      <c r="G5" s="2" t="s">
        <v>771</v>
      </c>
      <c r="H5" s="2" t="s">
        <v>772</v>
      </c>
      <c r="I5" s="2" t="s">
        <v>784</v>
      </c>
      <c r="J5" s="2" t="s">
        <v>785</v>
      </c>
      <c r="K5" s="2"/>
      <c r="L5" s="2" t="s">
        <v>786</v>
      </c>
      <c r="M5" s="2">
        <v>2019</v>
      </c>
      <c r="N5" s="2"/>
      <c r="O5" s="2" t="s">
        <v>787</v>
      </c>
      <c r="P5" s="2" t="s">
        <v>788</v>
      </c>
      <c r="Q5" s="2">
        <v>0.32900000000000001</v>
      </c>
      <c r="R5" s="2">
        <v>1</v>
      </c>
      <c r="S5" s="2" t="s">
        <v>776</v>
      </c>
      <c r="T5" s="2"/>
      <c r="U5" s="2"/>
      <c r="V5" s="2"/>
      <c r="W5" s="2"/>
      <c r="X5" s="2" t="s">
        <v>43</v>
      </c>
      <c r="Y5" s="2" t="s">
        <v>777</v>
      </c>
    </row>
    <row r="6" spans="1:25" ht="30" x14ac:dyDescent="0.25">
      <c r="A6" s="2" t="s">
        <v>767</v>
      </c>
      <c r="B6" s="2" t="s">
        <v>768</v>
      </c>
      <c r="C6" s="2"/>
      <c r="D6" s="2" t="s">
        <v>769</v>
      </c>
      <c r="E6" s="2">
        <v>2022</v>
      </c>
      <c r="F6" s="2" t="s">
        <v>770</v>
      </c>
      <c r="G6" s="2" t="s">
        <v>771</v>
      </c>
      <c r="H6" s="2" t="s">
        <v>772</v>
      </c>
      <c r="I6" s="2" t="s">
        <v>789</v>
      </c>
      <c r="J6" s="2" t="s">
        <v>790</v>
      </c>
      <c r="K6" s="2"/>
      <c r="L6" s="2" t="s">
        <v>791</v>
      </c>
      <c r="M6" s="2">
        <v>2019</v>
      </c>
      <c r="N6" s="2"/>
      <c r="O6" s="2" t="s">
        <v>792</v>
      </c>
      <c r="P6" s="2" t="s">
        <v>788</v>
      </c>
      <c r="Q6" s="2">
        <v>0.42399999999999999</v>
      </c>
      <c r="R6" s="2">
        <v>1</v>
      </c>
      <c r="S6" s="2" t="s">
        <v>776</v>
      </c>
      <c r="T6" s="2"/>
      <c r="U6" s="2"/>
      <c r="V6" s="2"/>
      <c r="W6" s="2"/>
      <c r="X6" s="2" t="s">
        <v>43</v>
      </c>
      <c r="Y6" s="2" t="s">
        <v>777</v>
      </c>
    </row>
    <row r="7" spans="1:25" ht="45" x14ac:dyDescent="0.25">
      <c r="A7" s="2" t="s">
        <v>767</v>
      </c>
      <c r="B7" s="2" t="s">
        <v>768</v>
      </c>
      <c r="C7" s="2"/>
      <c r="D7" s="2" t="s">
        <v>769</v>
      </c>
      <c r="E7" s="2">
        <v>2022</v>
      </c>
      <c r="F7" s="2" t="s">
        <v>770</v>
      </c>
      <c r="G7" s="2" t="s">
        <v>771</v>
      </c>
      <c r="H7" s="2" t="s">
        <v>772</v>
      </c>
      <c r="I7" s="2" t="s">
        <v>793</v>
      </c>
      <c r="J7" s="2" t="s">
        <v>794</v>
      </c>
      <c r="K7" s="2"/>
      <c r="L7" s="2" t="s">
        <v>795</v>
      </c>
      <c r="M7" s="2">
        <v>2025</v>
      </c>
      <c r="N7" s="2"/>
      <c r="O7" s="2" t="s">
        <v>796</v>
      </c>
      <c r="P7" s="2" t="s">
        <v>788</v>
      </c>
      <c r="Q7" s="2">
        <v>0.38800000000000001</v>
      </c>
      <c r="R7" s="2">
        <v>1</v>
      </c>
      <c r="S7" s="2" t="s">
        <v>776</v>
      </c>
      <c r="T7" s="2"/>
      <c r="U7" s="2"/>
      <c r="V7" s="2"/>
      <c r="W7" s="2"/>
      <c r="X7" s="2" t="s">
        <v>43</v>
      </c>
      <c r="Y7" s="2" t="s">
        <v>777</v>
      </c>
    </row>
    <row r="8" spans="1:25" ht="45" x14ac:dyDescent="0.25">
      <c r="A8" s="2" t="s">
        <v>767</v>
      </c>
      <c r="B8" s="2" t="s">
        <v>768</v>
      </c>
      <c r="C8" s="2"/>
      <c r="D8" s="2" t="s">
        <v>769</v>
      </c>
      <c r="E8" s="2">
        <v>2022</v>
      </c>
      <c r="F8" s="2" t="s">
        <v>770</v>
      </c>
      <c r="G8" s="2" t="s">
        <v>771</v>
      </c>
      <c r="H8" s="2" t="s">
        <v>772</v>
      </c>
      <c r="I8" s="2" t="s">
        <v>797</v>
      </c>
      <c r="J8" s="2" t="s">
        <v>798</v>
      </c>
      <c r="K8" s="2"/>
      <c r="L8" s="2" t="s">
        <v>799</v>
      </c>
      <c r="M8" s="2">
        <v>2022</v>
      </c>
      <c r="N8" s="2"/>
      <c r="O8" s="2" t="s">
        <v>800</v>
      </c>
      <c r="P8" s="2" t="s">
        <v>788</v>
      </c>
      <c r="Q8" s="2">
        <v>0.40400000000000003</v>
      </c>
      <c r="R8" s="2">
        <v>1</v>
      </c>
      <c r="S8" s="2" t="s">
        <v>783</v>
      </c>
      <c r="T8" s="2"/>
      <c r="U8" s="2"/>
      <c r="V8" s="2"/>
      <c r="W8" s="2"/>
      <c r="X8" s="2" t="s">
        <v>43</v>
      </c>
      <c r="Y8" s="2" t="s">
        <v>777</v>
      </c>
    </row>
    <row r="9" spans="1:25" ht="30" x14ac:dyDescent="0.25">
      <c r="A9" s="2" t="s">
        <v>767</v>
      </c>
      <c r="B9" s="2" t="s">
        <v>768</v>
      </c>
      <c r="C9" s="2"/>
      <c r="D9" s="2" t="s">
        <v>769</v>
      </c>
      <c r="E9" s="2">
        <v>2022</v>
      </c>
      <c r="F9" s="2" t="s">
        <v>770</v>
      </c>
      <c r="G9" s="2" t="s">
        <v>771</v>
      </c>
      <c r="H9" s="2" t="s">
        <v>772</v>
      </c>
      <c r="I9" s="2" t="s">
        <v>801</v>
      </c>
      <c r="J9" s="2" t="s">
        <v>802</v>
      </c>
      <c r="K9" s="2"/>
      <c r="L9" s="2" t="s">
        <v>803</v>
      </c>
      <c r="M9" s="2">
        <v>2020</v>
      </c>
      <c r="N9" s="2"/>
      <c r="O9" s="2" t="s">
        <v>804</v>
      </c>
      <c r="P9" s="2" t="s">
        <v>788</v>
      </c>
      <c r="Q9" s="2">
        <v>0.42799999999999999</v>
      </c>
      <c r="R9" s="2">
        <v>1</v>
      </c>
      <c r="S9" s="2" t="s">
        <v>776</v>
      </c>
      <c r="T9" s="2"/>
      <c r="U9" s="2"/>
      <c r="V9" s="2"/>
      <c r="W9" s="2"/>
      <c r="X9" s="2" t="s">
        <v>43</v>
      </c>
      <c r="Y9" s="2" t="s">
        <v>777</v>
      </c>
    </row>
    <row r="10" spans="1:25" ht="45" x14ac:dyDescent="0.25">
      <c r="A10" s="2" t="s">
        <v>767</v>
      </c>
      <c r="B10" s="2" t="s">
        <v>768</v>
      </c>
      <c r="C10" s="2"/>
      <c r="D10" s="2" t="s">
        <v>769</v>
      </c>
      <c r="E10" s="2">
        <v>2022</v>
      </c>
      <c r="F10" s="2" t="s">
        <v>770</v>
      </c>
      <c r="G10" s="2" t="s">
        <v>771</v>
      </c>
      <c r="H10" s="2" t="s">
        <v>772</v>
      </c>
      <c r="I10" s="2" t="s">
        <v>805</v>
      </c>
      <c r="J10" s="2" t="s">
        <v>806</v>
      </c>
      <c r="K10" s="2"/>
      <c r="L10" s="2" t="s">
        <v>807</v>
      </c>
      <c r="M10" s="2">
        <v>2019</v>
      </c>
      <c r="N10" s="2"/>
      <c r="O10" s="2" t="s">
        <v>808</v>
      </c>
      <c r="P10" s="2" t="s">
        <v>788</v>
      </c>
      <c r="Q10" s="2">
        <v>0.39500000000000002</v>
      </c>
      <c r="R10" s="2">
        <v>1</v>
      </c>
      <c r="S10" s="2" t="s">
        <v>776</v>
      </c>
      <c r="T10" s="2"/>
      <c r="U10" s="2"/>
      <c r="V10" s="2"/>
      <c r="W10" s="2"/>
      <c r="X10" s="2" t="s">
        <v>43</v>
      </c>
      <c r="Y10" s="2" t="s">
        <v>777</v>
      </c>
    </row>
    <row r="11" spans="1:25" ht="30" x14ac:dyDescent="0.25">
      <c r="A11" s="2" t="s">
        <v>767</v>
      </c>
      <c r="B11" s="2" t="s">
        <v>768</v>
      </c>
      <c r="C11" s="2"/>
      <c r="D11" s="2" t="s">
        <v>769</v>
      </c>
      <c r="E11" s="2">
        <v>2022</v>
      </c>
      <c r="F11" s="2" t="s">
        <v>770</v>
      </c>
      <c r="G11" s="2" t="s">
        <v>771</v>
      </c>
      <c r="H11" s="2" t="s">
        <v>772</v>
      </c>
      <c r="I11" s="2" t="s">
        <v>809</v>
      </c>
      <c r="J11" s="2" t="s">
        <v>810</v>
      </c>
      <c r="K11" s="2"/>
      <c r="L11" s="2" t="s">
        <v>811</v>
      </c>
      <c r="M11" s="2">
        <v>2019</v>
      </c>
      <c r="N11" s="2" t="s">
        <v>812</v>
      </c>
      <c r="O11" s="2" t="s">
        <v>813</v>
      </c>
      <c r="P11" s="2" t="s">
        <v>814</v>
      </c>
      <c r="Q11" s="2">
        <v>0.5</v>
      </c>
      <c r="R11" s="2">
        <v>1</v>
      </c>
      <c r="S11" s="2" t="s">
        <v>776</v>
      </c>
      <c r="T11" s="2"/>
      <c r="U11" s="2"/>
      <c r="V11" s="2"/>
      <c r="W11" s="2"/>
      <c r="X11" s="2" t="s">
        <v>43</v>
      </c>
      <c r="Y11" s="2" t="s">
        <v>777</v>
      </c>
    </row>
    <row r="12" spans="1:25" ht="30" x14ac:dyDescent="0.25">
      <c r="A12" s="2" t="s">
        <v>773</v>
      </c>
      <c r="B12" s="2" t="s">
        <v>774</v>
      </c>
      <c r="C12" s="2"/>
      <c r="D12" s="2" t="s">
        <v>775</v>
      </c>
      <c r="E12" s="2">
        <v>2021</v>
      </c>
      <c r="F12" s="2"/>
      <c r="G12" s="2"/>
      <c r="H12" s="2" t="s">
        <v>772</v>
      </c>
      <c r="I12" s="2" t="s">
        <v>778</v>
      </c>
      <c r="J12" s="2" t="s">
        <v>779</v>
      </c>
      <c r="K12" s="2"/>
      <c r="L12" s="2"/>
      <c r="M12" s="2">
        <v>2024</v>
      </c>
      <c r="N12" s="2"/>
      <c r="O12" s="2"/>
      <c r="P12" s="2" t="s">
        <v>772</v>
      </c>
      <c r="Q12" s="2">
        <v>0.218</v>
      </c>
      <c r="R12" s="2">
        <v>1</v>
      </c>
      <c r="S12" s="2" t="s">
        <v>776</v>
      </c>
      <c r="T12" s="2"/>
      <c r="U12" s="2"/>
      <c r="V12" s="2"/>
      <c r="W12" s="2"/>
      <c r="X12" s="2" t="s">
        <v>43</v>
      </c>
      <c r="Y12" s="2" t="s">
        <v>777</v>
      </c>
    </row>
    <row r="13" spans="1:25" ht="30" x14ac:dyDescent="0.25">
      <c r="A13" s="2" t="s">
        <v>773</v>
      </c>
      <c r="B13" s="2" t="s">
        <v>774</v>
      </c>
      <c r="C13" s="2"/>
      <c r="D13" s="2" t="s">
        <v>775</v>
      </c>
      <c r="E13" s="2">
        <v>2021</v>
      </c>
      <c r="F13" s="2"/>
      <c r="G13" s="2"/>
      <c r="H13" s="2" t="s">
        <v>772</v>
      </c>
      <c r="I13" s="2" t="s">
        <v>780</v>
      </c>
      <c r="J13" s="2" t="s">
        <v>781</v>
      </c>
      <c r="K13" s="2"/>
      <c r="L13" s="2" t="s">
        <v>782</v>
      </c>
      <c r="M13" s="2">
        <v>2022</v>
      </c>
      <c r="N13" s="2"/>
      <c r="O13" s="2"/>
      <c r="P13" s="2" t="s">
        <v>772</v>
      </c>
      <c r="Q13" s="2">
        <v>0.308</v>
      </c>
      <c r="R13" s="2">
        <v>1</v>
      </c>
      <c r="S13" s="2" t="s">
        <v>776</v>
      </c>
      <c r="T13" s="2"/>
      <c r="U13" s="2"/>
      <c r="V13" s="2"/>
      <c r="W13" s="2"/>
      <c r="X13" s="2" t="s">
        <v>43</v>
      </c>
      <c r="Y13" s="2" t="s">
        <v>777</v>
      </c>
    </row>
    <row r="14" spans="1:25" ht="45" x14ac:dyDescent="0.25">
      <c r="A14" s="2" t="s">
        <v>773</v>
      </c>
      <c r="B14" s="2" t="s">
        <v>774</v>
      </c>
      <c r="C14" s="2"/>
      <c r="D14" s="2" t="s">
        <v>775</v>
      </c>
      <c r="E14" s="2">
        <v>2021</v>
      </c>
      <c r="F14" s="2"/>
      <c r="G14" s="2"/>
      <c r="H14" s="2" t="s">
        <v>772</v>
      </c>
      <c r="I14" s="2" t="s">
        <v>784</v>
      </c>
      <c r="J14" s="2" t="s">
        <v>785</v>
      </c>
      <c r="K14" s="2"/>
      <c r="L14" s="2" t="s">
        <v>786</v>
      </c>
      <c r="M14" s="2">
        <v>2019</v>
      </c>
      <c r="N14" s="2"/>
      <c r="O14" s="2" t="s">
        <v>787</v>
      </c>
      <c r="P14" s="2" t="s">
        <v>788</v>
      </c>
      <c r="Q14" s="2">
        <v>0.32100000000000001</v>
      </c>
      <c r="R14" s="2">
        <v>1</v>
      </c>
      <c r="S14" s="2" t="s">
        <v>776</v>
      </c>
      <c r="T14" s="2"/>
      <c r="U14" s="2"/>
      <c r="V14" s="2"/>
      <c r="W14" s="2"/>
      <c r="X14" s="2" t="s">
        <v>43</v>
      </c>
      <c r="Y14" s="2" t="s">
        <v>777</v>
      </c>
    </row>
    <row r="15" spans="1:25" ht="30" x14ac:dyDescent="0.25">
      <c r="A15" s="2" t="s">
        <v>773</v>
      </c>
      <c r="B15" s="2" t="s">
        <v>774</v>
      </c>
      <c r="C15" s="2"/>
      <c r="D15" s="2" t="s">
        <v>775</v>
      </c>
      <c r="E15" s="2">
        <v>2021</v>
      </c>
      <c r="F15" s="2"/>
      <c r="G15" s="2"/>
      <c r="H15" s="2" t="s">
        <v>772</v>
      </c>
      <c r="I15" s="2" t="s">
        <v>789</v>
      </c>
      <c r="J15" s="2" t="s">
        <v>790</v>
      </c>
      <c r="K15" s="2"/>
      <c r="L15" s="2" t="s">
        <v>791</v>
      </c>
      <c r="M15" s="2">
        <v>2019</v>
      </c>
      <c r="N15" s="2"/>
      <c r="O15" s="2" t="s">
        <v>792</v>
      </c>
      <c r="P15" s="2" t="s">
        <v>788</v>
      </c>
      <c r="Q15" s="2">
        <v>0.19</v>
      </c>
      <c r="R15" s="2">
        <v>1</v>
      </c>
      <c r="S15" s="2" t="s">
        <v>776</v>
      </c>
      <c r="T15" s="2"/>
      <c r="U15" s="2"/>
      <c r="V15" s="2"/>
      <c r="W15" s="2"/>
      <c r="X15" s="2" t="s">
        <v>43</v>
      </c>
      <c r="Y15" s="2" t="s">
        <v>777</v>
      </c>
    </row>
    <row r="16" spans="1:25" ht="45" x14ac:dyDescent="0.25">
      <c r="A16" s="2" t="s">
        <v>773</v>
      </c>
      <c r="B16" s="2" t="s">
        <v>774</v>
      </c>
      <c r="C16" s="2"/>
      <c r="D16" s="2" t="s">
        <v>775</v>
      </c>
      <c r="E16" s="2">
        <v>2021</v>
      </c>
      <c r="F16" s="2"/>
      <c r="G16" s="2"/>
      <c r="H16" s="2" t="s">
        <v>772</v>
      </c>
      <c r="I16" s="2" t="s">
        <v>793</v>
      </c>
      <c r="J16" s="2" t="s">
        <v>794</v>
      </c>
      <c r="K16" s="2"/>
      <c r="L16" s="2" t="s">
        <v>795</v>
      </c>
      <c r="M16" s="2">
        <v>2025</v>
      </c>
      <c r="N16" s="2"/>
      <c r="O16" s="2" t="s">
        <v>796</v>
      </c>
      <c r="P16" s="2" t="s">
        <v>788</v>
      </c>
      <c r="Q16" s="2">
        <v>0.35199999999999998</v>
      </c>
      <c r="R16" s="2">
        <v>1</v>
      </c>
      <c r="S16" s="2" t="s">
        <v>776</v>
      </c>
      <c r="T16" s="2"/>
      <c r="U16" s="2"/>
      <c r="V16" s="2"/>
      <c r="W16" s="2"/>
      <c r="X16" s="2" t="s">
        <v>43</v>
      </c>
      <c r="Y16" s="2" t="s">
        <v>777</v>
      </c>
    </row>
    <row r="17" spans="1:25" ht="45" x14ac:dyDescent="0.25">
      <c r="A17" s="2" t="s">
        <v>773</v>
      </c>
      <c r="B17" s="2" t="s">
        <v>774</v>
      </c>
      <c r="C17" s="2"/>
      <c r="D17" s="2" t="s">
        <v>775</v>
      </c>
      <c r="E17" s="2">
        <v>2021</v>
      </c>
      <c r="F17" s="2"/>
      <c r="G17" s="2"/>
      <c r="H17" s="2" t="s">
        <v>772</v>
      </c>
      <c r="I17" s="2" t="s">
        <v>797</v>
      </c>
      <c r="J17" s="2" t="s">
        <v>798</v>
      </c>
      <c r="K17" s="2"/>
      <c r="L17" s="2" t="s">
        <v>799</v>
      </c>
      <c r="M17" s="2">
        <v>2022</v>
      </c>
      <c r="N17" s="2"/>
      <c r="O17" s="2" t="s">
        <v>800</v>
      </c>
      <c r="P17" s="2" t="s">
        <v>788</v>
      </c>
      <c r="Q17" s="2">
        <v>0.32</v>
      </c>
      <c r="R17" s="2">
        <v>1</v>
      </c>
      <c r="S17" s="2" t="s">
        <v>776</v>
      </c>
      <c r="T17" s="2"/>
      <c r="U17" s="2"/>
      <c r="V17" s="2"/>
      <c r="W17" s="2"/>
      <c r="X17" s="2" t="s">
        <v>43</v>
      </c>
      <c r="Y17" s="2" t="s">
        <v>777</v>
      </c>
    </row>
    <row r="18" spans="1:25" ht="30" x14ac:dyDescent="0.25">
      <c r="A18" s="2" t="s">
        <v>773</v>
      </c>
      <c r="B18" s="2" t="s">
        <v>774</v>
      </c>
      <c r="C18" s="2"/>
      <c r="D18" s="2" t="s">
        <v>775</v>
      </c>
      <c r="E18" s="2">
        <v>2021</v>
      </c>
      <c r="F18" s="2"/>
      <c r="G18" s="2"/>
      <c r="H18" s="2" t="s">
        <v>772</v>
      </c>
      <c r="I18" s="2" t="s">
        <v>801</v>
      </c>
      <c r="J18" s="2" t="s">
        <v>802</v>
      </c>
      <c r="K18" s="2"/>
      <c r="L18" s="2" t="s">
        <v>803</v>
      </c>
      <c r="M18" s="2">
        <v>2020</v>
      </c>
      <c r="N18" s="2"/>
      <c r="O18" s="2" t="s">
        <v>804</v>
      </c>
      <c r="P18" s="2" t="s">
        <v>788</v>
      </c>
      <c r="Q18" s="2">
        <v>0.34899999999999998</v>
      </c>
      <c r="R18" s="2">
        <v>1</v>
      </c>
      <c r="S18" s="2" t="s">
        <v>776</v>
      </c>
      <c r="T18" s="2"/>
      <c r="U18" s="2"/>
      <c r="V18" s="2"/>
      <c r="W18" s="2"/>
      <c r="X18" s="2" t="s">
        <v>43</v>
      </c>
      <c r="Y18" s="2" t="s">
        <v>777</v>
      </c>
    </row>
    <row r="19" spans="1:25" ht="45" x14ac:dyDescent="0.25">
      <c r="A19" s="2" t="s">
        <v>773</v>
      </c>
      <c r="B19" s="2" t="s">
        <v>774</v>
      </c>
      <c r="C19" s="2"/>
      <c r="D19" s="2" t="s">
        <v>775</v>
      </c>
      <c r="E19" s="2">
        <v>2021</v>
      </c>
      <c r="F19" s="2"/>
      <c r="G19" s="2"/>
      <c r="H19" s="2" t="s">
        <v>772</v>
      </c>
      <c r="I19" s="2" t="s">
        <v>805</v>
      </c>
      <c r="J19" s="2" t="s">
        <v>806</v>
      </c>
      <c r="K19" s="2"/>
      <c r="L19" s="2" t="s">
        <v>807</v>
      </c>
      <c r="M19" s="2">
        <v>2019</v>
      </c>
      <c r="N19" s="2"/>
      <c r="O19" s="2" t="s">
        <v>808</v>
      </c>
      <c r="P19" s="2" t="s">
        <v>788</v>
      </c>
      <c r="Q19" s="2">
        <v>0.33500000000000002</v>
      </c>
      <c r="R19" s="2">
        <v>1</v>
      </c>
      <c r="S19" s="2" t="s">
        <v>776</v>
      </c>
      <c r="T19" s="2"/>
      <c r="U19" s="2"/>
      <c r="V19" s="2"/>
      <c r="W19" s="2"/>
      <c r="X19" s="2" t="s">
        <v>43</v>
      </c>
      <c r="Y19" s="2" t="s">
        <v>777</v>
      </c>
    </row>
    <row r="20" spans="1:25" ht="30" x14ac:dyDescent="0.25">
      <c r="A20" s="2" t="s">
        <v>773</v>
      </c>
      <c r="B20" s="2" t="s">
        <v>774</v>
      </c>
      <c r="C20" s="2"/>
      <c r="D20" s="2" t="s">
        <v>775</v>
      </c>
      <c r="E20" s="2">
        <v>2021</v>
      </c>
      <c r="F20" s="2"/>
      <c r="G20" s="2"/>
      <c r="H20" s="2" t="s">
        <v>772</v>
      </c>
      <c r="I20" s="2" t="s">
        <v>809</v>
      </c>
      <c r="J20" s="2" t="s">
        <v>810</v>
      </c>
      <c r="K20" s="2"/>
      <c r="L20" s="2" t="s">
        <v>811</v>
      </c>
      <c r="M20" s="2">
        <v>2019</v>
      </c>
      <c r="N20" s="2" t="s">
        <v>812</v>
      </c>
      <c r="O20" s="2" t="s">
        <v>813</v>
      </c>
      <c r="P20" s="2" t="s">
        <v>814</v>
      </c>
      <c r="Q20" s="2">
        <v>0.19900000000000001</v>
      </c>
      <c r="R20" s="2">
        <v>1</v>
      </c>
      <c r="S20" s="2" t="s">
        <v>776</v>
      </c>
      <c r="T20" s="2"/>
      <c r="U20" s="2"/>
      <c r="V20" s="2"/>
      <c r="W20" s="2"/>
      <c r="X20" s="2" t="s">
        <v>43</v>
      </c>
      <c r="Y20" s="2" t="s">
        <v>777</v>
      </c>
    </row>
    <row r="21" spans="1:25" ht="30" x14ac:dyDescent="0.25">
      <c r="A21" s="2" t="s">
        <v>778</v>
      </c>
      <c r="B21" s="2" t="s">
        <v>779</v>
      </c>
      <c r="C21" s="2"/>
      <c r="D21" s="2"/>
      <c r="E21" s="2">
        <v>2024</v>
      </c>
      <c r="F21" s="2"/>
      <c r="G21" s="2"/>
      <c r="H21" s="2" t="s">
        <v>772</v>
      </c>
      <c r="I21" s="2" t="s">
        <v>780</v>
      </c>
      <c r="J21" s="2" t="s">
        <v>781</v>
      </c>
      <c r="K21" s="2"/>
      <c r="L21" s="2" t="s">
        <v>782</v>
      </c>
      <c r="M21" s="2">
        <v>2022</v>
      </c>
      <c r="N21" s="2"/>
      <c r="O21" s="2"/>
      <c r="P21" s="2" t="s">
        <v>772</v>
      </c>
      <c r="Q21" s="2">
        <v>0.23300000000000001</v>
      </c>
      <c r="R21" s="2">
        <v>1</v>
      </c>
      <c r="S21" s="2" t="s">
        <v>776</v>
      </c>
      <c r="T21" s="2"/>
      <c r="U21" s="2"/>
      <c r="V21" s="2"/>
      <c r="W21" s="2"/>
      <c r="X21" s="2" t="s">
        <v>43</v>
      </c>
      <c r="Y21" s="2" t="s">
        <v>777</v>
      </c>
    </row>
    <row r="22" spans="1:25" ht="45" x14ac:dyDescent="0.25">
      <c r="A22" s="2" t="s">
        <v>778</v>
      </c>
      <c r="B22" s="2" t="s">
        <v>779</v>
      </c>
      <c r="C22" s="2"/>
      <c r="D22" s="2"/>
      <c r="E22" s="2">
        <v>2024</v>
      </c>
      <c r="F22" s="2"/>
      <c r="G22" s="2"/>
      <c r="H22" s="2" t="s">
        <v>772</v>
      </c>
      <c r="I22" s="2" t="s">
        <v>784</v>
      </c>
      <c r="J22" s="2" t="s">
        <v>785</v>
      </c>
      <c r="K22" s="2"/>
      <c r="L22" s="2" t="s">
        <v>786</v>
      </c>
      <c r="M22" s="2">
        <v>2019</v>
      </c>
      <c r="N22" s="2"/>
      <c r="O22" s="2" t="s">
        <v>787</v>
      </c>
      <c r="P22" s="2" t="s">
        <v>788</v>
      </c>
      <c r="Q22" s="2">
        <v>0.27700000000000002</v>
      </c>
      <c r="R22" s="2">
        <v>1</v>
      </c>
      <c r="S22" s="2" t="s">
        <v>776</v>
      </c>
      <c r="T22" s="2"/>
      <c r="U22" s="2"/>
      <c r="V22" s="2"/>
      <c r="W22" s="2"/>
      <c r="X22" s="2" t="s">
        <v>43</v>
      </c>
      <c r="Y22" s="2" t="s">
        <v>777</v>
      </c>
    </row>
    <row r="23" spans="1:25" ht="30" x14ac:dyDescent="0.25">
      <c r="A23" s="2" t="s">
        <v>778</v>
      </c>
      <c r="B23" s="2" t="s">
        <v>779</v>
      </c>
      <c r="C23" s="2"/>
      <c r="D23" s="2"/>
      <c r="E23" s="2">
        <v>2024</v>
      </c>
      <c r="F23" s="2"/>
      <c r="G23" s="2"/>
      <c r="H23" s="2" t="s">
        <v>772</v>
      </c>
      <c r="I23" s="2" t="s">
        <v>789</v>
      </c>
      <c r="J23" s="2" t="s">
        <v>790</v>
      </c>
      <c r="K23" s="2"/>
      <c r="L23" s="2" t="s">
        <v>791</v>
      </c>
      <c r="M23" s="2">
        <v>2019</v>
      </c>
      <c r="N23" s="2"/>
      <c r="O23" s="2" t="s">
        <v>792</v>
      </c>
      <c r="P23" s="2" t="s">
        <v>788</v>
      </c>
      <c r="Q23" s="2">
        <v>0.27</v>
      </c>
      <c r="R23" s="2">
        <v>1</v>
      </c>
      <c r="S23" s="2" t="s">
        <v>776</v>
      </c>
      <c r="T23" s="2"/>
      <c r="U23" s="2"/>
      <c r="V23" s="2"/>
      <c r="W23" s="2"/>
      <c r="X23" s="2" t="s">
        <v>43</v>
      </c>
      <c r="Y23" s="2" t="s">
        <v>777</v>
      </c>
    </row>
    <row r="24" spans="1:25" ht="45" x14ac:dyDescent="0.25">
      <c r="A24" s="2" t="s">
        <v>778</v>
      </c>
      <c r="B24" s="2" t="s">
        <v>779</v>
      </c>
      <c r="C24" s="2"/>
      <c r="D24" s="2"/>
      <c r="E24" s="2">
        <v>2024</v>
      </c>
      <c r="F24" s="2"/>
      <c r="G24" s="2"/>
      <c r="H24" s="2" t="s">
        <v>772</v>
      </c>
      <c r="I24" s="2" t="s">
        <v>793</v>
      </c>
      <c r="J24" s="2" t="s">
        <v>794</v>
      </c>
      <c r="K24" s="2"/>
      <c r="L24" s="2" t="s">
        <v>795</v>
      </c>
      <c r="M24" s="2">
        <v>2025</v>
      </c>
      <c r="N24" s="2"/>
      <c r="O24" s="2" t="s">
        <v>796</v>
      </c>
      <c r="P24" s="2" t="s">
        <v>788</v>
      </c>
      <c r="Q24" s="2">
        <v>0.26500000000000001</v>
      </c>
      <c r="R24" s="2">
        <v>1</v>
      </c>
      <c r="S24" s="2" t="s">
        <v>776</v>
      </c>
      <c r="T24" s="2"/>
      <c r="U24" s="2"/>
      <c r="V24" s="2"/>
      <c r="W24" s="2"/>
      <c r="X24" s="2" t="s">
        <v>43</v>
      </c>
      <c r="Y24" s="2" t="s">
        <v>777</v>
      </c>
    </row>
    <row r="25" spans="1:25" ht="45" x14ac:dyDescent="0.25">
      <c r="A25" s="2" t="s">
        <v>778</v>
      </c>
      <c r="B25" s="2" t="s">
        <v>779</v>
      </c>
      <c r="C25" s="2"/>
      <c r="D25" s="2"/>
      <c r="E25" s="2">
        <v>2024</v>
      </c>
      <c r="F25" s="2"/>
      <c r="G25" s="2"/>
      <c r="H25" s="2" t="s">
        <v>772</v>
      </c>
      <c r="I25" s="2" t="s">
        <v>797</v>
      </c>
      <c r="J25" s="2" t="s">
        <v>798</v>
      </c>
      <c r="K25" s="2"/>
      <c r="L25" s="2" t="s">
        <v>799</v>
      </c>
      <c r="M25" s="2">
        <v>2022</v>
      </c>
      <c r="N25" s="2"/>
      <c r="O25" s="2" t="s">
        <v>800</v>
      </c>
      <c r="P25" s="2" t="s">
        <v>788</v>
      </c>
      <c r="Q25" s="2">
        <v>0.31900000000000001</v>
      </c>
      <c r="R25" s="2">
        <v>1</v>
      </c>
      <c r="S25" s="2" t="s">
        <v>776</v>
      </c>
      <c r="T25" s="2"/>
      <c r="U25" s="2"/>
      <c r="V25" s="2"/>
      <c r="W25" s="2"/>
      <c r="X25" s="2" t="s">
        <v>43</v>
      </c>
      <c r="Y25" s="2" t="s">
        <v>777</v>
      </c>
    </row>
    <row r="26" spans="1:25" ht="30" x14ac:dyDescent="0.25">
      <c r="A26" s="2" t="s">
        <v>778</v>
      </c>
      <c r="B26" s="2" t="s">
        <v>779</v>
      </c>
      <c r="C26" s="2"/>
      <c r="D26" s="2"/>
      <c r="E26" s="2">
        <v>2024</v>
      </c>
      <c r="F26" s="2"/>
      <c r="G26" s="2"/>
      <c r="H26" s="2" t="s">
        <v>772</v>
      </c>
      <c r="I26" s="2" t="s">
        <v>801</v>
      </c>
      <c r="J26" s="2" t="s">
        <v>802</v>
      </c>
      <c r="K26" s="2"/>
      <c r="L26" s="2" t="s">
        <v>803</v>
      </c>
      <c r="M26" s="2">
        <v>2020</v>
      </c>
      <c r="N26" s="2"/>
      <c r="O26" s="2" t="s">
        <v>804</v>
      </c>
      <c r="P26" s="2" t="s">
        <v>788</v>
      </c>
      <c r="Q26" s="2">
        <v>0.28000000000000003</v>
      </c>
      <c r="R26" s="2">
        <v>1</v>
      </c>
      <c r="S26" s="2" t="s">
        <v>776</v>
      </c>
      <c r="T26" s="2"/>
      <c r="U26" s="2"/>
      <c r="V26" s="2"/>
      <c r="W26" s="2"/>
      <c r="X26" s="2" t="s">
        <v>43</v>
      </c>
      <c r="Y26" s="2" t="s">
        <v>777</v>
      </c>
    </row>
    <row r="27" spans="1:25" ht="45" x14ac:dyDescent="0.25">
      <c r="A27" s="2" t="s">
        <v>778</v>
      </c>
      <c r="B27" s="2" t="s">
        <v>779</v>
      </c>
      <c r="C27" s="2"/>
      <c r="D27" s="2"/>
      <c r="E27" s="2">
        <v>2024</v>
      </c>
      <c r="F27" s="2"/>
      <c r="G27" s="2"/>
      <c r="H27" s="2" t="s">
        <v>772</v>
      </c>
      <c r="I27" s="2" t="s">
        <v>805</v>
      </c>
      <c r="J27" s="2" t="s">
        <v>806</v>
      </c>
      <c r="K27" s="2"/>
      <c r="L27" s="2" t="s">
        <v>807</v>
      </c>
      <c r="M27" s="2">
        <v>2019</v>
      </c>
      <c r="N27" s="2"/>
      <c r="O27" s="2" t="s">
        <v>808</v>
      </c>
      <c r="P27" s="2" t="s">
        <v>788</v>
      </c>
      <c r="Q27" s="2">
        <v>0.28999999999999998</v>
      </c>
      <c r="R27" s="2">
        <v>1</v>
      </c>
      <c r="S27" s="2" t="s">
        <v>776</v>
      </c>
      <c r="T27" s="2"/>
      <c r="U27" s="2"/>
      <c r="V27" s="2"/>
      <c r="W27" s="2"/>
      <c r="X27" s="2" t="s">
        <v>43</v>
      </c>
      <c r="Y27" s="2" t="s">
        <v>777</v>
      </c>
    </row>
    <row r="28" spans="1:25" ht="30" x14ac:dyDescent="0.25">
      <c r="A28" s="2" t="s">
        <v>778</v>
      </c>
      <c r="B28" s="2" t="s">
        <v>779</v>
      </c>
      <c r="C28" s="2"/>
      <c r="D28" s="2"/>
      <c r="E28" s="2">
        <v>2024</v>
      </c>
      <c r="F28" s="2"/>
      <c r="G28" s="2"/>
      <c r="H28" s="2" t="s">
        <v>772</v>
      </c>
      <c r="I28" s="2" t="s">
        <v>809</v>
      </c>
      <c r="J28" s="2" t="s">
        <v>810</v>
      </c>
      <c r="K28" s="2"/>
      <c r="L28" s="2" t="s">
        <v>811</v>
      </c>
      <c r="M28" s="2">
        <v>2019</v>
      </c>
      <c r="N28" s="2" t="s">
        <v>812</v>
      </c>
      <c r="O28" s="2" t="s">
        <v>813</v>
      </c>
      <c r="P28" s="2" t="s">
        <v>814</v>
      </c>
      <c r="Q28" s="2">
        <v>0.26100000000000001</v>
      </c>
      <c r="R28" s="2">
        <v>1</v>
      </c>
      <c r="S28" s="2" t="s">
        <v>776</v>
      </c>
      <c r="T28" s="2"/>
      <c r="U28" s="2"/>
      <c r="V28" s="2"/>
      <c r="W28" s="2"/>
      <c r="X28" s="2" t="s">
        <v>43</v>
      </c>
      <c r="Y28" s="2" t="s">
        <v>777</v>
      </c>
    </row>
    <row r="29" spans="1:25" ht="45" x14ac:dyDescent="0.25">
      <c r="A29" s="2" t="s">
        <v>780</v>
      </c>
      <c r="B29" s="2" t="s">
        <v>781</v>
      </c>
      <c r="C29" s="2"/>
      <c r="D29" s="2" t="s">
        <v>782</v>
      </c>
      <c r="E29" s="2">
        <v>2022</v>
      </c>
      <c r="F29" s="2"/>
      <c r="G29" s="2"/>
      <c r="H29" s="2" t="s">
        <v>772</v>
      </c>
      <c r="I29" s="2" t="s">
        <v>784</v>
      </c>
      <c r="J29" s="2" t="s">
        <v>785</v>
      </c>
      <c r="K29" s="2"/>
      <c r="L29" s="2" t="s">
        <v>786</v>
      </c>
      <c r="M29" s="2">
        <v>2019</v>
      </c>
      <c r="N29" s="2"/>
      <c r="O29" s="2" t="s">
        <v>787</v>
      </c>
      <c r="P29" s="2" t="s">
        <v>788</v>
      </c>
      <c r="Q29" s="2">
        <v>0.49399999999999999</v>
      </c>
      <c r="R29" s="2">
        <v>1</v>
      </c>
      <c r="S29" s="2" t="s">
        <v>776</v>
      </c>
      <c r="T29" s="2"/>
      <c r="U29" s="2"/>
      <c r="V29" s="2"/>
      <c r="W29" s="2"/>
      <c r="X29" s="2" t="s">
        <v>43</v>
      </c>
      <c r="Y29" s="2" t="s">
        <v>777</v>
      </c>
    </row>
    <row r="30" spans="1:25" ht="30" x14ac:dyDescent="0.25">
      <c r="A30" s="2" t="s">
        <v>780</v>
      </c>
      <c r="B30" s="2" t="s">
        <v>781</v>
      </c>
      <c r="C30" s="2"/>
      <c r="D30" s="2" t="s">
        <v>782</v>
      </c>
      <c r="E30" s="2">
        <v>2022</v>
      </c>
      <c r="F30" s="2"/>
      <c r="G30" s="2"/>
      <c r="H30" s="2" t="s">
        <v>772</v>
      </c>
      <c r="I30" s="2" t="s">
        <v>789</v>
      </c>
      <c r="J30" s="2" t="s">
        <v>790</v>
      </c>
      <c r="K30" s="2"/>
      <c r="L30" s="2" t="s">
        <v>791</v>
      </c>
      <c r="M30" s="2">
        <v>2019</v>
      </c>
      <c r="N30" s="2"/>
      <c r="O30" s="2" t="s">
        <v>792</v>
      </c>
      <c r="P30" s="2" t="s">
        <v>788</v>
      </c>
      <c r="Q30" s="2">
        <v>0.49199999999999999</v>
      </c>
      <c r="R30" s="2">
        <v>1</v>
      </c>
      <c r="S30" s="2" t="s">
        <v>776</v>
      </c>
      <c r="T30" s="2"/>
      <c r="U30" s="2"/>
      <c r="V30" s="2"/>
      <c r="W30" s="2"/>
      <c r="X30" s="2" t="s">
        <v>43</v>
      </c>
      <c r="Y30" s="2" t="s">
        <v>777</v>
      </c>
    </row>
    <row r="31" spans="1:25" ht="45" x14ac:dyDescent="0.25">
      <c r="A31" s="2" t="s">
        <v>780</v>
      </c>
      <c r="B31" s="2" t="s">
        <v>781</v>
      </c>
      <c r="C31" s="2"/>
      <c r="D31" s="2" t="s">
        <v>782</v>
      </c>
      <c r="E31" s="2">
        <v>2022</v>
      </c>
      <c r="F31" s="2"/>
      <c r="G31" s="2"/>
      <c r="H31" s="2" t="s">
        <v>772</v>
      </c>
      <c r="I31" s="2" t="s">
        <v>793</v>
      </c>
      <c r="J31" s="2" t="s">
        <v>794</v>
      </c>
      <c r="K31" s="2"/>
      <c r="L31" s="2" t="s">
        <v>795</v>
      </c>
      <c r="M31" s="2">
        <v>2025</v>
      </c>
      <c r="N31" s="2"/>
      <c r="O31" s="2" t="s">
        <v>796</v>
      </c>
      <c r="P31" s="2" t="s">
        <v>788</v>
      </c>
      <c r="Q31" s="2">
        <v>0.35299999999999998</v>
      </c>
      <c r="R31" s="2">
        <v>1</v>
      </c>
      <c r="S31" s="2" t="s">
        <v>776</v>
      </c>
      <c r="T31" s="2"/>
      <c r="U31" s="2"/>
      <c r="V31" s="2"/>
      <c r="W31" s="2"/>
      <c r="X31" s="2" t="s">
        <v>43</v>
      </c>
      <c r="Y31" s="2" t="s">
        <v>777</v>
      </c>
    </row>
    <row r="32" spans="1:25" ht="45" x14ac:dyDescent="0.25">
      <c r="A32" s="2" t="s">
        <v>780</v>
      </c>
      <c r="B32" s="2" t="s">
        <v>781</v>
      </c>
      <c r="C32" s="2"/>
      <c r="D32" s="2" t="s">
        <v>782</v>
      </c>
      <c r="E32" s="2">
        <v>2022</v>
      </c>
      <c r="F32" s="2"/>
      <c r="G32" s="2"/>
      <c r="H32" s="2" t="s">
        <v>772</v>
      </c>
      <c r="I32" s="2" t="s">
        <v>797</v>
      </c>
      <c r="J32" s="2" t="s">
        <v>798</v>
      </c>
      <c r="K32" s="2"/>
      <c r="L32" s="2" t="s">
        <v>799</v>
      </c>
      <c r="M32" s="2">
        <v>2022</v>
      </c>
      <c r="N32" s="2"/>
      <c r="O32" s="2" t="s">
        <v>800</v>
      </c>
      <c r="P32" s="2" t="s">
        <v>788</v>
      </c>
      <c r="Q32" s="2">
        <v>0.34300000000000003</v>
      </c>
      <c r="R32" s="2">
        <v>1</v>
      </c>
      <c r="S32" s="2" t="s">
        <v>783</v>
      </c>
      <c r="T32" s="2"/>
      <c r="U32" s="2"/>
      <c r="V32" s="2"/>
      <c r="W32" s="2"/>
      <c r="X32" s="2" t="s">
        <v>43</v>
      </c>
      <c r="Y32" s="2" t="s">
        <v>777</v>
      </c>
    </row>
    <row r="33" spans="1:25" ht="30" x14ac:dyDescent="0.25">
      <c r="A33" s="2" t="s">
        <v>780</v>
      </c>
      <c r="B33" s="2" t="s">
        <v>781</v>
      </c>
      <c r="C33" s="2"/>
      <c r="D33" s="2" t="s">
        <v>782</v>
      </c>
      <c r="E33" s="2">
        <v>2022</v>
      </c>
      <c r="F33" s="2"/>
      <c r="G33" s="2"/>
      <c r="H33" s="2" t="s">
        <v>772</v>
      </c>
      <c r="I33" s="2" t="s">
        <v>801</v>
      </c>
      <c r="J33" s="2" t="s">
        <v>802</v>
      </c>
      <c r="K33" s="2"/>
      <c r="L33" s="2" t="s">
        <v>803</v>
      </c>
      <c r="M33" s="2">
        <v>2020</v>
      </c>
      <c r="N33" s="2"/>
      <c r="O33" s="2" t="s">
        <v>804</v>
      </c>
      <c r="P33" s="2" t="s">
        <v>788</v>
      </c>
      <c r="Q33" s="2">
        <v>0.372</v>
      </c>
      <c r="R33" s="2">
        <v>1</v>
      </c>
      <c r="S33" s="2" t="s">
        <v>776</v>
      </c>
      <c r="T33" s="2"/>
      <c r="U33" s="2"/>
      <c r="V33" s="2"/>
      <c r="W33" s="2"/>
      <c r="X33" s="2" t="s">
        <v>43</v>
      </c>
      <c r="Y33" s="2" t="s">
        <v>777</v>
      </c>
    </row>
    <row r="34" spans="1:25" ht="45" x14ac:dyDescent="0.25">
      <c r="A34" s="2" t="s">
        <v>780</v>
      </c>
      <c r="B34" s="2" t="s">
        <v>781</v>
      </c>
      <c r="C34" s="2"/>
      <c r="D34" s="2" t="s">
        <v>782</v>
      </c>
      <c r="E34" s="2">
        <v>2022</v>
      </c>
      <c r="F34" s="2"/>
      <c r="G34" s="2"/>
      <c r="H34" s="2" t="s">
        <v>772</v>
      </c>
      <c r="I34" s="2" t="s">
        <v>805</v>
      </c>
      <c r="J34" s="2" t="s">
        <v>806</v>
      </c>
      <c r="K34" s="2"/>
      <c r="L34" s="2" t="s">
        <v>807</v>
      </c>
      <c r="M34" s="2">
        <v>2019</v>
      </c>
      <c r="N34" s="2"/>
      <c r="O34" s="2" t="s">
        <v>808</v>
      </c>
      <c r="P34" s="2" t="s">
        <v>788</v>
      </c>
      <c r="Q34" s="2">
        <v>0.39400000000000002</v>
      </c>
      <c r="R34" s="2">
        <v>1</v>
      </c>
      <c r="S34" s="2" t="s">
        <v>776</v>
      </c>
      <c r="T34" s="2"/>
      <c r="U34" s="2"/>
      <c r="V34" s="2"/>
      <c r="W34" s="2"/>
      <c r="X34" s="2" t="s">
        <v>43</v>
      </c>
      <c r="Y34" s="2" t="s">
        <v>777</v>
      </c>
    </row>
    <row r="35" spans="1:25" ht="30" x14ac:dyDescent="0.25">
      <c r="A35" s="2" t="s">
        <v>780</v>
      </c>
      <c r="B35" s="2" t="s">
        <v>781</v>
      </c>
      <c r="C35" s="2"/>
      <c r="D35" s="2" t="s">
        <v>782</v>
      </c>
      <c r="E35" s="2">
        <v>2022</v>
      </c>
      <c r="F35" s="2"/>
      <c r="G35" s="2"/>
      <c r="H35" s="2" t="s">
        <v>772</v>
      </c>
      <c r="I35" s="2" t="s">
        <v>809</v>
      </c>
      <c r="J35" s="2" t="s">
        <v>810</v>
      </c>
      <c r="K35" s="2"/>
      <c r="L35" s="2" t="s">
        <v>811</v>
      </c>
      <c r="M35" s="2">
        <v>2019</v>
      </c>
      <c r="N35" s="2" t="s">
        <v>812</v>
      </c>
      <c r="O35" s="2" t="s">
        <v>813</v>
      </c>
      <c r="P35" s="2" t="s">
        <v>814</v>
      </c>
      <c r="Q35" s="2">
        <v>0.44800000000000001</v>
      </c>
      <c r="R35" s="2">
        <v>1</v>
      </c>
      <c r="S35" s="2" t="s">
        <v>776</v>
      </c>
      <c r="T35" s="2"/>
      <c r="U35" s="2"/>
      <c r="V35" s="2"/>
      <c r="W35" s="2"/>
      <c r="X35" s="2" t="s">
        <v>43</v>
      </c>
      <c r="Y35" s="2" t="s">
        <v>777</v>
      </c>
    </row>
    <row r="36" spans="1:25" ht="390" x14ac:dyDescent="0.25">
      <c r="A36" s="2" t="s">
        <v>815</v>
      </c>
      <c r="B36" s="2" t="s">
        <v>816</v>
      </c>
      <c r="C36" s="2" t="s">
        <v>817</v>
      </c>
      <c r="D36" s="2" t="s">
        <v>818</v>
      </c>
      <c r="E36" s="2">
        <v>2023</v>
      </c>
      <c r="F36" s="2" t="s">
        <v>819</v>
      </c>
      <c r="G36" s="2" t="s">
        <v>820</v>
      </c>
      <c r="H36" s="2" t="s">
        <v>821</v>
      </c>
      <c r="I36" s="2" t="s">
        <v>822</v>
      </c>
      <c r="J36" s="2" t="s">
        <v>823</v>
      </c>
      <c r="K36" s="2" t="s">
        <v>824</v>
      </c>
      <c r="L36" s="2" t="s">
        <v>818</v>
      </c>
      <c r="M36" s="2">
        <v>2024</v>
      </c>
      <c r="N36" s="2" t="s">
        <v>825</v>
      </c>
      <c r="O36" s="2" t="s">
        <v>820</v>
      </c>
      <c r="P36" s="2" t="s">
        <v>821</v>
      </c>
      <c r="Q36" s="2">
        <v>0.96599999999999997</v>
      </c>
      <c r="R36" s="2">
        <v>0.92</v>
      </c>
      <c r="S36" s="2" t="s">
        <v>826</v>
      </c>
      <c r="T36" s="2"/>
      <c r="U36" s="2"/>
      <c r="V36" s="2"/>
      <c r="W36" s="2"/>
      <c r="X36" s="2" t="s">
        <v>43</v>
      </c>
      <c r="Y36" s="2" t="s">
        <v>777</v>
      </c>
    </row>
    <row r="37" spans="1:25" ht="409.5" x14ac:dyDescent="0.25">
      <c r="A37" s="2" t="s">
        <v>827</v>
      </c>
      <c r="B37" s="2" t="s">
        <v>828</v>
      </c>
      <c r="C37" s="2" t="s">
        <v>829</v>
      </c>
      <c r="D37" s="2"/>
      <c r="E37" s="2">
        <v>2024</v>
      </c>
      <c r="F37" s="2"/>
      <c r="G37" s="2" t="s">
        <v>830</v>
      </c>
      <c r="H37" s="2" t="s">
        <v>788</v>
      </c>
      <c r="I37" s="2" t="s">
        <v>831</v>
      </c>
      <c r="J37" s="2" t="s">
        <v>832</v>
      </c>
      <c r="K37" s="2" t="s">
        <v>833</v>
      </c>
      <c r="L37" s="2"/>
      <c r="M37" s="2">
        <v>2022</v>
      </c>
      <c r="N37" s="2"/>
      <c r="O37" s="2" t="s">
        <v>830</v>
      </c>
      <c r="P37" s="2" t="s">
        <v>788</v>
      </c>
      <c r="Q37" s="2">
        <v>0.97799999999999998</v>
      </c>
      <c r="R37" s="2">
        <v>0.10100000000000001</v>
      </c>
      <c r="S37" s="2" t="s">
        <v>834</v>
      </c>
      <c r="T37" s="2"/>
      <c r="U37" s="2"/>
      <c r="V37" s="2"/>
      <c r="W37" s="2"/>
      <c r="X37" s="2" t="s">
        <v>43</v>
      </c>
      <c r="Y37" s="2" t="s">
        <v>777</v>
      </c>
    </row>
    <row r="38" spans="1:25" ht="45" x14ac:dyDescent="0.25">
      <c r="A38" s="2" t="s">
        <v>784</v>
      </c>
      <c r="B38" s="2" t="s">
        <v>785</v>
      </c>
      <c r="C38" s="2"/>
      <c r="D38" s="2" t="s">
        <v>786</v>
      </c>
      <c r="E38" s="2">
        <v>2019</v>
      </c>
      <c r="F38" s="2"/>
      <c r="G38" s="2" t="s">
        <v>787</v>
      </c>
      <c r="H38" s="2" t="s">
        <v>788</v>
      </c>
      <c r="I38" s="2" t="s">
        <v>789</v>
      </c>
      <c r="J38" s="2" t="s">
        <v>790</v>
      </c>
      <c r="K38" s="2"/>
      <c r="L38" s="2" t="s">
        <v>791</v>
      </c>
      <c r="M38" s="2">
        <v>2019</v>
      </c>
      <c r="N38" s="2"/>
      <c r="O38" s="2" t="s">
        <v>792</v>
      </c>
      <c r="P38" s="2" t="s">
        <v>788</v>
      </c>
      <c r="Q38" s="2">
        <v>0.433</v>
      </c>
      <c r="R38" s="2">
        <v>1</v>
      </c>
      <c r="S38" s="2" t="s">
        <v>783</v>
      </c>
      <c r="T38" s="2"/>
      <c r="U38" s="2"/>
      <c r="V38" s="2"/>
      <c r="W38" s="2"/>
      <c r="X38" s="2" t="s">
        <v>43</v>
      </c>
      <c r="Y38" s="2" t="s">
        <v>777</v>
      </c>
    </row>
    <row r="39" spans="1:25" ht="45" x14ac:dyDescent="0.25">
      <c r="A39" s="2" t="s">
        <v>784</v>
      </c>
      <c r="B39" s="2" t="s">
        <v>785</v>
      </c>
      <c r="C39" s="2"/>
      <c r="D39" s="2" t="s">
        <v>786</v>
      </c>
      <c r="E39" s="2">
        <v>2019</v>
      </c>
      <c r="F39" s="2"/>
      <c r="G39" s="2" t="s">
        <v>787</v>
      </c>
      <c r="H39" s="2" t="s">
        <v>788</v>
      </c>
      <c r="I39" s="2" t="s">
        <v>793</v>
      </c>
      <c r="J39" s="2" t="s">
        <v>794</v>
      </c>
      <c r="K39" s="2"/>
      <c r="L39" s="2" t="s">
        <v>795</v>
      </c>
      <c r="M39" s="2">
        <v>2025</v>
      </c>
      <c r="N39" s="2"/>
      <c r="O39" s="2" t="s">
        <v>796</v>
      </c>
      <c r="P39" s="2" t="s">
        <v>788</v>
      </c>
      <c r="Q39" s="2">
        <v>0.377</v>
      </c>
      <c r="R39" s="2">
        <v>1</v>
      </c>
      <c r="S39" s="2" t="s">
        <v>776</v>
      </c>
      <c r="T39" s="2"/>
      <c r="U39" s="2"/>
      <c r="V39" s="2"/>
      <c r="W39" s="2"/>
      <c r="X39" s="2" t="s">
        <v>43</v>
      </c>
      <c r="Y39" s="2" t="s">
        <v>777</v>
      </c>
    </row>
    <row r="40" spans="1:25" ht="45" x14ac:dyDescent="0.25">
      <c r="A40" s="2" t="s">
        <v>784</v>
      </c>
      <c r="B40" s="2" t="s">
        <v>785</v>
      </c>
      <c r="C40" s="2"/>
      <c r="D40" s="2" t="s">
        <v>786</v>
      </c>
      <c r="E40" s="2">
        <v>2019</v>
      </c>
      <c r="F40" s="2"/>
      <c r="G40" s="2" t="s">
        <v>787</v>
      </c>
      <c r="H40" s="2" t="s">
        <v>788</v>
      </c>
      <c r="I40" s="2" t="s">
        <v>797</v>
      </c>
      <c r="J40" s="2" t="s">
        <v>798</v>
      </c>
      <c r="K40" s="2"/>
      <c r="L40" s="2" t="s">
        <v>799</v>
      </c>
      <c r="M40" s="2">
        <v>2022</v>
      </c>
      <c r="N40" s="2"/>
      <c r="O40" s="2" t="s">
        <v>800</v>
      </c>
      <c r="P40" s="2" t="s">
        <v>788</v>
      </c>
      <c r="Q40" s="2">
        <v>0.32600000000000001</v>
      </c>
      <c r="R40" s="2">
        <v>1</v>
      </c>
      <c r="S40" s="2" t="s">
        <v>776</v>
      </c>
      <c r="T40" s="2"/>
      <c r="U40" s="2"/>
      <c r="V40" s="2"/>
      <c r="W40" s="2"/>
      <c r="X40" s="2" t="s">
        <v>43</v>
      </c>
      <c r="Y40" s="2" t="s">
        <v>777</v>
      </c>
    </row>
    <row r="41" spans="1:25" ht="45" x14ac:dyDescent="0.25">
      <c r="A41" s="2" t="s">
        <v>784</v>
      </c>
      <c r="B41" s="2" t="s">
        <v>785</v>
      </c>
      <c r="C41" s="2"/>
      <c r="D41" s="2" t="s">
        <v>786</v>
      </c>
      <c r="E41" s="2">
        <v>2019</v>
      </c>
      <c r="F41" s="2"/>
      <c r="G41" s="2" t="s">
        <v>787</v>
      </c>
      <c r="H41" s="2" t="s">
        <v>788</v>
      </c>
      <c r="I41" s="2" t="s">
        <v>801</v>
      </c>
      <c r="J41" s="2" t="s">
        <v>802</v>
      </c>
      <c r="K41" s="2"/>
      <c r="L41" s="2" t="s">
        <v>803</v>
      </c>
      <c r="M41" s="2">
        <v>2020</v>
      </c>
      <c r="N41" s="2"/>
      <c r="O41" s="2" t="s">
        <v>804</v>
      </c>
      <c r="P41" s="2" t="s">
        <v>788</v>
      </c>
      <c r="Q41" s="2">
        <v>0.51600000000000001</v>
      </c>
      <c r="R41" s="2">
        <v>1</v>
      </c>
      <c r="S41" s="2" t="s">
        <v>776</v>
      </c>
      <c r="T41" s="2"/>
      <c r="U41" s="2"/>
      <c r="V41" s="2"/>
      <c r="W41" s="2"/>
      <c r="X41" s="2" t="s">
        <v>43</v>
      </c>
      <c r="Y41" s="2" t="s">
        <v>777</v>
      </c>
    </row>
    <row r="42" spans="1:25" ht="45" x14ac:dyDescent="0.25">
      <c r="A42" s="2" t="s">
        <v>784</v>
      </c>
      <c r="B42" s="2" t="s">
        <v>785</v>
      </c>
      <c r="C42" s="2"/>
      <c r="D42" s="2" t="s">
        <v>786</v>
      </c>
      <c r="E42" s="2">
        <v>2019</v>
      </c>
      <c r="F42" s="2"/>
      <c r="G42" s="2" t="s">
        <v>787</v>
      </c>
      <c r="H42" s="2" t="s">
        <v>788</v>
      </c>
      <c r="I42" s="2" t="s">
        <v>805</v>
      </c>
      <c r="J42" s="2" t="s">
        <v>806</v>
      </c>
      <c r="K42" s="2"/>
      <c r="L42" s="2" t="s">
        <v>807</v>
      </c>
      <c r="M42" s="2">
        <v>2019</v>
      </c>
      <c r="N42" s="2"/>
      <c r="O42" s="2" t="s">
        <v>808</v>
      </c>
      <c r="P42" s="2" t="s">
        <v>788</v>
      </c>
      <c r="Q42" s="2">
        <v>0.442</v>
      </c>
      <c r="R42" s="2">
        <v>1</v>
      </c>
      <c r="S42" s="2" t="s">
        <v>783</v>
      </c>
      <c r="T42" s="2"/>
      <c r="U42" s="2"/>
      <c r="V42" s="2"/>
      <c r="W42" s="2"/>
      <c r="X42" s="2" t="s">
        <v>43</v>
      </c>
      <c r="Y42" s="2" t="s">
        <v>777</v>
      </c>
    </row>
    <row r="43" spans="1:25" ht="45" x14ac:dyDescent="0.25">
      <c r="A43" s="2" t="s">
        <v>784</v>
      </c>
      <c r="B43" s="2" t="s">
        <v>785</v>
      </c>
      <c r="C43" s="2"/>
      <c r="D43" s="2" t="s">
        <v>786</v>
      </c>
      <c r="E43" s="2">
        <v>2019</v>
      </c>
      <c r="F43" s="2"/>
      <c r="G43" s="2" t="s">
        <v>787</v>
      </c>
      <c r="H43" s="2" t="s">
        <v>788</v>
      </c>
      <c r="I43" s="2" t="s">
        <v>809</v>
      </c>
      <c r="J43" s="2" t="s">
        <v>810</v>
      </c>
      <c r="K43" s="2"/>
      <c r="L43" s="2" t="s">
        <v>811</v>
      </c>
      <c r="M43" s="2">
        <v>2019</v>
      </c>
      <c r="N43" s="2" t="s">
        <v>812</v>
      </c>
      <c r="O43" s="2" t="s">
        <v>813</v>
      </c>
      <c r="P43" s="2" t="s">
        <v>814</v>
      </c>
      <c r="Q43" s="2">
        <v>0.34100000000000003</v>
      </c>
      <c r="R43" s="2">
        <v>1</v>
      </c>
      <c r="S43" s="2" t="s">
        <v>783</v>
      </c>
      <c r="T43" s="2"/>
      <c r="U43" s="2"/>
      <c r="V43" s="2"/>
      <c r="W43" s="2"/>
      <c r="X43" s="2" t="s">
        <v>43</v>
      </c>
      <c r="Y43" s="2" t="s">
        <v>777</v>
      </c>
    </row>
    <row r="44" spans="1:25" ht="45" x14ac:dyDescent="0.25">
      <c r="A44" s="2" t="s">
        <v>789</v>
      </c>
      <c r="B44" s="2" t="s">
        <v>790</v>
      </c>
      <c r="C44" s="2"/>
      <c r="D44" s="2" t="s">
        <v>791</v>
      </c>
      <c r="E44" s="2">
        <v>2019</v>
      </c>
      <c r="F44" s="2"/>
      <c r="G44" s="2" t="s">
        <v>792</v>
      </c>
      <c r="H44" s="2" t="s">
        <v>788</v>
      </c>
      <c r="I44" s="2" t="s">
        <v>793</v>
      </c>
      <c r="J44" s="2" t="s">
        <v>794</v>
      </c>
      <c r="K44" s="2"/>
      <c r="L44" s="2" t="s">
        <v>795</v>
      </c>
      <c r="M44" s="2">
        <v>2025</v>
      </c>
      <c r="N44" s="2"/>
      <c r="O44" s="2" t="s">
        <v>796</v>
      </c>
      <c r="P44" s="2" t="s">
        <v>788</v>
      </c>
      <c r="Q44" s="2">
        <v>0.41599999999999998</v>
      </c>
      <c r="R44" s="2">
        <v>1</v>
      </c>
      <c r="S44" s="2" t="s">
        <v>776</v>
      </c>
      <c r="T44" s="2"/>
      <c r="U44" s="2"/>
      <c r="V44" s="2"/>
      <c r="W44" s="2"/>
      <c r="X44" s="2" t="s">
        <v>43</v>
      </c>
      <c r="Y44" s="2" t="s">
        <v>777</v>
      </c>
    </row>
    <row r="45" spans="1:25" ht="45" x14ac:dyDescent="0.25">
      <c r="A45" s="2" t="s">
        <v>789</v>
      </c>
      <c r="B45" s="2" t="s">
        <v>790</v>
      </c>
      <c r="C45" s="2"/>
      <c r="D45" s="2" t="s">
        <v>791</v>
      </c>
      <c r="E45" s="2">
        <v>2019</v>
      </c>
      <c r="F45" s="2"/>
      <c r="G45" s="2" t="s">
        <v>792</v>
      </c>
      <c r="H45" s="2" t="s">
        <v>788</v>
      </c>
      <c r="I45" s="2" t="s">
        <v>797</v>
      </c>
      <c r="J45" s="2" t="s">
        <v>798</v>
      </c>
      <c r="K45" s="2"/>
      <c r="L45" s="2" t="s">
        <v>799</v>
      </c>
      <c r="M45" s="2">
        <v>2022</v>
      </c>
      <c r="N45" s="2"/>
      <c r="O45" s="2" t="s">
        <v>800</v>
      </c>
      <c r="P45" s="2" t="s">
        <v>788</v>
      </c>
      <c r="Q45" s="2">
        <v>0.32500000000000001</v>
      </c>
      <c r="R45" s="2">
        <v>1</v>
      </c>
      <c r="S45" s="2" t="s">
        <v>776</v>
      </c>
      <c r="T45" s="2"/>
      <c r="U45" s="2"/>
      <c r="V45" s="2"/>
      <c r="W45" s="2"/>
      <c r="X45" s="2" t="s">
        <v>43</v>
      </c>
      <c r="Y45" s="2" t="s">
        <v>777</v>
      </c>
    </row>
    <row r="46" spans="1:25" ht="30" x14ac:dyDescent="0.25">
      <c r="A46" s="2" t="s">
        <v>789</v>
      </c>
      <c r="B46" s="2" t="s">
        <v>790</v>
      </c>
      <c r="C46" s="2"/>
      <c r="D46" s="2" t="s">
        <v>791</v>
      </c>
      <c r="E46" s="2">
        <v>2019</v>
      </c>
      <c r="F46" s="2"/>
      <c r="G46" s="2" t="s">
        <v>792</v>
      </c>
      <c r="H46" s="2" t="s">
        <v>788</v>
      </c>
      <c r="I46" s="2" t="s">
        <v>801</v>
      </c>
      <c r="J46" s="2" t="s">
        <v>802</v>
      </c>
      <c r="K46" s="2"/>
      <c r="L46" s="2" t="s">
        <v>803</v>
      </c>
      <c r="M46" s="2">
        <v>2020</v>
      </c>
      <c r="N46" s="2"/>
      <c r="O46" s="2" t="s">
        <v>804</v>
      </c>
      <c r="P46" s="2" t="s">
        <v>788</v>
      </c>
      <c r="Q46" s="2">
        <v>0.44700000000000001</v>
      </c>
      <c r="R46" s="2">
        <v>1</v>
      </c>
      <c r="S46" s="2" t="s">
        <v>776</v>
      </c>
      <c r="T46" s="2"/>
      <c r="U46" s="2"/>
      <c r="V46" s="2"/>
      <c r="W46" s="2"/>
      <c r="X46" s="2" t="s">
        <v>43</v>
      </c>
      <c r="Y46" s="2" t="s">
        <v>777</v>
      </c>
    </row>
    <row r="47" spans="1:25" ht="45" x14ac:dyDescent="0.25">
      <c r="A47" s="2" t="s">
        <v>789</v>
      </c>
      <c r="B47" s="2" t="s">
        <v>790</v>
      </c>
      <c r="C47" s="2"/>
      <c r="D47" s="2" t="s">
        <v>791</v>
      </c>
      <c r="E47" s="2">
        <v>2019</v>
      </c>
      <c r="F47" s="2"/>
      <c r="G47" s="2" t="s">
        <v>792</v>
      </c>
      <c r="H47" s="2" t="s">
        <v>788</v>
      </c>
      <c r="I47" s="2" t="s">
        <v>805</v>
      </c>
      <c r="J47" s="2" t="s">
        <v>806</v>
      </c>
      <c r="K47" s="2"/>
      <c r="L47" s="2" t="s">
        <v>807</v>
      </c>
      <c r="M47" s="2">
        <v>2019</v>
      </c>
      <c r="N47" s="2"/>
      <c r="O47" s="2" t="s">
        <v>808</v>
      </c>
      <c r="P47" s="2" t="s">
        <v>788</v>
      </c>
      <c r="Q47" s="2">
        <v>0.42799999999999999</v>
      </c>
      <c r="R47" s="2">
        <v>1</v>
      </c>
      <c r="S47" s="2" t="s">
        <v>783</v>
      </c>
      <c r="T47" s="2"/>
      <c r="U47" s="2"/>
      <c r="V47" s="2"/>
      <c r="W47" s="2"/>
      <c r="X47" s="2" t="s">
        <v>43</v>
      </c>
      <c r="Y47" s="2" t="s">
        <v>777</v>
      </c>
    </row>
    <row r="48" spans="1:25" ht="30" x14ac:dyDescent="0.25">
      <c r="A48" s="2" t="s">
        <v>789</v>
      </c>
      <c r="B48" s="2" t="s">
        <v>790</v>
      </c>
      <c r="C48" s="2"/>
      <c r="D48" s="2" t="s">
        <v>791</v>
      </c>
      <c r="E48" s="2">
        <v>2019</v>
      </c>
      <c r="F48" s="2"/>
      <c r="G48" s="2" t="s">
        <v>792</v>
      </c>
      <c r="H48" s="2" t="s">
        <v>788</v>
      </c>
      <c r="I48" s="2" t="s">
        <v>809</v>
      </c>
      <c r="J48" s="2" t="s">
        <v>810</v>
      </c>
      <c r="K48" s="2"/>
      <c r="L48" s="2" t="s">
        <v>811</v>
      </c>
      <c r="M48" s="2">
        <v>2019</v>
      </c>
      <c r="N48" s="2" t="s">
        <v>812</v>
      </c>
      <c r="O48" s="2" t="s">
        <v>813</v>
      </c>
      <c r="P48" s="2" t="s">
        <v>814</v>
      </c>
      <c r="Q48" s="2">
        <v>0.503</v>
      </c>
      <c r="R48" s="2">
        <v>1</v>
      </c>
      <c r="S48" s="2" t="s">
        <v>783</v>
      </c>
      <c r="T48" s="2"/>
      <c r="U48" s="2"/>
      <c r="V48" s="2"/>
      <c r="W48" s="2"/>
      <c r="X48" s="2" t="s">
        <v>43</v>
      </c>
      <c r="Y48" s="2" t="s">
        <v>777</v>
      </c>
    </row>
    <row r="49" spans="1:25" ht="390" x14ac:dyDescent="0.25">
      <c r="A49" s="2" t="s">
        <v>835</v>
      </c>
      <c r="B49" s="2" t="s">
        <v>836</v>
      </c>
      <c r="C49" s="2" t="s">
        <v>837</v>
      </c>
      <c r="D49" s="2" t="s">
        <v>838</v>
      </c>
      <c r="E49" s="2">
        <v>2023</v>
      </c>
      <c r="F49" s="2" t="s">
        <v>839</v>
      </c>
      <c r="G49" s="2" t="s">
        <v>813</v>
      </c>
      <c r="H49" s="2" t="s">
        <v>788</v>
      </c>
      <c r="I49" s="2" t="s">
        <v>840</v>
      </c>
      <c r="J49" s="2" t="s">
        <v>841</v>
      </c>
      <c r="K49" s="2" t="s">
        <v>842</v>
      </c>
      <c r="L49" s="2" t="s">
        <v>843</v>
      </c>
      <c r="M49" s="2">
        <v>2022</v>
      </c>
      <c r="N49" s="2"/>
      <c r="O49" s="2"/>
      <c r="P49" s="2" t="s">
        <v>788</v>
      </c>
      <c r="Q49" s="2">
        <v>0.97699999999999998</v>
      </c>
      <c r="R49" s="2">
        <v>0.79600000000000004</v>
      </c>
      <c r="S49" s="2" t="s">
        <v>844</v>
      </c>
      <c r="T49" s="2"/>
      <c r="U49" s="2"/>
      <c r="V49" s="2"/>
      <c r="W49" s="2"/>
      <c r="X49" s="2" t="s">
        <v>43</v>
      </c>
      <c r="Y49" s="2" t="s">
        <v>777</v>
      </c>
    </row>
    <row r="50" spans="1:25" ht="45" x14ac:dyDescent="0.25">
      <c r="A50" s="2" t="s">
        <v>793</v>
      </c>
      <c r="B50" s="2" t="s">
        <v>794</v>
      </c>
      <c r="C50" s="2"/>
      <c r="D50" s="2" t="s">
        <v>795</v>
      </c>
      <c r="E50" s="2">
        <v>2025</v>
      </c>
      <c r="F50" s="2"/>
      <c r="G50" s="2" t="s">
        <v>796</v>
      </c>
      <c r="H50" s="2" t="s">
        <v>788</v>
      </c>
      <c r="I50" s="2" t="s">
        <v>797</v>
      </c>
      <c r="J50" s="2" t="s">
        <v>798</v>
      </c>
      <c r="K50" s="2"/>
      <c r="L50" s="2" t="s">
        <v>799</v>
      </c>
      <c r="M50" s="2">
        <v>2022</v>
      </c>
      <c r="N50" s="2"/>
      <c r="O50" s="2" t="s">
        <v>800</v>
      </c>
      <c r="P50" s="2" t="s">
        <v>788</v>
      </c>
      <c r="Q50" s="2">
        <v>0.53500000000000003</v>
      </c>
      <c r="R50" s="2">
        <v>1</v>
      </c>
      <c r="S50" s="2" t="s">
        <v>776</v>
      </c>
      <c r="T50" s="2"/>
      <c r="U50" s="2"/>
      <c r="V50" s="2"/>
      <c r="W50" s="2"/>
      <c r="X50" s="2" t="s">
        <v>43</v>
      </c>
      <c r="Y50" s="2" t="s">
        <v>777</v>
      </c>
    </row>
    <row r="51" spans="1:25" ht="45" x14ac:dyDescent="0.25">
      <c r="A51" s="2" t="s">
        <v>793</v>
      </c>
      <c r="B51" s="2" t="s">
        <v>794</v>
      </c>
      <c r="C51" s="2"/>
      <c r="D51" s="2" t="s">
        <v>795</v>
      </c>
      <c r="E51" s="2">
        <v>2025</v>
      </c>
      <c r="F51" s="2"/>
      <c r="G51" s="2" t="s">
        <v>796</v>
      </c>
      <c r="H51" s="2" t="s">
        <v>788</v>
      </c>
      <c r="I51" s="2" t="s">
        <v>801</v>
      </c>
      <c r="J51" s="2" t="s">
        <v>802</v>
      </c>
      <c r="K51" s="2"/>
      <c r="L51" s="2" t="s">
        <v>803</v>
      </c>
      <c r="M51" s="2">
        <v>2020</v>
      </c>
      <c r="N51" s="2"/>
      <c r="O51" s="2" t="s">
        <v>804</v>
      </c>
      <c r="P51" s="2" t="s">
        <v>788</v>
      </c>
      <c r="Q51" s="2">
        <v>0.51500000000000001</v>
      </c>
      <c r="R51" s="2">
        <v>1</v>
      </c>
      <c r="S51" s="2" t="s">
        <v>776</v>
      </c>
      <c r="T51" s="2"/>
      <c r="U51" s="2"/>
      <c r="V51" s="2"/>
      <c r="W51" s="2"/>
      <c r="X51" s="2" t="s">
        <v>43</v>
      </c>
      <c r="Y51" s="2" t="s">
        <v>777</v>
      </c>
    </row>
    <row r="52" spans="1:25" ht="45" x14ac:dyDescent="0.25">
      <c r="A52" s="2" t="s">
        <v>793</v>
      </c>
      <c r="B52" s="2" t="s">
        <v>794</v>
      </c>
      <c r="C52" s="2"/>
      <c r="D52" s="2" t="s">
        <v>795</v>
      </c>
      <c r="E52" s="2">
        <v>2025</v>
      </c>
      <c r="F52" s="2"/>
      <c r="G52" s="2" t="s">
        <v>796</v>
      </c>
      <c r="H52" s="2" t="s">
        <v>788</v>
      </c>
      <c r="I52" s="2" t="s">
        <v>805</v>
      </c>
      <c r="J52" s="2" t="s">
        <v>806</v>
      </c>
      <c r="K52" s="2"/>
      <c r="L52" s="2" t="s">
        <v>807</v>
      </c>
      <c r="M52" s="2">
        <v>2019</v>
      </c>
      <c r="N52" s="2"/>
      <c r="O52" s="2" t="s">
        <v>808</v>
      </c>
      <c r="P52" s="2" t="s">
        <v>788</v>
      </c>
      <c r="Q52" s="2">
        <v>0.51400000000000001</v>
      </c>
      <c r="R52" s="2">
        <v>1</v>
      </c>
      <c r="S52" s="2" t="s">
        <v>776</v>
      </c>
      <c r="T52" s="2"/>
      <c r="U52" s="2"/>
      <c r="V52" s="2"/>
      <c r="W52" s="2"/>
      <c r="X52" s="2" t="s">
        <v>43</v>
      </c>
      <c r="Y52" s="2" t="s">
        <v>777</v>
      </c>
    </row>
    <row r="53" spans="1:25" ht="45" x14ac:dyDescent="0.25">
      <c r="A53" s="2" t="s">
        <v>793</v>
      </c>
      <c r="B53" s="2" t="s">
        <v>794</v>
      </c>
      <c r="C53" s="2"/>
      <c r="D53" s="2" t="s">
        <v>795</v>
      </c>
      <c r="E53" s="2">
        <v>2025</v>
      </c>
      <c r="F53" s="2"/>
      <c r="G53" s="2" t="s">
        <v>796</v>
      </c>
      <c r="H53" s="2" t="s">
        <v>788</v>
      </c>
      <c r="I53" s="2" t="s">
        <v>809</v>
      </c>
      <c r="J53" s="2" t="s">
        <v>810</v>
      </c>
      <c r="K53" s="2"/>
      <c r="L53" s="2" t="s">
        <v>811</v>
      </c>
      <c r="M53" s="2">
        <v>2019</v>
      </c>
      <c r="N53" s="2" t="s">
        <v>812</v>
      </c>
      <c r="O53" s="2" t="s">
        <v>813</v>
      </c>
      <c r="P53" s="2" t="s">
        <v>814</v>
      </c>
      <c r="Q53" s="2">
        <v>0.441</v>
      </c>
      <c r="R53" s="2">
        <v>1</v>
      </c>
      <c r="S53" s="2" t="s">
        <v>776</v>
      </c>
      <c r="T53" s="2"/>
      <c r="U53" s="2"/>
      <c r="V53" s="2"/>
      <c r="W53" s="2"/>
      <c r="X53" s="2" t="s">
        <v>43</v>
      </c>
      <c r="Y53" s="2" t="s">
        <v>777</v>
      </c>
    </row>
    <row r="54" spans="1:25" ht="45" x14ac:dyDescent="0.25">
      <c r="A54" s="2" t="s">
        <v>797</v>
      </c>
      <c r="B54" s="2" t="s">
        <v>798</v>
      </c>
      <c r="C54" s="2"/>
      <c r="D54" s="2" t="s">
        <v>799</v>
      </c>
      <c r="E54" s="2">
        <v>2022</v>
      </c>
      <c r="F54" s="2"/>
      <c r="G54" s="2" t="s">
        <v>800</v>
      </c>
      <c r="H54" s="2" t="s">
        <v>788</v>
      </c>
      <c r="I54" s="2" t="s">
        <v>801</v>
      </c>
      <c r="J54" s="2" t="s">
        <v>802</v>
      </c>
      <c r="K54" s="2"/>
      <c r="L54" s="2" t="s">
        <v>803</v>
      </c>
      <c r="M54" s="2">
        <v>2020</v>
      </c>
      <c r="N54" s="2"/>
      <c r="O54" s="2" t="s">
        <v>804</v>
      </c>
      <c r="P54" s="2" t="s">
        <v>788</v>
      </c>
      <c r="Q54" s="2">
        <v>0.39</v>
      </c>
      <c r="R54" s="2">
        <v>1</v>
      </c>
      <c r="S54" s="2" t="s">
        <v>776</v>
      </c>
      <c r="T54" s="2"/>
      <c r="U54" s="2"/>
      <c r="V54" s="2"/>
      <c r="W54" s="2"/>
      <c r="X54" s="2" t="s">
        <v>43</v>
      </c>
      <c r="Y54" s="2" t="s">
        <v>777</v>
      </c>
    </row>
    <row r="55" spans="1:25" ht="45" x14ac:dyDescent="0.25">
      <c r="A55" s="2" t="s">
        <v>797</v>
      </c>
      <c r="B55" s="2" t="s">
        <v>798</v>
      </c>
      <c r="C55" s="2"/>
      <c r="D55" s="2" t="s">
        <v>799</v>
      </c>
      <c r="E55" s="2">
        <v>2022</v>
      </c>
      <c r="F55" s="2"/>
      <c r="G55" s="2" t="s">
        <v>800</v>
      </c>
      <c r="H55" s="2" t="s">
        <v>788</v>
      </c>
      <c r="I55" s="2" t="s">
        <v>805</v>
      </c>
      <c r="J55" s="2" t="s">
        <v>806</v>
      </c>
      <c r="K55" s="2"/>
      <c r="L55" s="2" t="s">
        <v>807</v>
      </c>
      <c r="M55" s="2">
        <v>2019</v>
      </c>
      <c r="N55" s="2"/>
      <c r="O55" s="2" t="s">
        <v>808</v>
      </c>
      <c r="P55" s="2" t="s">
        <v>788</v>
      </c>
      <c r="Q55" s="2">
        <v>0.35699999999999998</v>
      </c>
      <c r="R55" s="2">
        <v>1</v>
      </c>
      <c r="S55" s="2" t="s">
        <v>776</v>
      </c>
      <c r="T55" s="2"/>
      <c r="U55" s="2"/>
      <c r="V55" s="2"/>
      <c r="W55" s="2"/>
      <c r="X55" s="2" t="s">
        <v>43</v>
      </c>
      <c r="Y55" s="2" t="s">
        <v>777</v>
      </c>
    </row>
    <row r="56" spans="1:25" ht="45" x14ac:dyDescent="0.25">
      <c r="A56" s="2" t="s">
        <v>797</v>
      </c>
      <c r="B56" s="2" t="s">
        <v>798</v>
      </c>
      <c r="C56" s="2"/>
      <c r="D56" s="2" t="s">
        <v>799</v>
      </c>
      <c r="E56" s="2">
        <v>2022</v>
      </c>
      <c r="F56" s="2"/>
      <c r="G56" s="2" t="s">
        <v>800</v>
      </c>
      <c r="H56" s="2" t="s">
        <v>788</v>
      </c>
      <c r="I56" s="2" t="s">
        <v>809</v>
      </c>
      <c r="J56" s="2" t="s">
        <v>810</v>
      </c>
      <c r="K56" s="2"/>
      <c r="L56" s="2" t="s">
        <v>811</v>
      </c>
      <c r="M56" s="2">
        <v>2019</v>
      </c>
      <c r="N56" s="2" t="s">
        <v>812</v>
      </c>
      <c r="O56" s="2" t="s">
        <v>813</v>
      </c>
      <c r="P56" s="2" t="s">
        <v>814</v>
      </c>
      <c r="Q56" s="2">
        <v>0.32200000000000001</v>
      </c>
      <c r="R56" s="2">
        <v>1</v>
      </c>
      <c r="S56" s="2" t="s">
        <v>776</v>
      </c>
      <c r="T56" s="2"/>
      <c r="U56" s="2"/>
      <c r="V56" s="2"/>
      <c r="W56" s="2"/>
      <c r="X56" s="2" t="s">
        <v>43</v>
      </c>
      <c r="Y56" s="2" t="s">
        <v>777</v>
      </c>
    </row>
    <row r="57" spans="1:25" ht="45" x14ac:dyDescent="0.25">
      <c r="A57" s="2" t="s">
        <v>801</v>
      </c>
      <c r="B57" s="2" t="s">
        <v>802</v>
      </c>
      <c r="C57" s="2"/>
      <c r="D57" s="2" t="s">
        <v>803</v>
      </c>
      <c r="E57" s="2">
        <v>2020</v>
      </c>
      <c r="F57" s="2"/>
      <c r="G57" s="2" t="s">
        <v>804</v>
      </c>
      <c r="H57" s="2" t="s">
        <v>788</v>
      </c>
      <c r="I57" s="2" t="s">
        <v>805</v>
      </c>
      <c r="J57" s="2" t="s">
        <v>806</v>
      </c>
      <c r="K57" s="2"/>
      <c r="L57" s="2" t="s">
        <v>807</v>
      </c>
      <c r="M57" s="2">
        <v>2019</v>
      </c>
      <c r="N57" s="2"/>
      <c r="O57" s="2" t="s">
        <v>808</v>
      </c>
      <c r="P57" s="2" t="s">
        <v>788</v>
      </c>
      <c r="Q57" s="2">
        <v>0.49399999999999999</v>
      </c>
      <c r="R57" s="2">
        <v>1</v>
      </c>
      <c r="S57" s="2" t="s">
        <v>776</v>
      </c>
      <c r="T57" s="2"/>
      <c r="U57" s="2"/>
      <c r="V57" s="2"/>
      <c r="W57" s="2"/>
      <c r="X57" s="2" t="s">
        <v>43</v>
      </c>
      <c r="Y57" s="2" t="s">
        <v>777</v>
      </c>
    </row>
    <row r="58" spans="1:25" ht="30" x14ac:dyDescent="0.25">
      <c r="A58" s="2" t="s">
        <v>801</v>
      </c>
      <c r="B58" s="2" t="s">
        <v>802</v>
      </c>
      <c r="C58" s="2"/>
      <c r="D58" s="2" t="s">
        <v>803</v>
      </c>
      <c r="E58" s="2">
        <v>2020</v>
      </c>
      <c r="F58" s="2"/>
      <c r="G58" s="2" t="s">
        <v>804</v>
      </c>
      <c r="H58" s="2" t="s">
        <v>788</v>
      </c>
      <c r="I58" s="2" t="s">
        <v>809</v>
      </c>
      <c r="J58" s="2" t="s">
        <v>810</v>
      </c>
      <c r="K58" s="2"/>
      <c r="L58" s="2" t="s">
        <v>811</v>
      </c>
      <c r="M58" s="2">
        <v>2019</v>
      </c>
      <c r="N58" s="2" t="s">
        <v>812</v>
      </c>
      <c r="O58" s="2" t="s">
        <v>813</v>
      </c>
      <c r="P58" s="2" t="s">
        <v>814</v>
      </c>
      <c r="Q58" s="2">
        <v>0.46800000000000003</v>
      </c>
      <c r="R58" s="2">
        <v>1</v>
      </c>
      <c r="S58" s="2" t="s">
        <v>776</v>
      </c>
      <c r="T58" s="2"/>
      <c r="U58" s="2"/>
      <c r="V58" s="2"/>
      <c r="W58" s="2"/>
      <c r="X58" s="2" t="s">
        <v>43</v>
      </c>
      <c r="Y58" s="2" t="s">
        <v>777</v>
      </c>
    </row>
    <row r="59" spans="1:25" ht="45" x14ac:dyDescent="0.25">
      <c r="A59" s="2" t="s">
        <v>805</v>
      </c>
      <c r="B59" s="2" t="s">
        <v>806</v>
      </c>
      <c r="C59" s="2"/>
      <c r="D59" s="2" t="s">
        <v>807</v>
      </c>
      <c r="E59" s="2">
        <v>2019</v>
      </c>
      <c r="F59" s="2"/>
      <c r="G59" s="2" t="s">
        <v>808</v>
      </c>
      <c r="H59" s="2" t="s">
        <v>788</v>
      </c>
      <c r="I59" s="2" t="s">
        <v>809</v>
      </c>
      <c r="J59" s="2" t="s">
        <v>810</v>
      </c>
      <c r="K59" s="2"/>
      <c r="L59" s="2" t="s">
        <v>811</v>
      </c>
      <c r="M59" s="2">
        <v>2019</v>
      </c>
      <c r="N59" s="2" t="s">
        <v>812</v>
      </c>
      <c r="O59" s="2" t="s">
        <v>813</v>
      </c>
      <c r="P59" s="2" t="s">
        <v>814</v>
      </c>
      <c r="Q59" s="2">
        <v>0.442</v>
      </c>
      <c r="R59" s="2">
        <v>1</v>
      </c>
      <c r="S59" s="2" t="s">
        <v>783</v>
      </c>
      <c r="T59" s="2"/>
      <c r="U59" s="2"/>
      <c r="V59" s="2"/>
      <c r="W59" s="2"/>
      <c r="X59" s="2" t="s">
        <v>43</v>
      </c>
      <c r="Y59" s="2" t="s">
        <v>777</v>
      </c>
    </row>
  </sheetData>
  <autoFilter ref="A1:Y59"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Validation_Sample_With_LLM</vt:lpstr>
      <vt:lpstr>Manual_Coding_Template</vt:lpstr>
      <vt:lpstr>Sampling_Summary</vt:lpstr>
      <vt:lpstr>Manual_Review_Needed</vt:lpstr>
      <vt:lpstr>Decision_Disagreements</vt:lpstr>
      <vt:lpstr>Potential_Duplicates_During_Abs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2026-06-19T01:17:18Z</dcterms:created>
  <dcterms:modified xsi:type="dcterms:W3CDTF">2026-06-20T23:02:54Z</dcterms:modified>
</cp:coreProperties>
</file>