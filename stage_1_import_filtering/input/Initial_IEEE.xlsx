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tania\Desktop\programino\papers\Systematic LR\Authomatic initial analysis\"/>
    </mc:Choice>
  </mc:AlternateContent>
  <xr:revisionPtr revIDLastSave="0" documentId="13_ncr:1_{E45D6E4D-4023-4EA7-8AEE-3BA4A181C2B2}" xr6:coauthVersionLast="47" xr6:coauthVersionMax="47" xr10:uidLastSave="{00000000-0000-0000-0000-000000000000}"/>
  <bookViews>
    <workbookView xWindow="-110" yWindow="-110" windowWidth="19420" windowHeight="10300" activeTab="1" xr2:uid="{00000000-000D-0000-FFFF-FFFF00000000}"/>
  </bookViews>
  <sheets>
    <sheet name="IEEE_intervention" sheetId="4" r:id="rId1"/>
    <sheet name="IEEE_evaluation" sheetId="5" r:id="rId2"/>
  </sheets>
  <definedNames>
    <definedName name="_xlnm._FilterDatabase" localSheetId="1" hidden="1">IEEE_evaluation!$B$1:$S$130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7" i="5" l="1"/>
  <c r="S125" i="5"/>
  <c r="S121" i="5"/>
  <c r="S119" i="5"/>
  <c r="S117" i="5"/>
  <c r="S113" i="5"/>
  <c r="S111" i="5"/>
  <c r="S109" i="5"/>
  <c r="S105" i="5"/>
  <c r="S103" i="5"/>
  <c r="S101" i="5"/>
  <c r="S97" i="5"/>
  <c r="S95" i="5"/>
  <c r="S93" i="5"/>
  <c r="S89" i="5"/>
  <c r="S87" i="5"/>
  <c r="S85" i="5"/>
  <c r="S81" i="5"/>
  <c r="S79" i="5"/>
  <c r="S77" i="5"/>
  <c r="S73" i="5"/>
  <c r="S71" i="5"/>
  <c r="S69" i="5"/>
  <c r="S65" i="5"/>
  <c r="S63" i="5"/>
  <c r="S61" i="5"/>
  <c r="S57" i="5"/>
  <c r="S55" i="5"/>
  <c r="S53" i="5"/>
  <c r="S49" i="5"/>
  <c r="S47" i="5"/>
  <c r="S45" i="5"/>
  <c r="S41" i="5"/>
  <c r="S39" i="5"/>
  <c r="S37" i="5"/>
  <c r="S33" i="5"/>
  <c r="S31" i="5"/>
  <c r="S29" i="5"/>
  <c r="S25" i="5"/>
  <c r="S23" i="5"/>
  <c r="S21" i="5"/>
  <c r="S17" i="5"/>
  <c r="S15" i="5"/>
  <c r="S13" i="5"/>
  <c r="S9" i="5"/>
  <c r="S7" i="5"/>
  <c r="S5" i="5"/>
  <c r="S2" i="5" a="1"/>
  <c r="S123" i="5" s="1"/>
  <c r="S2" i="5"/>
  <c r="S4" i="5" l="1"/>
  <c r="S12" i="5"/>
  <c r="S20" i="5"/>
  <c r="S28" i="5"/>
  <c r="S36" i="5"/>
  <c r="S44" i="5"/>
  <c r="S52" i="5"/>
  <c r="S60" i="5"/>
  <c r="S68" i="5"/>
  <c r="S76" i="5"/>
  <c r="S84" i="5"/>
  <c r="S92" i="5"/>
  <c r="S100" i="5"/>
  <c r="S108" i="5"/>
  <c r="S116" i="5"/>
  <c r="S124" i="5"/>
  <c r="S6" i="5"/>
  <c r="S14" i="5"/>
  <c r="S22" i="5"/>
  <c r="S30" i="5"/>
  <c r="S38" i="5"/>
  <c r="S46" i="5"/>
  <c r="S54" i="5"/>
  <c r="S62" i="5"/>
  <c r="S70" i="5"/>
  <c r="S78" i="5"/>
  <c r="S86" i="5"/>
  <c r="S94" i="5"/>
  <c r="S102" i="5"/>
  <c r="S110" i="5"/>
  <c r="S118" i="5"/>
  <c r="S126" i="5"/>
  <c r="S8" i="5"/>
  <c r="S16" i="5"/>
  <c r="S24" i="5"/>
  <c r="S32" i="5"/>
  <c r="S40" i="5"/>
  <c r="S48" i="5"/>
  <c r="S56" i="5"/>
  <c r="S64" i="5"/>
  <c r="S72" i="5"/>
  <c r="S80" i="5"/>
  <c r="S88" i="5"/>
  <c r="S96" i="5"/>
  <c r="S104" i="5"/>
  <c r="S112" i="5"/>
  <c r="S120" i="5"/>
  <c r="S10" i="5"/>
  <c r="S18" i="5"/>
  <c r="S26" i="5"/>
  <c r="S34" i="5"/>
  <c r="S42" i="5"/>
  <c r="S50" i="5"/>
  <c r="S58" i="5"/>
  <c r="S66" i="5"/>
  <c r="S74" i="5"/>
  <c r="S82" i="5"/>
  <c r="S90" i="5"/>
  <c r="S98" i="5"/>
  <c r="S106" i="5"/>
  <c r="S114" i="5"/>
  <c r="S122" i="5"/>
  <c r="S3" i="5"/>
  <c r="S11" i="5"/>
  <c r="S19" i="5"/>
  <c r="S27" i="5"/>
  <c r="S35" i="5"/>
  <c r="S43" i="5"/>
  <c r="S51" i="5"/>
  <c r="S59" i="5"/>
  <c r="S67" i="5"/>
  <c r="S75" i="5"/>
  <c r="S83" i="5"/>
  <c r="S91" i="5"/>
  <c r="S99" i="5"/>
  <c r="S107" i="5"/>
  <c r="S115" i="5"/>
  <c r="S129" i="5" l="1" a="1"/>
  <c r="S129" i="5" s="1"/>
  <c r="S128" i="5" a="1"/>
  <c r="S128" i="5" s="1"/>
  <c r="S130" i="5" l="1"/>
</calcChain>
</file>

<file path=xl/sharedStrings.xml><?xml version="1.0" encoding="utf-8"?>
<sst xmlns="http://schemas.openxmlformats.org/spreadsheetml/2006/main" count="3156" uniqueCount="2050">
  <si>
    <t>title</t>
  </si>
  <si>
    <t>author</t>
  </si>
  <si>
    <t>year</t>
  </si>
  <si>
    <t>booktitle</t>
  </si>
  <si>
    <t>journal</t>
  </si>
  <si>
    <t>publisher</t>
  </si>
  <si>
    <t>doi</t>
  </si>
  <si>
    <t>url</t>
  </si>
  <si>
    <t>abstract</t>
  </si>
  <si>
    <t>pages</t>
  </si>
  <si>
    <t>isbn</t>
  </si>
  <si>
    <t>issn</t>
  </si>
  <si>
    <t>volume</t>
  </si>
  <si>
    <t>number</t>
  </si>
  <si>
    <t>keywords</t>
  </si>
  <si>
    <t>Sheridan, Frances and Stynes, Paul and Pathak, Pramod and Quille, Keith</t>
  </si>
  <si>
    <t>2024</t>
  </si>
  <si>
    <t>1</t>
  </si>
  <si>
    <t>2019</t>
  </si>
  <si>
    <t>6</t>
  </si>
  <si>
    <t>2023</t>
  </si>
  <si>
    <t>2</t>
  </si>
  <si>
    <t>9</t>
  </si>
  <si>
    <t>11</t>
  </si>
  <si>
    <t>2025</t>
  </si>
  <si>
    <t>5</t>
  </si>
  <si>
    <t>2014</t>
  </si>
  <si>
    <t>2022</t>
  </si>
  <si>
    <t>14</t>
  </si>
  <si>
    <t>2021</t>
  </si>
  <si>
    <t>13</t>
  </si>
  <si>
    <t>2020</t>
  </si>
  <si>
    <t>10</t>
  </si>
  <si>
    <t>2018</t>
  </si>
  <si>
    <t>15</t>
  </si>
  <si>
    <t>2016</t>
  </si>
  <si>
    <t>Choi, Wan Chong and Choi, Iek Chong</t>
  </si>
  <si>
    <t>12</t>
  </si>
  <si>
    <t>8</t>
  </si>
  <si>
    <t>3</t>
  </si>
  <si>
    <t>17</t>
  </si>
  <si>
    <t>2017</t>
  </si>
  <si>
    <t>18</t>
  </si>
  <si>
    <t>4</t>
  </si>
  <si>
    <t>Luo, Qi and Zhang, Shuhan</t>
  </si>
  <si>
    <t>16</t>
  </si>
  <si>
    <t>29</t>
  </si>
  <si>
    <t>2015</t>
  </si>
  <si>
    <t>26</t>
  </si>
  <si>
    <t>67</t>
  </si>
  <si>
    <t>28</t>
  </si>
  <si>
    <t>65</t>
  </si>
  <si>
    <t>35</t>
  </si>
  <si>
    <t>Chung, Cheng-Yu and Hsiao, I-Han</t>
  </si>
  <si>
    <t>Replicated</t>
  </si>
  <si>
    <t>Found in intervention</t>
  </si>
  <si>
    <t>id</t>
  </si>
  <si>
    <t>month</t>
  </si>
  <si>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</si>
  <si>
    <t>Veerasamy, Ashok Kumar and de Souza-Daw, Tony</t>
  </si>
  <si>
    <t>2012 IEEE Symposium on Business, Engineering and Industrial Applications</t>
  </si>
  <si>
    <t>10.1109/ISBEIA.2012.6422872</t>
  </si>
  <si>
    <t>6422872</t>
  </si>
  <si>
    <t>Educational institutions;Internet;Asia;Computers;Plagiarism;Educational technology;Information and Communication Technologies;Developing countries Higher Education</t>
  </si>
  <si>
    <t>Sep.},</t>
  </si>
  <si>
    <t>213-216</t>
  </si>
  <si>
    <t>Impact of ICT on society — Higher education students in South-East Asia</t>
  </si>
  <si>
    <t>2012</t>
  </si>
  <si>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</si>
  <si>
    <t>Heo, Dongcheol and Lee, Heeseok</t>
  </si>
  <si>
    <t>2014 47th Hawaii International Conference on System Sciences</t>
  </si>
  <si>
    <t>10.1109/HICSS.2014.447</t>
  </si>
  <si>
    <t>6759049</t>
  </si>
  <si>
    <t>1530-1605</t>
  </si>
  <si>
    <t>Organizations;Knowledge management;Magnetic resonance imaging;Manufacturing;Communities;Interviews;Collaboration;Knowledge management;Post acquisition integration;knowledge boundary;critical territory;knowledge integration;knowledge sharing</t>
  </si>
  <si>
    <t>Jan},</t>
  </si>
  <si>
    <t>3594-3603</t>
  </si>
  <si>
    <t>Things to Maintain or Change: The Importance of Critical Territory in Post-acquisition Integration Boundary Issues</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</si>
  <si>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</si>
  <si>
    <t>Boqin Liu and Junmei He</t>
  </si>
  <si>
    <t>2014 9th International Conference on Computer Science &amp; Education</t>
  </si>
  <si>
    <t>10.1109/ICCSE.2014.6926430</t>
  </si>
  <si>
    <t>6926430</t>
  </si>
  <si>
    <t>Educational institutions;Microcomputers;Computational modeling;Indexes;HTML;Computational thinking;The Network teaching auxiliary platform;Autonomous learning mode</t>
  </si>
  <si>
    <t>Aug},</t>
  </si>
  <si>
    <t>59-62</t>
  </si>
  <si>
    <t>Teaching mode reform and exploration on the University Computer Basic based on Computational thinking training in Network Environment</t>
  </si>
  <si>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</si>
  <si>
    <t>Ayyadurai, Premkumar and Padmanabhan, Swati and Arulanantha Prabu P M</t>
  </si>
  <si>
    <t>2014 International Symposium on Fundamentals of Electrical Engineering (ISFEE)</t>
  </si>
  <si>
    <t>10.1109/ISFEE.2014.7050561</t>
  </si>
  <si>
    <t>7050561</t>
  </si>
  <si>
    <t>Mathematical model;Magnetization;Current transformers;Computational modeling;Magnetic cores;Equations;Magnetic materials;Analytical Model;Current Transformer;Magnetization;Optimization;Regression;Saturation Simulation</t>
  </si>
  <si>
    <t>Nov},</t>
  </si>
  <si>
    <t>1-6</t>
  </si>
  <si>
    <t>Modeling current transformer behavior using curve-fitting via optimization</t>
  </si>
  <si>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</si>
  <si>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Garneli, Varvara and Giannakos, Michail N. and Chorianopoulos, Konstantinos</t>
  </si>
  <si>
    <t>2015 IEEE Global Engineering Education Conference (EDUCON)</t>
  </si>
  <si>
    <t>10.1109/EDUCON.2015.7096023</t>
  </si>
  <si>
    <t>7096023</t>
  </si>
  <si>
    <t>2165-9567</t>
  </si>
  <si>
    <t>Programming profession;Education;Context;Games;Visualization;Computer languages;computer science education;computer programming;programming pedagogy;educational context;programming tools;K-12 Education</t>
  </si>
  <si>
    <t>March},</t>
  </si>
  <si>
    <t>543-551</t>
  </si>
  <si>
    <t>Computing education in K-12 schools: A review of the literature</t>
  </si>
  <si>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</si>
  <si>
    <t>Wong, Wai-Hoi and Li, Hongdi and Zhang, Yuxuan and Ramirez, Rocio and An, Shaohui and Wang, Chao and Liu, Shitao and Dong, Yun and Baghaei, Hossain</t>
  </si>
  <si>
    <t>10.1109/TNS.2015.2455511</t>
  </si>
  <si>
    <t>7254199</t>
  </si>
  <si>
    <t>1558-1578</t>
  </si>
  <si>
    <t>IEEE Transactions on Nuclear Science</t>
  </si>
  <si>
    <t>Positron emission tomography;Crystals;Detectors;Spatial resolution;Cameras;Image reconstruction;High-resolution;high-sensitivity;PMT-quadrant-sharing (PQS);positron emission tomography (PET);time of flight (TOF)</t>
  </si>
  <si>
    <t>Oct},</t>
  </si>
  <si>
    <t>2067-2074</t>
  </si>
  <si>
    <t>A High-Resolution Time-of-Flight Clinical PET Detection System Using a Gapless PMT-Quadrant-Sharing Method</t>
  </si>
  <si>
    <t>62</t>
  </si>
  <si>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</si>
  <si>
    <t>Bean, Nathan and Weese, Joshua and Feldhausen, Russell and Bell, R. Scott</t>
  </si>
  <si>
    <t>2015 IEEE Frontiers in Education Conference (FIE)</t>
  </si>
  <si>
    <t>10.1109/FIE.2015.7344237</t>
  </si>
  <si>
    <t>7344237</t>
  </si>
  <si>
    <t>Sprites (computer);Programming profession;Education;Shape;Conferences;Standards;Computational Thinking;K-12;teacher professional development;Scratch</t>
  </si>
  <si>
    <t>1-8</t>
  </si>
  <si>
    <t>Starting from scratch: Developing a pre-service teacher training program in computational thinking</t>
  </si>
  <si>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</si>
  <si>
    <t>Nan, Yu and Yi, Zhang and Bingxia, Cao</t>
  </si>
  <si>
    <t>2015 7th International Conference on Information Technology in Medicine and Education (ITME)</t>
  </si>
  <si>
    <t>10.1109/ITME.2015.119</t>
  </si>
  <si>
    <t>7429134</t>
  </si>
  <si>
    <t>Image reconstruction;Biomedical imaging;Computed tomography;Magnetic resonance imaging;Compressed sensing;X-ray imaging;biomedical imaging;compressed sensing;computed tomography;Magnetic Resonance Imaging</t>
  </si>
  <si>
    <t>225-228</t>
  </si>
  <si>
    <t>Review of Compressed Sensing for Biomedical Imaging</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</si>
  <si>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</si>
  <si>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Isaac, Joseph and Babu, Sabarish V.</t>
  </si>
  <si>
    <t>2016 IEEE Symposium on 3D User Interfaces (3DUI)</t>
  </si>
  <si>
    <t>10.1109/3DUI.2016.7460062</t>
  </si>
  <si>
    <t>7460062</t>
  </si>
  <si>
    <t>Games;Software;Computers;Programming profession;User interfaces;Education;Education;virtual characters;user studies</t>
  </si>
  <si>
    <t>245-246</t>
  </si>
  <si>
    <t>Supporting computational thinking through gamification</t>
  </si>
  <si>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</si>
  <si>
    <t>Kloos, Carlos Delgado and Gil, Manuel Castro and Rodríguez, Pilar and Robles, Gregorio and Tovar, Edmundo and Manjón, Baltasar Fernández</t>
  </si>
  <si>
    <t>2016 IEEE Global Engineering Education Conference (EDUCON)</t>
  </si>
  <si>
    <t>10.1109/EDUCON.2016.7474712</t>
  </si>
  <si>
    <t>7474712</t>
  </si>
  <si>
    <t>Games;Courseware;Software;Production;Engineering education;Conferences;MOOCs;design of educational material;learning content;courseware</t>
  </si>
  <si>
    <t>April},</t>
  </si>
  <si>
    <t>1218-1220</t>
  </si>
  <si>
    <t>Designing educational material</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</si>
  <si>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</si>
  <si>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</si>
  <si>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</si>
  <si>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7474681</t>
  </si>
  <si>
    <t>Measurement;Complexity theory;Correlation;Vocabulary;Programming profession;Fitting;computational thinking;Scratch;programming;assessment tools;Dr. Scratch;software metrics;complexity</t>
  </si>
  <si>
    <t>1040-1045</t>
  </si>
  <si>
    <t>Comparing computational thinking development assessment scores with software complexity metrics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</si>
  <si>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</si>
  <si>
    <t>Repenning, Alexander and Basawapatna, Ashok and Escherle, Nora</t>
  </si>
  <si>
    <t>2016 IEEE Symposium on Visual Languages and Human-Centric Computing (VL/HCC)</t>
  </si>
  <si>
    <t>10.1109/VLHCC.2016.7739688</t>
  </si>
  <si>
    <t>7739688</t>
  </si>
  <si>
    <t>1943-6106</t>
  </si>
  <si>
    <t>computational thinking tools;end-user programming;K-12 education;computational thinking</t>
  </si>
  <si>
    <t>218-222</t>
  </si>
  <si>
    <t>Computational thinking tools</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</si>
  <si>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</si>
  <si>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</si>
  <si>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2017 IEEE 11th International Workshop on Software Clones (IWSC)</t>
  </si>
  <si>
    <t>10.1109/IWSC.2017.7880506</t>
  </si>
  <si>
    <t>7880506</t>
  </si>
  <si>
    <t>Cloning;Software;Sprites (computer);Programming profession;Parallel processing;Visualization</t>
  </si>
  <si>
    <t>Feb},</t>
  </si>
  <si>
    <t>1-7</t>
  </si>
  <si>
    <t>Software clones in scratch projects: on the presence of copy-and-paste in computational thinking learning</t>
  </si>
  <si>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</si>
  <si>
    <t>Lim, HC</t>
  </si>
  <si>
    <t>2017 IEEE 5th International Conference on Serious Games and Applications for Health (SeGAH)</t>
  </si>
  <si>
    <t>10.1109/SeGAH.2017.7939263</t>
  </si>
  <si>
    <t>7939263</t>
  </si>
  <si>
    <t>Games;Problem-solving;Tools;Handheld computers;computational thinking (CT);rebel design;game;problem solving;connected;digital ecosystem;framework</t>
  </si>
  <si>
    <t>1-5</t>
  </si>
  <si>
    <t>Computational Thinking (CT) and Rebel game Design: CT in health games</t>
  </si>
  <si>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</si>
  <si>
    <t>Guo, Wenjuan and Kim, Youngchun and Tewfik, Ahmed H. and Sun, Nan</t>
  </si>
  <si>
    <t>10.1109/JSSC.2017.2695573</t>
  </si>
  <si>
    <t>7959569</t>
  </si>
  <si>
    <t>1558-173X</t>
  </si>
  <si>
    <t>IEEE Journal of Solid-State Circuits</t>
  </si>
  <si>
    <t>Sensors;Compressed sensing;Sparse matrices;Bandwidth;Information rates;Coherence;Wireless sensor networks;Analog-to-information conversion (AIC);charge domain analog signal processing;compressive sensing (CS);SAR analog-to-digital converter (ADC);sparsity;switched-capacitor (SC) circuit</t>
  </si>
  <si>
    <t>2154-2167</t>
  </si>
  <si>
    <t>A Fully Passive Compressive Sensing SAR ADC for Low-Power Wireless Sensors</t>
  </si>
  <si>
    <t>52</t>
  </si>
  <si>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</si>
  <si>
    <t>Ogata, Shinpei and Kayama, Mizue and Okano, Kozo</t>
  </si>
  <si>
    <t>2017 IEEE 17th International Conference on Advanced Learning Technologies (ICALT)</t>
  </si>
  <si>
    <t>10.1109/ICALT.2017.73</t>
  </si>
  <si>
    <t>8001724</t>
  </si>
  <si>
    <t>2161-377X</t>
  </si>
  <si>
    <t>Unified modeling language;Tools;Robots;Usability;Automobiles;Analytical models;Semantics;state machine;thinking skill development;simulator;usability;UML</t>
  </si>
  <si>
    <t>July},</t>
  </si>
  <si>
    <t>81-83</t>
  </si>
  <si>
    <t>SMart-Learning: State Machine Simulators for Developing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</si>
  <si>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</si>
  <si>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</si>
  <si>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2017 IEEE Blocks and Beyond Workshop (B&amp;B)</t>
  </si>
  <si>
    <t>10.1109/BLOCKS.2017.8120413</t>
  </si>
  <si>
    <t>8120413</t>
  </si>
  <si>
    <t>Programming;Shape;User interfaces;Programming environments;Tools;Concrete;Protocols;Block-Oriented Programming;Computational Thinking Skills;Tangible User Interfaces</t>
  </si>
  <si>
    <t>61-64</t>
  </si>
  <si>
    <t>Block-oriented programming with tangibles: An engaging way to learn computational thinking skills</t>
  </si>
  <si>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</si>
  <si>
    <t>Schmeelk, Suzanna and Fontaine, Fred and Ackerman, Larisa and Aho, Alfred</t>
  </si>
  <si>
    <t>2017 IEEE Frontiers in Education Conference (FIE)</t>
  </si>
  <si>
    <t>10.1109/FIE.2017.8190558</t>
  </si>
  <si>
    <t>8190558</t>
  </si>
  <si>
    <t>Java;Education;Programming profession;Urban areas</t>
  </si>
  <si>
    <t>Learning Java in a New York City immigrant engineer retraining program</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</si>
  <si>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</si>
  <si>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</si>
  <si>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2017 IEEE 6th International Conference on Teaching, Assessment, and Learning for Engineering (TALE)</t>
  </si>
  <si>
    <t>10.1109/TALE.2017.8252356</t>
  </si>
  <si>
    <t>8252356</t>
  </si>
  <si>
    <t>2470-6698</t>
  </si>
  <si>
    <t>Education;Tools;Programming profession;Computer languages;Interviews;Writing;Computational Thinking;English dialogue learning;Graphical programming language;Classroom effect</t>
  </si>
  <si>
    <t>Dec},</t>
  </si>
  <si>
    <t>320-325</t>
  </si>
  <si>
    <t>Integrating computational thinking into english dialogue learning through graphical programming tool</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</si>
  <si>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</si>
  <si>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</si>
  <si>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2017 36th International Conference of the Chilean Computer Science Society (SCCC)</t>
  </si>
  <si>
    <t>10.1109/SCCC.2017.8405132</t>
  </si>
  <si>
    <t>8405132</t>
  </si>
  <si>
    <t>Tools;Programming profession;Employment;Information technology;Buildings;Computational thinking;problem-based learning;programming learning</t>
  </si>
  <si>
    <t>Problock: A tool for computational thinking development using problem-based learning</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</si>
  <si>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</si>
  <si>
    <t>Pérez, Alexis Daniel Fuentes and Valladares, Gara Miranda</t>
  </si>
  <si>
    <t>2018 IEEE Global Engineering Education Conference (EDUCON)</t>
  </si>
  <si>
    <t>10.1109/EDUCON.2018.8363311</t>
  </si>
  <si>
    <t>8363311</t>
  </si>
  <si>
    <t>Tools;Problem-solving;Education;Programming profession;Proposals;Computational modeling;computational thinking;problem solving;21st century skills;methodology for development and assessment;pre-university education;web platform;Abstractly</t>
  </si>
  <si>
    <t>787-795</t>
  </si>
  <si>
    <t>Development and assessment of computational thinking: A methodological proposal and a support tool</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</si>
  <si>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</si>
  <si>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Moreno-León, Jesús and Román-González, Marcos and Robles, Gregorio</t>
  </si>
  <si>
    <t>10.1109/EDUCON.2018.8363437</t>
  </si>
  <si>
    <t>8363437</t>
  </si>
  <si>
    <t>Programming profession;Encoding;Software;Europe;Industries;computational thinking;programming;skills;computer science education;digital literacy</t>
  </si>
  <si>
    <t>1684-1689</t>
  </si>
  <si>
    <t>On computational thinking as a universal skill: A review of the latest research on this ability</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</si>
  <si>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</si>
  <si>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Hug, Sarah and Eyerman, Suzanne and Cota, Raena and Pontelli, Enrico</t>
  </si>
  <si>
    <t>2018 Research on Equity and Sustained Participation in Engineering, Computing, and Technology (RESPECT)</t>
  </si>
  <si>
    <t>10.1109/RESPECT.2018.8491708</t>
  </si>
  <si>
    <t>8491708</t>
  </si>
  <si>
    <t>IEEE Fellows;Education;Computational modeling;Fingerprint recognition;Biological neural networks;Computer science;Task analysis;teacher professional development;sustained change;computational thinking</t>
  </si>
  <si>
    <t>Embedding K12 Professional Development Through Co-Teaching Experiences-Sustaining Computational Thinking in Interdisciplinary Courses</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</si>
  <si>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</si>
  <si>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</si>
  <si>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</si>
  <si>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8502019</t>
  </si>
  <si>
    <t>2169-3536</t>
  </si>
  <si>
    <t>IEEE Access</t>
  </si>
  <si>
    <t>Games;Autism;Conferences;Guidelines;Programming profession;Visualization;Game design workshop;autism spectrum disorder;neurodiversity</t>
  </si>
  <si>
    <t>},</t>
  </si>
  <si>
    <t>63880-63889</t>
  </si>
  <si>
    <t>Developing Computational Thinking Skills in Adolescents With Autism Spectrum Disorder Through Digital Game Programming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</si>
  <si>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</si>
  <si>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</si>
  <si>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2018 IEEE International Conference on Teaching, Assessment, and Learning for Engineering (TALE)</t>
  </si>
  <si>
    <t>10.1109/TALE.2018.8615232</t>
  </si>
  <si>
    <t>8615232</t>
  </si>
  <si>
    <t>Education;Games;Debugging;Programming profession;Problem-solving;computational thinking;algorithmic thinking;debug;primary school;coding education</t>
  </si>
  <si>
    <t>328-334</t>
  </si>
  <si>
    <t>Computational Thinking Education for Children: Algorithmic Thinking and Debugging</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</si>
  <si>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</si>
  <si>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González, Felipe and López, Claudia and Castro, Carlos</t>
  </si>
  <si>
    <t>2018 37th International Conference of the Chilean Computer Science Society (SCCC)</t>
  </si>
  <si>
    <t>10.1109/SCCC.2018.8705239</t>
  </si>
  <si>
    <t>8705239</t>
  </si>
  <si>
    <t>1522-4902</t>
  </si>
  <si>
    <t>C++ languages;Visualization;Media;Education;Conferences;Silicon compounds;Computational Thinking Test;C++;Programming in High School</t>
  </si>
  <si>
    <t>Development of Computational Thinking in High School Students: A Case Study in Chile</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</si>
  <si>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</si>
  <si>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Falkner, Katrina and Vivian, Rebecca and Falkner, Nickolas</t>
  </si>
  <si>
    <t>2018 International Conference on Learning and Teaching in Computing and Engineering (LaTICE)</t>
  </si>
  <si>
    <t>10.1109/LaTICE.2018.00031</t>
  </si>
  <si>
    <t>8753405</t>
  </si>
  <si>
    <t>2475-1057</t>
  </si>
  <si>
    <t>Computer aided instruction;Electronic learning;Education;Digital intelligence;Next generation networking;Computational Thinking;K 6;Digital Technologies;Teacher Professional Development;MOOCs</t>
  </si>
  <si>
    <t>126-133</t>
  </si>
  <si>
    <t>Supporting Computational Thinking Development in K-6</t>
  </si>
  <si>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</si>
  <si>
    <t>Tavares Coimbra, Rodrigo and Resende, Antônio and Terra, Ricardo</t>
  </si>
  <si>
    <t>2018 XLIV Latin American Computer Conference (CLEI)</t>
  </si>
  <si>
    <t>10.1109/CLEI.2018.00014</t>
  </si>
  <si>
    <t>8786298</t>
  </si>
  <si>
    <t>Software;Software measurement;Correlation;Size measurement;Complexity theory;Couplings;Length measurement;Metrics;software-measures;Halstead;Correlation-Analysis</t>
  </si>
  <si>
    <t>31-39</t>
  </si>
  <si>
    <t>A Correlation Analysis between Halstead Complexity Measures and other Software Measures</t>
  </si>
  <si>
    <t>The question “What can be automated?” is one of the most inspiring philosophical and practical questions of contemporary civilization.</t>
  </si>
  <si>
    <t>Denning, Peter J. and Tedre, Matti</t>
  </si>
  <si>
    <t>Computational Thinking</t>
  </si>
  <si>
    <t>8709313</t>
  </si>
  <si>
    <t>9780262353410</t>
  </si>
  <si>
    <t>71-94</t>
  </si>
  <si>
    <t>MIT Press</t>
  </si>
  <si>
    <t>4 COMPUTER SCIENCE</t>
  </si>
  <si>
    <t>https://ieeexplore.ieee.org/document/8709313},</t>
  </si>
  <si>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</si>
  <si>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Pires, Fernanda and Maquine Lima, Fabio Michel and Melo, Rafaela and Serique Bernardo, João Ricardo and de Freitas, Rosiane</t>
  </si>
  <si>
    <t>2019 IEEE 19th International Conference on Advanced Learning Technologies (ICALT)</t>
  </si>
  <si>
    <t>10.1109/ICALT.2019.00112</t>
  </si>
  <si>
    <t>8820891</t>
  </si>
  <si>
    <t>Mathematics;Games;Computer science;Pattern recognition;Education;Problem-solving;Task analysis;Computational Thinking;Gamification;Didactic Sequence;Math problems</t>
  </si>
  <si>
    <t>362-366</t>
  </si>
  <si>
    <t>Gamification and Engagement: Development of Computational Thinking and the Implications in Mathematical Learning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</si>
  <si>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</si>
  <si>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</si>
  <si>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2019 14th International Conference on Computer Science &amp; Education (ICCSE)</t>
  </si>
  <si>
    <t>10.1109/ICCSE.2019.8845505</t>
  </si>
  <si>
    <t>8845505</t>
  </si>
  <si>
    <t>2473-9464</t>
  </si>
  <si>
    <t>Education;Tools;Programming;Visualization;Computational modeling;Creativity;Standards;computational thinking;concept map;project-based learning</t>
  </si>
  <si>
    <t>454-459</t>
  </si>
  <si>
    <t>Application of Concept Map in the Study of Computational Thinking Training</t>
  </si>
  <si>
    <t>Presents abstracts for the articles comprising the conference proceedings.</t>
  </si>
  <si>
    <t>10.1109/ICCSE.2019.8845477</t>
  </si>
  <si>
    <t>8845477</t>
  </si>
  <si>
    <t>54-94</t>
  </si>
  <si>
    <t>ICCSE 2019 Book of Abstracts</t>
  </si>
  <si>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</si>
  <si>
    <t>Lizio, R. and Del Percio, C. and Noce, G. and Janson, J. and Barulli, M.R. and Logroscino, G. and Musarò, C and Scianatico, G. and Rossini, P.M. and Lacidogna, G. and Gesualdo, L. and Ferri, R. and Soricelli, A. and Babiloni, C.</t>
  </si>
  <si>
    <t>2019 IEEE International Conference on Systems, Man and Cybernetics (SMC)</t>
  </si>
  <si>
    <t>10.1109/SMC.2019.8914416</t>
  </si>
  <si>
    <t>8914416</t>
  </si>
  <si>
    <t>2577-1655</t>
  </si>
  <si>
    <t>Task analysis;Dementia;Standards;Scalp;Aging;Games;Batteries</t>
  </si>
  <si>
    <t>1276-1279</t>
  </si>
  <si>
    <t>Two weeks of a computerized cognitive training may produce beneficial effects in Alzheimer’s disease patients</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</si>
  <si>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</si>
  <si>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Gerosa, Anaclara and Koleszar, Víctor and Gómez-Sena, Leonel and Tejera, Gonzalo and Carboni, Alejandra</t>
  </si>
  <si>
    <t>2019 XIV Latin American Conference on Learning Technologies (LACLO)</t>
  </si>
  <si>
    <t>10.1109/LACLO49268.2019.00046</t>
  </si>
  <si>
    <t>8995066</t>
  </si>
  <si>
    <t>Robots;Robot sensing systems;Color;Computational modeling;Robot kinematics;Motors;Silicon;computational thinking;educational robotics;early childhood</t>
  </si>
  <si>
    <t>226-230</t>
  </si>
  <si>
    <t>Educational Robotics and Computational Thinking Development in Preschool</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</si>
  <si>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</si>
  <si>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</si>
  <si>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2019 IEEE Frontiers in Education Conference (FIE)</t>
  </si>
  <si>
    <t>10.1109/FIE43999.2019.9028503</t>
  </si>
  <si>
    <t>9028503</t>
  </si>
  <si>
    <t>2377-634X</t>
  </si>
  <si>
    <t>Mathematical model;Thermodynamics;Interviews;Problem-solving;Computational modeling;Analytical models;Testing;thermodynamics;computational thinking</t>
  </si>
  <si>
    <t>1-4</t>
  </si>
  <si>
    <t>An Investigation of Undergraduates’ Computational Thinking in a Sophomore-Level Biomedical Engineering Course</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</si>
  <si>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</si>
  <si>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</si>
  <si>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2019 IEEE R10 Humanitarian Technology Conference (R10-HTC)(47129)</t>
  </si>
  <si>
    <t>10.1109/R10-HTC47129.2019.9042435</t>
  </si>
  <si>
    <t>9042435</t>
  </si>
  <si>
    <t>2572-7621</t>
  </si>
  <si>
    <t>Robot sensing systems;Encoding;Programming profession;Task analysis;Mobile robots;educational robot;computational thinking;ROOT robot;programming;evaluation;measurement</t>
  </si>
  <si>
    <t>126-131</t>
  </si>
  <si>
    <t>Evaluation of the ROOT Robot System and Curriculum to Improve Computational Thinking in Chinese Children</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</si>
  <si>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</si>
  <si>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</si>
  <si>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2019 International Conference on Virtual Reality and Visualization (ICVRV)</t>
  </si>
  <si>
    <t>10.1109/ICVRV47840.2019.00043</t>
  </si>
  <si>
    <t>9213068</t>
  </si>
  <si>
    <t>2375-141X</t>
  </si>
  <si>
    <t>Tools;Programming profession;Servers;Computational intelligence;Education;Electronic mail;Computational Thinking;Assessment Too;Scratch programming</t>
  </si>
  <si>
    <t>185-188</t>
  </si>
  <si>
    <t>A Formative Assessment Tool to Support Computational Thinking in the Classroom</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</si>
  <si>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</si>
  <si>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</si>
  <si>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</si>
  <si>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7999170</t>
  </si>
  <si>
    <t>2168-6750</t>
  </si>
  <si>
    <t>IEEE Transactions on Emerging Topics in Computing</t>
  </si>
  <si>
    <t>Programming profession;Tools;Education;Games;Computational modeling;Programming;computational thinking;learning paths;data-driven;Scratch</t>
  </si>
  <si>
    <t>193-205</t>
  </si>
  <si>
    <t>Towards Data-Driven Learning Paths to Develop Computational Thinking with Scratch</t>
  </si>
  <si>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</si>
  <si>
    <t>Camargo, Caio and Brancalião, Laiany and Gonçalves, José and Lima, José and Ramos, Maria and Fernandes, Luísa and Trovisco, Manuel and Conde, Miguel</t>
  </si>
  <si>
    <t>2020 IEEE Global Engineering Education Conference (EDUCON)</t>
  </si>
  <si>
    <t>10.1109/EDUCON45650.2020.9125231</t>
  </si>
  <si>
    <t>9125231</t>
  </si>
  <si>
    <t>Performance evaluation;Art;Conferences;Semantics;Fires;Engineering education;Robots;Robotics;Physical Devices;Challenge Based Learning;STEAM Education;Erasmus+</t>
  </si>
  <si>
    <t>290-294</t>
  </si>
  <si>
    <t>Emídio Garcia School Pilot description: A Robosteam Erasmus+ Project Activity based on a Challenge based Learning Approach</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</si>
  <si>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</si>
  <si>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Li, Yongxiang and Li, Xinpeng and Zhu, Danlei and Guo, Haixia</t>
  </si>
  <si>
    <t>10.1109/ACCESS.2020.3025079</t>
  </si>
  <si>
    <t>9200597</t>
  </si>
  <si>
    <t>Machining;Training;Solid modeling;Technological innovation;Engineering students;Computer numerical control;Critical thinking;empirical study;computer-supported collaborative learning;NC machining course;virtual simulation system teaching method</t>
  </si>
  <si>
    <t>173584-173598</t>
  </si>
  <si>
    <t>Cultivation of the Students’ Critical Thinking Ability in Numerical Control Machining Course Based on the Virtual Simulation System Teaching Method</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</si>
  <si>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</si>
  <si>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Curasma, Ronald Paucar and Paucar Curasma, Herminio</t>
  </si>
  <si>
    <t>2020 IEEE XXVII International Conference on Electronics, Electrical Engineering and Computing (INTERCON)</t>
  </si>
  <si>
    <t>10.1109/INTERCON50315.2020.9220200</t>
  </si>
  <si>
    <t>9220200</t>
  </si>
  <si>
    <t>Education;Systematics;Tools;Programming profession;Computed tomography;Analytical models;Robots;computational thinking;South America;methodology;regular basic education</t>
  </si>
  <si>
    <t>Computational thinking in school education in South America: Systematic review of the literature</t>
  </si>
  <si>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</si>
  <si>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Yang, Dazhi and Baek, Youngkyun and Swanson, Steve</t>
  </si>
  <si>
    <t>2020 IEEE Frontiers in Education Conference (FIE)</t>
  </si>
  <si>
    <t>10.1109/FIE44824.2020.9274021</t>
  </si>
  <si>
    <t>9274021</t>
  </si>
  <si>
    <t>Airplanes;Education;Problem-solving;STEM;Pattern recognition;Data models;Atmospheric modeling;computational thinking;integrated STEM;computing education;engineering design;project-based learning</t>
  </si>
  <si>
    <t>Developing Computational Thinking through Project-Based Airplane Design Activities</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</si>
  <si>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</si>
  <si>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</si>
  <si>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</si>
  <si>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9274250</t>
  </si>
  <si>
    <t>Programming profession;Organizations;Engineering students;Task analysis;Computational modeling;Tools;Pattern matching;computational thinking;first-year engineering education;learning and teaching effectiveness;assessment metrics</t>
  </si>
  <si>
    <t>Computational Thinking Growth During a First-Year Engineering Course</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</si>
  <si>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</si>
  <si>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Coenraad, Merijke and Mills, Kelly and Byrne, Virginia L. and Ketelhut, Diane Jass</t>
  </si>
  <si>
    <t>2020 Research on Equity and Sustained Participation in Engineering, Computing, and Technology (RESPECT)</t>
  </si>
  <si>
    <t>10.1109/RESPECT49803.2020.9272488</t>
  </si>
  <si>
    <t>9272488</t>
  </si>
  <si>
    <t>Education;Encoding;Tools;Programming profession;Statistics;Sociology;Production;computational thinking;professional development;equity;computer science education;science education</t>
  </si>
  <si>
    <t>1-2</t>
  </si>
  <si>
    <t>Supporting Teachers to Integrate Computational Thinking Equitably</t>
  </si>
  <si>
    <t>Full conference PDF.</t>
  </si>
  <si>
    <t>10.1109/RESPECT49803.2020.9272473</t>
  </si>
  <si>
    <t>9272473</t>
  </si>
  <si>
    <t>1-246</t>
  </si>
  <si>
    <t>RESPECT 2020 Prepint proceedings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</si>
  <si>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</si>
  <si>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</si>
  <si>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2020 Ninth International Conference of Educational Innovation through Technology (EITT)</t>
  </si>
  <si>
    <t>10.1109/EITT50754.2020.00048</t>
  </si>
  <si>
    <t>9320743</t>
  </si>
  <si>
    <t>2166-0549</t>
  </si>
  <si>
    <t>Education;Training;Handheld computers;Programming profession;Tools;Parallel processing;Games;Computational Thinking;teacher professional development;Scratch;teaching self-efficacy</t>
  </si>
  <si>
    <t>235-239</t>
  </si>
  <si>
    <t>Promoting Teaching Self-efficacy in Computational Thinking of School Teachers</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</si>
  <si>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</si>
  <si>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</si>
  <si>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2020 XV Conferencia Latinoamericana de Tecnologias de Aprendizaje (LACLO)</t>
  </si>
  <si>
    <t>10.1109/LACLO50806.2020.9381143</t>
  </si>
  <si>
    <t>9381143</t>
  </si>
  <si>
    <t>Software algorithms;Games;Software;Generators;Problem-solving;Information technology;Programming profession;computational thinking;problem-solving;software engineering</t>
  </si>
  <si>
    <t>1-9</t>
  </si>
  <si>
    <t>A Generator of Game Programming Challenges for Computational Thinking Development</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</si>
  <si>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</si>
  <si>
    <t>Vinueza-Morales, Mariuxi and Borrego, Diana and A. Galindo, José and Benavides, David</t>
  </si>
  <si>
    <t>10.1109/TE.2020.3030588</t>
  </si>
  <si>
    <t>9249431</t>
  </si>
  <si>
    <t>1557-9638</t>
  </si>
  <si>
    <t>IEEE Transactions on Education</t>
  </si>
  <si>
    <t>Programming profession;Databases;Computer languages;Bibliographies;Tools;Protocols;Computational thinking (CT);educational programming language (EPL);programming learning</t>
  </si>
  <si>
    <t>213-222</t>
  </si>
  <si>
    <t>Empirical Evidence of the Usage of Programming Languages in the Educational Process</t>
  </si>
  <si>
    <t>64</t>
  </si>
  <si>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</si>
  <si>
    <t>Yang, Xiaolin and Xu, Jiawei and Ballini, Marco and Chun, Hosung and Zhao, Menglian and Wu, Xiaobo and Van Hoof, Chris and Mora Lopez, Carolina and Van Helleputte, Nick</t>
  </si>
  <si>
    <t>10.1109/TBCAS.2021.3062632</t>
  </si>
  <si>
    <t>9366350</t>
  </si>
  <si>
    <t>1940-9990</t>
  </si>
  <si>
    <t>IEEE Transactions on Biomedical Circuits and Systems</t>
  </si>
  <si>
    <t>Modulation;Electrocardiography;Sensors;Electroencephalography;Electrodes;Dynamic range;Sensor phenomena and characterization;Direct-to-digital;Δ∑-∑ modulation;electrode DC offset;motion artifact;EEG;ECG</t>
  </si>
  <si>
    <t>199-209</t>
  </si>
  <si>
    <t>A 108 dB DR Δ∑-∑M Front-End With 720 mVpp Input Range and &gt;±300 mV Offset Removal for Multi-Parameter Biopotential Recording</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</si>
  <si>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</si>
  <si>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Vinu Varghese, V.V. and Renumol, V.G.</t>
  </si>
  <si>
    <t>2021 International Conference on Innovative Trends in Information Technology (ICITIIT)</t>
  </si>
  <si>
    <t>10.1109/ICITIIT51526.2021.9399606</t>
  </si>
  <si>
    <t>9399606</t>
  </si>
  <si>
    <t>Visualization;Bibliographies;Conferences;Virtual reality;Tools;Problem-solving;Programming profession;computational thinking;problem solving;intervention;assessment;programming</t>
  </si>
  <si>
    <t>Assessment Methods and Interventions to Develop Computational Thinking — A Literature Review</t>
  </si>
  <si>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</si>
  <si>
    <t>Garzetti, Fabio and Corna, Nicola and Lusardi, Nicola and Geraci, Angelo</t>
  </si>
  <si>
    <t>10.1109/ACCESS.2021.3088448</t>
  </si>
  <si>
    <t>9452098</t>
  </si>
  <si>
    <t>Field programmable gate arrays;Time measurement;Delays;Clocks;Signal resolution;Linearity;Particle measurements;Bubble errors;calibration;decoding;Field Programmable Gate Array (FPGA);interpolation;Nutt–Interpolation;Sub–Interpolation;Tapped Delay–Line (TDL);Time–to–Digital Converter (TDC)</t>
  </si>
  <si>
    <t>85515-85528</t>
  </si>
  <si>
    <t>Time-to-Digital Converter IP-Core for FPGA at State of the Art</t>
  </si>
  <si>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</si>
  <si>
    <t>Tempel, Sören and Herdt, Vladimir and Drechsler, Rolf</t>
  </si>
  <si>
    <t>2021 Design, Automation &amp; Test in Europe Conference &amp; Exhibition (DATE)</t>
  </si>
  <si>
    <t>10.23919/DATE51398.2021.9474149</t>
  </si>
  <si>
    <t>9474149</t>
  </si>
  <si>
    <t>1558-1101</t>
  </si>
  <si>
    <t>Operating systems;Instruction sets;Prototypes;Standards;Testing</t>
  </si>
  <si>
    <t>218-221</t>
  </si>
  <si>
    <t>An Effective Methodology for Integrating Concolic Testing with SystemC-based Virtual Prototypes</t>
  </si>
  <si>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</si>
  <si>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Dutra, Taynara Cerigueli and Felipe, Daniel and Gasparini, Isabela and Maschio, Eleandro</t>
  </si>
  <si>
    <t>2021 International Conference on Advanced Learning Technologies (ICALT)</t>
  </si>
  <si>
    <t>10.1109/ICALT52272.2021.00101</t>
  </si>
  <si>
    <t>9499901</t>
  </si>
  <si>
    <t>Bibliographies;Games;Tools;Search problems;Cognition;Problem-solving;Guidelines;computational thinking;educational digital games;intellectual disabilities;accessibility</t>
  </si>
  <si>
    <t>314-316</t>
  </si>
  <si>
    <t>Educational Digital Games and Computational Thinking for students with Intellectual Disabilities - Guidelines for accessibility</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</si>
  <si>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</si>
  <si>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Zapata-Cáceres, María and Martín-Barroso, Estefanía</t>
  </si>
  <si>
    <t>10.1109/ACCESS.2021.3110475</t>
  </si>
  <si>
    <t>9529183</t>
  </si>
  <si>
    <t>Games;Education;Programming profession;Data mining;Problem-solving;Tools;Computational thinking;early ages;game learning analytics;interests;intrinsic motivation;learn to program;persistence;rewards;skills;video games</t>
  </si>
  <si>
    <t>123588-123602</t>
  </si>
  <si>
    <t>Applying Game Learning Analytics to a Voluntary Video Game: Intrinsic Motivation, Persistence, and Rewards in Learning to Program at an Early Age</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</si>
  <si>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</si>
  <si>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</si>
  <si>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</si>
  <si>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9536372</t>
  </si>
  <si>
    <t>1939-1382</t>
  </si>
  <si>
    <t>IEEE Transactions on Learning Technologies</t>
  </si>
  <si>
    <t>Collaboration;Problem-solving;Tools;Education;Programming profession;Games;Visualization;Assessment;collaborative learning;computational thinking (CT);early childhood education;educational games;learning environments;programming.</t>
  </si>
  <si>
    <t>576-589</t>
  </si>
  <si>
    <t>Collaborative Game-Based Environment and Assessment Tool for Learning Computational Thinking in Primary School: A Case Study</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</si>
  <si>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</si>
  <si>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</si>
  <si>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2021 International Conference on Software Engineering &amp; Computer Systems and 4th International Conference on Computational Science and Information Management (ICSECS-ICOCSIM)</t>
  </si>
  <si>
    <t>10.1109/ICSECS52883.2021.00125</t>
  </si>
  <si>
    <t>9537050</t>
  </si>
  <si>
    <t>Visualization;Codes;Scientific computing;Games;Parallel processing;Animation;Information management;computational thinking skills;visual programming;gender;primary school students</t>
  </si>
  <si>
    <t>655-660</t>
  </si>
  <si>
    <t>Gender Differences in Computational Thinking Skills among Malaysian’s Primary School Students using Visual Programming</t>
  </si>
  <si>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</si>
  <si>
    <t>Bamunuarachchi, Dinithi and Georgakopoulos, Dimitrios and Jayaraman, Prem Prakash and Banerjee, Abhik</t>
  </si>
  <si>
    <t>2021 IEEE International Conference on Services Computing (SCC)</t>
  </si>
  <si>
    <t>10.1109/SCC53864.2021.00047</t>
  </si>
  <si>
    <t>9592482</t>
  </si>
  <si>
    <t>2474-2473</t>
  </si>
  <si>
    <t>Manufacturing industries;Costs;Digital twin;Semantics;Supply chains;Service computing;Ontologies;Cyber Twins;Digital Twins;Industry 4.0 application development;Cyber Twin framework;Digital Twin framework</t>
  </si>
  <si>
    <t>340-350</t>
  </si>
  <si>
    <t>A Framework for Enabling Cyber-Twins based Industry 4.0 Application Development</t>
  </si>
  <si>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</si>
  <si>
    <t>Wang, Yintong and Li, Shuo</t>
  </si>
  <si>
    <t>2021 International Conference on Education, Information Management and Service Science (EIMSS)</t>
  </si>
  <si>
    <t>10.1109/EIMSS53851.2021.00021</t>
  </si>
  <si>
    <t>9603471</t>
  </si>
  <si>
    <t>Computational modeling;Education;Collaboration;Computer science education;Information management;Problem-solving;Programming profession;computational thinking;group-based learning teaching mode;computer science education</t>
  </si>
  <si>
    <t>58-61</t>
  </si>
  <si>
    <t>Research on group-based learning teaching mode to computational thinking ability development based on Blackboard system</t>
  </si>
  <si>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</si>
  <si>
    <t>Fancsali, Cheri and Klevan, Sarah and Mirakhur, Zitsi</t>
  </si>
  <si>
    <t>2021 Conference on Research in Equitable and Sustained Participation in Engineering, Computing, and Technology (RESPECT)</t>
  </si>
  <si>
    <t>10.1109/RESPECT51740.2021.9620713</t>
  </si>
  <si>
    <t>9620713</t>
  </si>
  <si>
    <t>Computer science;Shape;Buildings;Education;Tools;Writing;Computer science education;Research Practice Partnership;teacher capacity building;elementary level;CS/CT integration;maker pedagogy</t>
  </si>
  <si>
    <t>May},</t>
  </si>
  <si>
    <t>Making Research Practice Partnerships Work: An Assessment of The Maker Partnership</t>
  </si>
  <si>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</si>
  <si>
    <t>Krakowski, Ari and Greenwald, Eric and Comstock, Meghan and Roman, Natalie and Duke, Jacob</t>
  </si>
  <si>
    <t>10.1109/RESPECT51740.2021.9620553</t>
  </si>
  <si>
    <t>9620553</t>
  </si>
  <si>
    <t>Computer science;Electric potential;Systematics;Computational modeling;Affordances;Tools;Inspection;Equity and inclusion in computing;Computational thinking;Transdisciplinary (CT+X) curriculum models</t>
  </si>
  <si>
    <t>A Typology of Models for Integrating Computational Thinking in Science (CT+S)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</si>
  <si>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</si>
  <si>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</si>
  <si>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2021 IEEE Frontiers in Education Conference (FIE)</t>
  </si>
  <si>
    <t>10.1109/FIE49875.2021.9637221</t>
  </si>
  <si>
    <t>9637221</t>
  </si>
  <si>
    <t>Heuristic algorithms;Conferences;Computational modeling;Data collection;Data models;Problem-solving;STEM;computational thinking;STEM+C;Project Based Learning;teacher perspectives</t>
  </si>
  <si>
    <t>Teachers' Perspective on Implementing Computational Thinking in Elementary Classrooms</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</si>
  <si>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</si>
  <si>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</si>
  <si>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</si>
  <si>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9637185</t>
  </si>
  <si>
    <t>Systematics;Instruments;Education;Debugging;Robot sensing systems;Teamwork;Object recognition</t>
  </si>
  <si>
    <t>Educational Robotics Applied to Computational Thinking Development: A Systematic Mapping Study</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</si>
  <si>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</si>
  <si>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</si>
  <si>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2021 2nd SEA-STEM International Conference (SEA-STEM)</t>
  </si>
  <si>
    <t>10.1109/SEA-STEM53614.2021.9668107</t>
  </si>
  <si>
    <t>9668107</t>
  </si>
  <si>
    <t>Systematics;Navigation;Education;Games;Programming;Encoding;Pattern recognition;computational thinking;need assessment;gamification;computational thinking with coding</t>
  </si>
  <si>
    <t>146-150</t>
  </si>
  <si>
    <t>Development of CT Using Need Assessment and Gamification: A Systematic Review</t>
  </si>
  <si>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</si>
  <si>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Siregar, Baihaqi and Sitompul, Opim Salim and Nababan, Erna Budhiarti and Fahmi</t>
  </si>
  <si>
    <t>10.1109/SEA-STEM53614.2021.9668080</t>
  </si>
  <si>
    <t>9668080</t>
  </si>
  <si>
    <t>Printing;Learning systems;Technological innovation;System testing;Three-dimensional displays;Software;Printers;science;technology;engineering;mathematics;robotics;3d printing</t>
  </si>
  <si>
    <t>82-87</t>
  </si>
  <si>
    <t>Smartphone-controlled 3D Printed Robots for STEM Learning</t>
  </si>
  <si>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</si>
  <si>
    <t>Georgakopoulos, Dimitrios and Bamunuarachchi, Dinithi</t>
  </si>
  <si>
    <t>2021 IEEE 7th International Conference on Collaboration and Internet Computing (CIC)</t>
  </si>
  <si>
    <t>10.1109/CIC52973.2021.00025</t>
  </si>
  <si>
    <t>9707159</t>
  </si>
  <si>
    <t>Costs;Digital twin;Cyberspace;Production;Maintenance engineering;Fourth Industrial Revolution;Complexity theory;Cyber Twins;Digital Twins;Industry 4.0;Digital Manufacturing</t>
  </si>
  <si>
    <t>87-95</t>
  </si>
  <si>
    <t>Digital Twins-based Application Development for Digital Manufacturing</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</si>
  <si>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</si>
  <si>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Zhang, Li-ze and Shen, Kuan</t>
  </si>
  <si>
    <t>2021 IEEE Far East NDT New Technology &amp; Application Forum (FENDT)</t>
  </si>
  <si>
    <t>10.1109/FENDT54151.2021.9749668</t>
  </si>
  <si>
    <t>9749668</t>
  </si>
  <si>
    <t>Image segmentation;Visualization;Three-dimensional displays;Volume measurement;Computed tomography;Image edge detection;Current measurement;3D CT image;volumetric measurement;spatial intuitionistic fuzzy C-means;3D region growing</t>
  </si>
  <si>
    <t>78-82</t>
  </si>
  <si>
    <t>A Volumetric Measurement Algorithm of Defects in 3D CT Image Based on Spatial Intuitionistic Fuzzy C-means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</si>
  <si>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</si>
  <si>
    <t>Cutumisu, Maria and Adams, Catherine and Glanfield, Florence and Yuen, Connie and Lu, Chang</t>
  </si>
  <si>
    <t>10.1109/TE.2021.3105938</t>
  </si>
  <si>
    <t>9568871</t>
  </si>
  <si>
    <t>Mathematical models;Programming profession;Problem-solving;Encoding;Education;Instruments;Computational modeling;Attitudes;computational thinking (CT);educational assessment;skills;structural equation modeling (SEM)</t>
  </si>
  <si>
    <t>177-183</t>
  </si>
  <si>
    <t>Using Structural Equation Modeling to Examine the Relationship Between Preservice Teachers’ Computational Thinking Attitudes and Skills</t>
  </si>
  <si>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</si>
  <si>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Zhao, Danqing and Li, Yatao</t>
  </si>
  <si>
    <t>2022 11th International Conference on Educational and Information Technology (ICEIT)</t>
  </si>
  <si>
    <t>10.1109/ICEIT54416.2022.9690630</t>
  </si>
  <si>
    <t>9690630</t>
  </si>
  <si>
    <t>Training;Printing;Solid modeling;Computational modeling;Virtual reality;Production;Information age;project-based learning;production-based learning;interdisciplinary learning;computational thinking;educational model</t>
  </si>
  <si>
    <t>10-15</t>
  </si>
  <si>
    <t>Research on the Educational Model of Computational Thinking Cultivation in Primary and Middle Schools Oriented to Production-Based Learning</t>
  </si>
  <si>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</si>
  <si>
    <t>Laime-Choque, Adriana Maria and Mamani-Calcina, Jorge Gilbert and Cardona-Reyes, Hector and Ponce-Aranibar, Maria Del Pilar and Vera-Vasquez, Cesar Gonzalo and Espinoza-Suarez, Silvia</t>
  </si>
  <si>
    <t>2022 XII International Conference on Virtual Campus (JICV)</t>
  </si>
  <si>
    <t>10.1109/JICV56113.2022.9934274</t>
  </si>
  <si>
    <t>9934274</t>
  </si>
  <si>
    <t>Training;Instruments;Computational thinking;ICT;Teachers in training</t>
  </si>
  <si>
    <t>Attitude towards Computational Thinking of in-service teachers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</si>
  <si>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</si>
  <si>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Mendoza Diaz, Noemi V. and Trytten, Deborah A. and Meier, Russ</t>
  </si>
  <si>
    <t>2022 IEEE Frontiers in Education Conference (FIE)</t>
  </si>
  <si>
    <t>10.1109/FIE56618.2022.9962501</t>
  </si>
  <si>
    <t>9962501</t>
  </si>
  <si>
    <t>Trajectory;Interviews;Engineering students;Programming profession;diversity;computational thinking;first year curriculum;persistence;matriculation</t>
  </si>
  <si>
    <t>Introductory Engineering Courses With Computational Thinking: The Impact of Educational Privilege and Engineering Major Entry Policy on Student Pathways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</si>
  <si>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</si>
  <si>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</si>
  <si>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9962686</t>
  </si>
  <si>
    <t>Education;Focusing;Proposals;Problem-solving;Programming profession;Robots;Guidelines</t>
  </si>
  <si>
    <t>A Framework for teaching programming in High School through Educational Robotics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</si>
  <si>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</si>
  <si>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</si>
  <si>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</si>
  <si>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9962398</t>
  </si>
  <si>
    <t>Knowledge engineering;Engineering profession;Solids;Mathematical models;Cognition;Software;Engineering students;Computational thinking;engineering students;electronic spreadsheets for learning;physics courses in engineering;professional skills</t>
  </si>
  <si>
    <t>Developing the computational thinking process in Physics courses, an empirical study for the learning of the rigid body concept in engineering students</t>
  </si>
  <si>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</si>
  <si>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Liu, Junjie and Xia, Xiaojun and Bai, Yi and Liu, Pingyao</t>
  </si>
  <si>
    <t>2022 4th International Conference on Computer Science and Technologies in Education (CSTE)</t>
  </si>
  <si>
    <t>10.1109/CSTE55932.2022.00043</t>
  </si>
  <si>
    <t>9973092</t>
  </si>
  <si>
    <t>Visualization;Technological innovation;Knowledge acquisition;Education;Focusing;Market research;Computational efficiency;computational thinking;micro:bit;instructional design</t>
  </si>
  <si>
    <t>198-201</t>
  </si>
  <si>
    <t>A Study of Micro:bit Teaching Design Based on the Development of Computational Thinking of Secondary School Students</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</si>
  <si>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</si>
  <si>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Costa, Rui and Neto, Alvaro Costa and Araújo, Cristiana and Henriques, Pedro Rangel</t>
  </si>
  <si>
    <t>2022 International Symposium on Computers in Education (SIIE)</t>
  </si>
  <si>
    <t>10.1109/SIIE56031.2022.9982346</t>
  </si>
  <si>
    <t>9982346</t>
  </si>
  <si>
    <t>Training;Shape;Music;Symbols;QR codes;Cognition;Computational efficiency;Computational Thinking;Visually Impaired Students Education;Inclusive learning;Special Education;Music based Teaching;Assessment</t>
  </si>
  <si>
    <t>A Framework to Assess Melodic Effectiveness in Training Computational Thinking to Visually Impaired People</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</si>
  <si>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</si>
  <si>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</si>
  <si>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2022 IEEE 40th Central America and Panama Convention (CONCAPAN)</t>
  </si>
  <si>
    <t>10.1109/CONCAPAN48024.2022.9997660</t>
  </si>
  <si>
    <t>9997660</t>
  </si>
  <si>
    <t>Morphology;Debugging;Organizations;Programming;Electronic waste;Software;Behavioral sciences;STEM;BEAM;Computational Thinking;WEEE;Educational robotics</t>
  </si>
  <si>
    <t>A STEM Course for Computational Thinking Development with BEAM Robotics</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</si>
  <si>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</si>
  <si>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</si>
  <si>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2022 4th International Conference on Inventive Research in Computing Applications (ICIRCA)</t>
  </si>
  <si>
    <t>10.1109/ICIRCA54612.2022.9985593</t>
  </si>
  <si>
    <t>9985593</t>
  </si>
  <si>
    <t>Flowcharts;Humanities;Computational modeling;Software algorithms;Data visualization;Search problems;Software;Computational thinking;Problem solving skills;Flowcharts;K12 education</t>
  </si>
  <si>
    <t>697-701</t>
  </si>
  <si>
    <t>Impact of Computational Thinking in Engineering and K12 Education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</si>
  <si>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</si>
  <si>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Buchanan, Sarah A. and Gracy, Karen F. and Kitchens, Joshua and Marciano, Richard</t>
  </si>
  <si>
    <t>2022 IEEE International Conference on Big Data (Big Data)</t>
  </si>
  <si>
    <t>10.1109/BigData55660.2022.10021019</t>
  </si>
  <si>
    <t>10021019</t>
  </si>
  <si>
    <t>Training;Automation;Engineering profession;Employment;Machine learning;Big Data;Libraries;computational thinking;archival education;network of networks;digital archives;Jupyter Notebooks</t>
  </si>
  <si>
    <t>2500-2506</t>
  </si>
  <si>
    <t>Computational Thinking Integration into Archival Educators’ Networked Instruction</t>
  </si>
  <si>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</si>
  <si>
    <t>Yang, Dazhi and Feng, Shi</t>
  </si>
  <si>
    <t>2022 IEEE Integrated STEM Education Conference (ISEC)</t>
  </si>
  <si>
    <t>10.1109/ISEC54952.2022.10025038</t>
  </si>
  <si>
    <t>10025038</t>
  </si>
  <si>
    <t>2330-331X</t>
  </si>
  <si>
    <t>Technological innovation;Satellites;Education;Collaboration;Stakeholders;Computational thinking;Integrated STEM;Project-based learning;Researcher - practitioner partnership</t>
  </si>
  <si>
    <t>238-240</t>
  </si>
  <si>
    <t>A Collaborative Approach to Integrate Computational Thinking in an Integrated STEM Curriculum</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</si>
  <si>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</si>
  <si>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Zhao, Miaomiao and Hu, Weixing</t>
  </si>
  <si>
    <t>2022 3rd International Conference on Education, Knowledge and Information Management (ICEKIM)</t>
  </si>
  <si>
    <t>10.1109/ICEKIM55072.2022.00225</t>
  </si>
  <si>
    <t>10027412</t>
  </si>
  <si>
    <t>Training;Analytical models;Systematics;Computational modeling;Information processing;Information management;Problem-solving;component;Computation;Computational thinking;Middle school information technology class</t>
  </si>
  <si>
    <t>1037-1040</t>
  </si>
  <si>
    <t>A practical research on the training of middle school students' computational thinking based on problem solving in systematic information process view</t>
  </si>
  <si>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</si>
  <si>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Xie, Zerong and Radloff, Jeffrey and Wong, Gary K. W. and Yeter, Ibrahim H.</t>
  </si>
  <si>
    <t>2022 IEEE International Conference on Teaching, Assessment and Learning for Engineering (TALE)</t>
  </si>
  <si>
    <t>10.1109/TALE54877.2022.00096</t>
  </si>
  <si>
    <t>10148299</t>
  </si>
  <si>
    <t>Training;Systematics;Computational modeling;Knowledge based systems;Buildings;Problem-solving;Computational thinking;review of reviews;K-12 education</t>
  </si>
  <si>
    <t>548-553</t>
  </si>
  <si>
    <t>The Future Nexus of Computational Thinking Education: A Preliminary Systematic Review of Reviews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</si>
  <si>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</si>
  <si>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Lin, Ting -Jun and Yeter, Ibrahim H. and Jiang, Shiyan and Yaşar, Osman and Looi, Chee -Kit</t>
  </si>
  <si>
    <t>10.1109/TALE54877.2022.00150</t>
  </si>
  <si>
    <t>10148557</t>
  </si>
  <si>
    <t>Knowledge engineering;Systematics;Databases;Bibliographies;Education;Internet;Lenses;K-8;Computational thinking;Pedagogical content knowledge;Systematic literature review;Primary education</t>
  </si>
  <si>
    <t>810-813</t>
  </si>
  <si>
    <t>A Systematic Literature Review of Computational Thinking in K-8 Education Setting Through The Lens Of a Pedagogical Content Knowledge Analysis</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</si>
  <si>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</si>
  <si>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Yin, Stella Xin</t>
  </si>
  <si>
    <t>10.1109/TALE54877.2022.00147</t>
  </si>
  <si>
    <t>10148486</t>
  </si>
  <si>
    <t>Education;Psychology;Programming profession;computational thinking;primary education;basic psychological needs satisfaction;motivation</t>
  </si>
  <si>
    <t>799-801</t>
  </si>
  <si>
    <t>The Role of Basic Psychological Needs Satisfaction in Primary Student’s Computational Thinking Development</t>
  </si>
  <si>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</si>
  <si>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Pietros, Jennifer and Sweetman, Sara and Shim, Minsuk</t>
  </si>
  <si>
    <t>2022 International Conference on Computational Science and Computational Intelligence (CSCI)</t>
  </si>
  <si>
    <t>10.1109/CSCI58124.2022.00370</t>
  </si>
  <si>
    <t>10216466</t>
  </si>
  <si>
    <t>2769-5654</t>
  </si>
  <si>
    <t>Surveys;Computer science;Scientific computing;Education;Computational intelligence;Computational thinking;elementary science;teacher practices</t>
  </si>
  <si>
    <t>2059-2065</t>
  </si>
  <si>
    <t>Teacher Practices for Computational Thinking Implementation in Elementary Science</t>
  </si>
  <si>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</si>
  <si>
    <t>Li, Hanyue and Shen, Yuting and Cantatore, Eugenio and Harpe, Pieter</t>
  </si>
  <si>
    <t>10.1109/JSSC.2022.3227678</t>
  </si>
  <si>
    <t>9989513</t>
  </si>
  <si>
    <t>Analog-digital conversion;Transfer functions;Bandwidth;Registers;Switches;Quantization (signal);Clocks;Anti-aliasing;continuous time (CT);current steering;duty-cycled integrator;noise-shaping successive-approximation-register (NS-SAR) analog-to-digital converter (ADC)</t>
  </si>
  <si>
    <t>939-948</t>
  </si>
  <si>
    <t>A 77.3-dB SNDR 62.5-kHz Bandwidth Continuous-Time Noise-Shaping SAR ADC With Duty-Cycled Gm-C Integrator</t>
  </si>
  <si>
    <t>58</t>
  </si>
  <si>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</si>
  <si>
    <t>Hsu, Ting-Chia and Chang, Ching and Liang, Yi-Sian</t>
  </si>
  <si>
    <t>10.1109/TLT.2023.3249749</t>
  </si>
  <si>
    <t>10058022</t>
  </si>
  <si>
    <t>Games;Anxiety disorders;Task analysis;Erbium;Vocabulary;Problem-solving;Educational robots;Collaborative learning tools;design of activities;educational games;interdisciplinary practices;mobile and personal devices</t>
  </si>
  <si>
    <t>256-265</t>
  </si>
  <si>
    <t>Sequential Behavior Analysis of Interdisciplinary Activities in Computational Thinking and EFL Learning With Game-Based Learning</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</si>
  <si>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</si>
  <si>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</si>
  <si>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2023 IEEE 12th International Conference on Educational and Information Technology (ICEIT)</t>
  </si>
  <si>
    <t>10.1109/ICEIT57125.2023.10107843</t>
  </si>
  <si>
    <t>10107843</t>
  </si>
  <si>
    <t>Education;Urban areas;Collaboration;Data models;Problem-solving;Information technology;Task analysis;game-based learning;gamification programming;computational thinking;high school information technology</t>
  </si>
  <si>
    <t>144-149</t>
  </si>
  <si>
    <t>Research on the Application of Gamification Programming Teaching for High School Students’ Computational Thinking Development</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</si>
  <si>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</si>
  <si>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</si>
  <si>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2023 IEEE Global Engineering Education Conference (EDUCON)</t>
  </si>
  <si>
    <t>10.1109/EDUCON54358.2023.10125117</t>
  </si>
  <si>
    <t>10125117</t>
  </si>
  <si>
    <t>Visualization;Writing;Encoding;Pattern recognition;Problem-solving;Task analysis;Programming profession;Drone Technology;Coding;Computational Thinking;Block-based Programming;Tello Edu Drones</t>
  </si>
  <si>
    <t>Developing Computational Thinking in STEM Education with Drones</t>
  </si>
  <si>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</si>
  <si>
    <t>Sommer, Florian and Kriesten, Reiner and Kargl, Frank</t>
  </si>
  <si>
    <t>10.1109/ACCESS.2023.3282176</t>
  </si>
  <si>
    <t>10143175</t>
  </si>
  <si>
    <t>Testing;Unified modeling language;Security;Automotive engineering;Modeling;Mathematical models;Surveys;Automotive security;model-based testing;model-based security testing</t>
  </si>
  <si>
    <t>55474-55514</t>
  </si>
  <si>
    <t>Survey of Model-Based Security Testing Approaches in the Automotive Domain</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</si>
  <si>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</si>
  <si>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</si>
  <si>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2023 46th MIPRO ICT and Electronics Convention (MIPRO)</t>
  </si>
  <si>
    <t>10.23919/MIPRO57284.2023.10159750</t>
  </si>
  <si>
    <t>10159750</t>
  </si>
  <si>
    <t>2623-8764</t>
  </si>
  <si>
    <t>Correlation;Soft sensors;Education;Social sciences;Data science;History;Pupils;Critical Thinking;Computational Thinking;STEM;non-STEM;Data Science;programming;Python;history;Trans-Atlantic Slave Trade routes</t>
  </si>
  <si>
    <t>672-677</t>
  </si>
  <si>
    <t>Fostering Critical and Computational Thinking in the Field of Primary and Secondary Education in non-STEM Subjects by Using Data Sets and Applications</t>
  </si>
  <si>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</si>
  <si>
    <t>Leong, Kennith Kin and Ferianz, Thomas and Bernardon, Derek and Dias De Menezes, Diego and Sun, Bainan</t>
  </si>
  <si>
    <t>PCIM Europe 2023; International Exhibition and Conference for Power Electronics, Intelligent Motion, Renewable Energy and Energy Management</t>
  </si>
  <si>
    <t>10.30420/566091014</t>
  </si>
  <si>
    <t>10173117</t>
  </si>
  <si>
    <t>CT-Drive – A Simple Two Dice Solution Coreless Transformer Driver for Integrated GaN GIT Devices</t>
  </si>
  <si>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</si>
  <si>
    <t>Baidal-Bustamante, Eduardo and Mora, César and Alvarez-Alvarado, Manuel S.</t>
  </si>
  <si>
    <t>10.1109/TE.2023.3283850</t>
  </si>
  <si>
    <t>10181109</t>
  </si>
  <si>
    <t>Education;Physics;Systems thinking;Solid modeling;Art;STEM;Problem-solving;Academic performance;project-based learning (PBL);science;technology;engineering;the arts;mathematics model (STEAM);teaching methodologies</t>
  </si>
  <si>
    <t>632-641</t>
  </si>
  <si>
    <t>STEAM Project-Based Learning Approach to Enhance Teaching-Learning Process in the Topic of Pascal’s Principle</t>
  </si>
  <si>
    <t>66</t>
  </si>
  <si>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</si>
  <si>
    <t>Li, Bei and Xiao, Tian and Zhu, Xiaomeng and Li, Fuchang and Jia, Xueqin and Guo, Xi and Zhou, Anshun and Huo, Mingde and Xu, Lexi and Liu, Guanghai</t>
  </si>
  <si>
    <t>2023 IEEE International Symposium on Broadband Multimedia Systems and Broadcasting (BMSB)</t>
  </si>
  <si>
    <t>10.1109/BMSB58369.2023.10211100</t>
  </si>
  <si>
    <t>10211100</t>
  </si>
  <si>
    <t>2155-5052</t>
  </si>
  <si>
    <t>Federated learning;Collaboration;Broadcasting;Blockchains;Encryption;Broadband communication;Security;Network co-construction and sharing;ICDT;Blockchain;Federal learning</t>
  </si>
  <si>
    <t>June},</t>
  </si>
  <si>
    <t>Blockchain Enabled Trustworthy Management Scheme for Network Co-Construction and Sharing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</si>
  <si>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</si>
  <si>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Chen, Jiefei</t>
  </si>
  <si>
    <t>2023 5th International Conference on Computer Science and Technologies in Education (CSTE)</t>
  </si>
  <si>
    <t>10.1109/CSTE59648.2023.00021</t>
  </si>
  <si>
    <t>10261627</t>
  </si>
  <si>
    <t>Education;Programming profession;Faces;computational thinking;programming;activity design</t>
  </si>
  <si>
    <t>81-85</t>
  </si>
  <si>
    <t>Study on Teaching Programming in Adult Colleges Based on the Cultivation of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</si>
  <si>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</si>
  <si>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</si>
  <si>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</si>
  <si>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10261600</t>
  </si>
  <si>
    <t>Education;Artificial intelligence;Programming profession;computational thinking;computer-assisted learning;graphical programing;teaching interaction</t>
  </si>
  <si>
    <t>10-14</t>
  </si>
  <si>
    <t>Design and Effectiveness Analysis of Interactive Strategies for Teaching Graphical Programming Oriented to Cultivate Computational Thinking</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</si>
  <si>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</si>
  <si>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Geremias, Matheus Soppa and Dutra, Taynara Cerigueli and Gasparini, Isabela and Maschio, Eleandro</t>
  </si>
  <si>
    <t>2023 IEEE International Conference on Advanced Learning Technologies (ICALT)</t>
  </si>
  <si>
    <t>10.1109/ICALT58122.2023.00036</t>
  </si>
  <si>
    <t>10260990</t>
  </si>
  <si>
    <t>Technical requirements;Computer science;Heat treatment;Design methodology;Education;Games;Pattern recognition;computational thinking;educational digital games;intellectual disability</t>
  </si>
  <si>
    <t>105-107</t>
  </si>
  <si>
    <t>An Educational Game to Promote the Development of Computational Thinking in Children Both Neurotypical and with Intellectual Disabilities</t>
  </si>
  <si>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</si>
  <si>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Muñoz, Rene Fabián Zúñiga and Alegría, Julio Ariel Hurtado and Robles, Gregorio</t>
  </si>
  <si>
    <t>10.1109/RITA.2023.3323762</t>
  </si>
  <si>
    <t>10280127</t>
  </si>
  <si>
    <t>1932-8540</t>
  </si>
  <si>
    <t>IEEE Revista Iberoamericana de Tecnologias del Aprendizaje</t>
  </si>
  <si>
    <t>Proposals;Systematics;Programming profession;Reliability;Data mining;Training;Problem-solving;STEM;Education;Computational modeling;Computational thinking;assessment;education;STEM</t>
  </si>
  <si>
    <t>319-330</t>
  </si>
  <si>
    <t>Assessment of Computational Thinking Skills: A Systematic Review of the Literature</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</si>
  <si>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</si>
  <si>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</si>
  <si>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</si>
  <si>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10327734</t>
  </si>
  <si>
    <t>Reliability;Instruments;Engineering students;Computational modeling;Programming profession;Reliability engineering;Analytical models;Computer science education;User experience;Computer science education;computational thinking;diagnostic method;student assessment tools;engineering education;first-year engineering student experience;quantitative research methods;retention;validity;factor analysis</t>
  </si>
  <si>
    <t>133099-133114</t>
  </si>
  <si>
    <t>Development and Validation of the Engineering Computational Thinking Diagnostic for Undergraduate Students</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</si>
  <si>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</si>
  <si>
    <t>Grammatikos, Nikolaos Antonios and Anagnostopoulou, Evangelia and Apostolou, Dimitris and Mentzas, Gregoris</t>
  </si>
  <si>
    <t>2023 14th International Conference on Information, Intelligence, Systems &amp; Applications (IISA)</t>
  </si>
  <si>
    <t>10.1109/IISA59645.2023.10345918</t>
  </si>
  <si>
    <t>10345918</t>
  </si>
  <si>
    <t>Ethics;Prototypes;Information sharing;Educational technology;Learning (artificial intelligence);Cognition;Artificial intelligence;conversational digital assistant;AI agent;STEM learning;education</t>
  </si>
  <si>
    <t>A Conversational Digital Assistant for STEM Education</t>
  </si>
  <si>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</si>
  <si>
    <t>Zhu, Zhifang and Zhang, Yi and Zhu, Wanze and Ma, Jingsi</t>
  </si>
  <si>
    <t>2023 International Symposium on Educational Technology (ISET)</t>
  </si>
  <si>
    <t>10.1109/ISET58841.2023.00027</t>
  </si>
  <si>
    <t>10361064</t>
  </si>
  <si>
    <t>2766-2144</t>
  </si>
  <si>
    <t>Anxiety disorders;Educational technology;Problem-solving;computational thinking;academic achievement;problem-solving ability;learning anxiety;elementary</t>
  </si>
  <si>
    <t>94-98</t>
  </si>
  <si>
    <t>Computational Thinking and Academic Achievement: The Mediator Roles of Problem-solving Ability and Learning Anxiety</t>
  </si>
  <si>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</si>
  <si>
    <t>Alharbi, Noha Abdulkhalig M. and Cutts, Quintin I.</t>
  </si>
  <si>
    <t>2023 IEEE Frontiers in Education Conference (FIE)</t>
  </si>
  <si>
    <t>10.1109/FIE58773.2023.10342646</t>
  </si>
  <si>
    <t>10342646</t>
  </si>
  <si>
    <t>Computer science;Surveys;Computational modeling;Education;Mathematical models;Problem-solving;Iterative methods;K-12;Computer Science Education;Computational Thinking</t>
  </si>
  <si>
    <t>An Elaboration of Research Led Computer Science Framework for Early Education</t>
  </si>
  <si>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</si>
  <si>
    <t>Kalathas, Paris and Parham-Mocello, Jennifer</t>
  </si>
  <si>
    <t>10.1109/FIE58773.2023.10343081</t>
  </si>
  <si>
    <t>10343081</t>
  </si>
  <si>
    <t>Computer science;Uncertainty;Education;Government;Mathematics;Computer science;computational thinking;K-12;teachers;integrated curriculum;mathematics;teacher development;Math + CS</t>
  </si>
  <si>
    <t>Oct</t>
  </si>
  <si>
    <t>Math+CS: Comparing Teaching Candidates in a Methods Course and Pre-Service Teachers in a Math and Technology Course</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</si>
  <si>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</si>
  <si>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</si>
  <si>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2023 IEEE International Conference on Teaching, Assessment and Learning for Engineering (TALE)</t>
  </si>
  <si>
    <t>10.1109/TALE56641.2023.10398308</t>
  </si>
  <si>
    <t>10398308</t>
  </si>
  <si>
    <t>Education;Personal digital devices;Data collection;Problem-solving;Programming profession;computational thinking;programming;unplugged activities;lower secondary school students</t>
  </si>
  <si>
    <t>Nov</t>
  </si>
  <si>
    <t>Computational Thinking Activities in High Schools to Enhance Interest and Skills in Programming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</si>
  <si>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</si>
  <si>
    <t>Machuqueiro, Fábio and Piedade, João</t>
  </si>
  <si>
    <t>2023 International Symposium on Computers in Education (SIIE)</t>
  </si>
  <si>
    <t>10.1109/SIIE59826.2023.10423693</t>
  </si>
  <si>
    <t>10423693</t>
  </si>
  <si>
    <t>2476-2172</t>
  </si>
  <si>
    <t>Analytical models;Adaptation models;Systematics;Computational modeling;Games;Medical services;Context modeling;Computational Thinking;Game Mechanics;Modern Board Games</t>
  </si>
  <si>
    <t>Exploring the Potential of Modern Board Games to Support Computational Thinking</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</si>
  <si>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</si>
  <si>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Yunianto, Wahid and Bautista, Guillermo and Indra Prahmana, Rully Charitas and Lavicza, Zsolt</t>
  </si>
  <si>
    <t>10.1109/SIIE59826.2023.10423707</t>
  </si>
  <si>
    <t>10423707</t>
  </si>
  <si>
    <t>Design methodology;Education;Debugging;Mathematics;Task analysis;Programming profession;Video recording;computational thinking;programming;debugging;mathematics;inscribed polygon;circle</t>
  </si>
  <si>
    <t>GeoGebra applet to learn programming and debugging in mathematics lessons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</si>
  <si>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</si>
  <si>
    <t>Lee, Chien-Sing</t>
  </si>
  <si>
    <t>2023 18th International Conference on Intelligent Systems and Knowledge Engineering (ISKE)</t>
  </si>
  <si>
    <t>10.1109/ISKE60036.2023.10481204</t>
  </si>
  <si>
    <t>10481204</t>
  </si>
  <si>
    <t>Technological innovation;Instruments;Heuristic algorithms;Biological system modeling;Supply chains;Electronic commerce;Cultural differences;metaverse;sustainable investing;UNEP;circular economy;design thinking;Lifecycle Thinking;computational thinking;reform asset management theory;intrinsic;instrumental;cultural values;ontological design potentials;knowledgerequirements engineering</t>
  </si>
  <si>
    <t>Developing a Knowledge-Requirements Engineering Framework towards Transformative Metaverses/(Eco)Systems/Ecologies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</si>
  <si>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</si>
  <si>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</si>
  <si>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2023 Congress in Computer Science, Computer Engineering, &amp; Applied Computing (CSCE)</t>
  </si>
  <si>
    <t>10.1109/CSCE60160.2023.00181</t>
  </si>
  <si>
    <t>10487449</t>
  </si>
  <si>
    <t>Codes;Source coding;High performance computing;Prototypes;Cloning;Programming;Syntactics;Automatic evaluation;computational thinking;source code analysis;abstract syntax trees</t>
  </si>
  <si>
    <t>July</t>
  </si>
  <si>
    <t>1090-1095</t>
  </si>
  <si>
    <t>Towards the Assessment of Basic Computational Thinking Skills Using Syntactic Analysis Techniques</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</si>
  <si>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</si>
  <si>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Zeng, Xinyao and Zhang, Wei and Chen, Yi and Chen, Hao</t>
  </si>
  <si>
    <t>2023 5th International Workshop on Artificial Intelligence and Education (WAIE)</t>
  </si>
  <si>
    <t>10.1109/WAIE60568.2023.00024</t>
  </si>
  <si>
    <t>10496935</t>
  </si>
  <si>
    <t>Training;Machine learning algorithms;Conferences;Machine learning;Data models;Robustness;Computational thinking;XGBoost;Assessment indicators;Indicator weight</t>
  </si>
  <si>
    <t>Sep.</t>
  </si>
  <si>
    <t>90-95</t>
  </si>
  <si>
    <t>A Method for Assigning Weight to the Assessment Indicators of Computational Thinking with XGBoost</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</si>
  <si>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</si>
  <si>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He, Yujie and Deng, Wei and Liu, Meijuan</t>
  </si>
  <si>
    <t>2023 Twelfth International Conference of Educational Innovation through Technology (EITT)</t>
  </si>
  <si>
    <t>10.1109/EITT61659.2023.00011</t>
  </si>
  <si>
    <t>10513387</t>
  </si>
  <si>
    <t>Technological innovation;Games;Programming profession;unplugged programming;gamified instruction;computational thinking;curriculum design;elementary and middle school programming</t>
  </si>
  <si>
    <t>Dec</t>
  </si>
  <si>
    <t>17-22</t>
  </si>
  <si>
    <t>Design and Application of a Game Activity-Based Unplugged Programming Curriculum for Elementary Schools</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</si>
  <si>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</si>
  <si>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Pale-Parra, Daniel and Pérez-Salazar, Christian and Sánchez-García, Ángel J. and Ocharán-Hernández, Jorge Octavio</t>
  </si>
  <si>
    <t>2023 11th International Conference in Software Engineering Research and Innovation (CONISOFT)</t>
  </si>
  <si>
    <t>10.1109/CONISOFT58849.2023.00026</t>
  </si>
  <si>
    <t>10568269</t>
  </si>
  <si>
    <t>Technological innovation;Systematics;Bibliographies;Games;Programming;Software engineering;Computational thinking;web system;Learning;Software Engineering;students</t>
  </si>
  <si>
    <t>132-139</t>
  </si>
  <si>
    <t>Web Systems for the Development of Computational Thinking in Software Engineering Students: A Systematic Literature Review</t>
  </si>
  <si>
    <t>Handschuh, Stephan and Schwaha, Thomas</t>
  </si>
  <si>
    <t>Doors to Hidden Worlds: The Power of Visualization in Science, Media, and Art</t>
  </si>
  <si>
    <t>10789643</t>
  </si>
  <si>
    <t>9783111250120</t>
  </si>
  <si>
    <t>Microscopy;Imaging;Biology;Three-dimensional displays;Data visualization;Scanning electron microscopy;Computed tomography;Morphology;Image segmentation;Animals</t>
  </si>
  <si>
    <t>269-292</t>
  </si>
  <si>
    <t>De Gruyter</t>
  </si>
  <si>
    <t>Journeys into the Hidden Microscopic World</t>
  </si>
  <si>
    <t>https://ieeexplore.ieee.org/document/10789643</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</si>
  <si>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</si>
  <si>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Mangina, Eleni and Psyrra, Georgia and Screpanti, Laura and Scaradozzi, David</t>
  </si>
  <si>
    <t>10.1109/TLT.2023.3266631</t>
  </si>
  <si>
    <t>10100903</t>
  </si>
  <si>
    <t>Education;Robots;Erbium;Databases;Bibliographies;Aging;STEM;Educational robotics (ER);K-12;robotics applications and frameworks;STEM (Science;Technology;Engineering;Mathematics)</t>
  </si>
  <si>
    <t>342-363</t>
  </si>
  <si>
    <t>Robotics in the Context of Primary and Preschool Education: A Scoping Review</t>
  </si>
  <si>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</si>
  <si>
    <t>10.1109/TLT.2023.3311331</t>
  </si>
  <si>
    <t>10237297</t>
  </si>
  <si>
    <t>270-279</t>
  </si>
  <si>
    <t>Sequential Behavior Analysis of Interdisciplinary Activities in Computational Thinking and EFL Language Learning With Game-Based Learning</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</si>
  <si>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</si>
  <si>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González-Pizarro, Felipe and López, Claudia and Vásquez, Andrea and Castro, Carlos</t>
  </si>
  <si>
    <t>10.1109/TE.2023.3334193</t>
  </si>
  <si>
    <t>10345555</t>
  </si>
  <si>
    <t>Programming profession;Training;Education;Conferences;Public policy;Engineering students;Codes;Computational thinking;engineering education;gender;Latin America;public/private schools</t>
  </si>
  <si>
    <t>April</t>
  </si>
  <si>
    <t>180-189</t>
  </si>
  <si>
    <t>Inequalities in Computational Thinking Among Incoming Students in an STEM Chilean University</t>
  </si>
  <si>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</si>
  <si>
    <t>Zhang, Ying and Wong, Gary K.W.</t>
  </si>
  <si>
    <t>2024 IEEE Global Engineering Education Conference (EDUCON)</t>
  </si>
  <si>
    <t>10.1109/EDUCON60312.2024.10578653</t>
  </si>
  <si>
    <t>10578653</t>
  </si>
  <si>
    <t>Systematics;Reviews;Knowledge acquisition;Solids;Data processing;Mathematics;Engineering education;Computational thinking;Mathematics;Early childhood education;STEM;STEAM</t>
  </si>
  <si>
    <t>May</t>
  </si>
  <si>
    <t>1-10</t>
  </si>
  <si>
    <t>Exploring the Interplay of Computational Thinking and Mathematics in Early Childhood Education: A Systematic Review</t>
  </si>
  <si>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</si>
  <si>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Zhang, Xiaoling and Aivaloglou, Efthimia and Specht, Marcus</t>
  </si>
  <si>
    <t>10.1109/EDUCON60312.2024.10578887</t>
  </si>
  <si>
    <t>10578887</t>
  </si>
  <si>
    <t>Training;Surveys;Computer science;Correlation;Conferences;Europe;Position measurement;Computational Thinking;Higher Education;Teachers;Perceptions;UTAUT</t>
  </si>
  <si>
    <t>Teachers' Intention to Integrate Computational Thinking Skills in Higher Education: A Survey Study in the Netherlands</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</si>
  <si>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</si>
  <si>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de Araújo, Adorilson Bezerra</t>
  </si>
  <si>
    <t>2024 International Symposium on Computers in Education (SIIE)</t>
  </si>
  <si>
    <t>10.1109/SIIE63180.2024.10604444</t>
  </si>
  <si>
    <t>10604444</t>
  </si>
  <si>
    <t>Knowledge engineering;Computers;Adaptation models;Engineering profession;Education;Software;Distributed Bragg reflectors;high school;scaffolding;learning programming;teaching programming;career and technical education</t>
  </si>
  <si>
    <t>June</t>
  </si>
  <si>
    <t>An Interactive Web Environment to Foster Learning Programming at the High School Level</t>
  </si>
  <si>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</si>
  <si>
    <t>Nobnop, Ratchanon and Chondamrongkul, Nacha and Temdee, Punnarumol</t>
  </si>
  <si>
    <t>2024 5th Technology Innovation Management and Engineering Science International Conference (TIMES-iCON)</t>
  </si>
  <si>
    <t>10.1109/TIMES-iCON61890.2024.10630739</t>
  </si>
  <si>
    <t>10630739</t>
  </si>
  <si>
    <t>Games;Strategic planning;Innovation management;Animation;Particle measurements;Real-time systems;Problem-solving;Computational Thinking;Educational game;Game features;Self-efficacy</t>
  </si>
  <si>
    <t>Assessing Self-Efficacy Method for Enhancing Computational Thinking in Educational Game Environment</t>
  </si>
  <si>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</si>
  <si>
    <t>Câmara, Joana and Silva, Ana Rita Sousa e and Paulino, Teresa and Badia, Sergi Bermúdez i and Vilar, Manuela and Fermé, Eduardo</t>
  </si>
  <si>
    <t>2024 IEEE 12th International Conference on Serious Games and Applications for Health (SeGAH)</t>
  </si>
  <si>
    <t>10.1109/SeGAH61285.2024.10639593</t>
  </si>
  <si>
    <t>10639593</t>
  </si>
  <si>
    <t>2573-3060</t>
  </si>
  <si>
    <t>Training;Learning systems;Sequential analysis;Prototypes;Encoding;Serious games;Reliability;Bilateral thalamic stroke;cognitive training;interactive technologies;ecological validity</t>
  </si>
  <si>
    <t>Aug</t>
  </si>
  <si>
    <t>Ecologically Valid Tablet-based Cognitive Training: A Case Report of a Bilateral Thalamic Stroke Patient</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</si>
  <si>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</si>
  <si>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</si>
  <si>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2024 IEEE International Conference on Advanced Learning Technologies (ICALT)</t>
  </si>
  <si>
    <t>10.1109/ICALT61570.2024.00071</t>
  </si>
  <si>
    <t>10645865</t>
  </si>
  <si>
    <t>Codes;Education;Games;Writing;Cognitive load;Encoding;Pattern recognition;Augmented reality;computational thinking;game-based learning;cognitive load</t>
  </si>
  <si>
    <t>222-226</t>
  </si>
  <si>
    <t>Effectiveness of marker-based augmented reality game on computational thinking skills and cognitive load for middle school students</t>
  </si>
  <si>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</si>
  <si>
    <t>Su, Yu-Sheng and Wang, Xiao and Zhao, Li</t>
  </si>
  <si>
    <t>10.1109/TE.2024.3424423</t>
  </si>
  <si>
    <t>10676315</t>
  </si>
  <si>
    <t>Instruments;Pupils;Problem-solving;Education;Programming profession;Reliability;Creativity;Classroom learning;computational thinking (CT);evaluation framework;pupils</t>
  </si>
  <si>
    <t>878-888</t>
  </si>
  <si>
    <t>Constructing a Computational Thinking Evaluation Framework for Pupils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</si>
  <si>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</si>
  <si>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</si>
  <si>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2024 International Symposium on Educational Technology (ISET)</t>
  </si>
  <si>
    <t>10.1109/ISET61814.2024.00081</t>
  </si>
  <si>
    <t>10685695</t>
  </si>
  <si>
    <t>Graphics;Educational technology;Artificial intelligence;Programming profession;Standards;Computational Thinking;Graphical Programming;Teaching</t>
  </si>
  <si>
    <t>376-380</t>
  </si>
  <si>
    <t>Design and implementation of a graphical programming class for computational thinking in elementary schools</t>
  </si>
  <si>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</si>
  <si>
    <t>Zhang, lifeng and zhang Yihui</t>
  </si>
  <si>
    <t>10745900</t>
  </si>
  <si>
    <t>The Development of The Trusted Digital Identity Industry In Future Networks</t>
  </si>
  <si>
    <t>communication;communication network identity;digital identity;Industry Connections;network identity;white paper</t>
  </si>
  <si>
    <t>1-21</t>
  </si>
  <si>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</si>
  <si>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Berbesi, Thamara Villegas and Pineda Vivas, Jorge A.</t>
  </si>
  <si>
    <t>2024 IEEE ANDESCON</t>
  </si>
  <si>
    <t>10.1109/ANDESCON61840.2024.10755880</t>
  </si>
  <si>
    <t>10755880</t>
  </si>
  <si>
    <t>2996-895X</t>
  </si>
  <si>
    <t>COVID-19;Learning systems;Automation;Pandemics;Distance learning;Education;Problem-solving;Programming profession;Diagram Programming;PLC;logical thinking;computational thinking;Problem-Based Learning (PBL)</t>
  </si>
  <si>
    <t>Ladder Diagram Programming Systematization Through Active PBL Teaching</t>
  </si>
  <si>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</si>
  <si>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Ghazali, Khadijah Wan Mohd and Osman, Mashanum and Othman, Zuraini and Omar, Masitah Seikh</t>
  </si>
  <si>
    <t>2024 International Conference on TVET Excellence &amp; Development (ICTeD)</t>
  </si>
  <si>
    <t>10.1109/ICTeD62334.2024.10844653</t>
  </si>
  <si>
    <t>10844653</t>
  </si>
  <si>
    <t>Training;Leadership;Scalability;Computational modeling;Market research;Problem-solving;Sustainable development;Standards;Immersive learning;Context modeling;Computational Thinking;Secondary Education;Project-Based Learning;Immersive Learning</t>
  </si>
  <si>
    <t>20-25</t>
  </si>
  <si>
    <t>Integrating Computational Thinking Skills in Secondary Education: a Feasibility Study</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</si>
  <si>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</si>
  <si>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2024 IEEE Frontiers in Education Conference (FIE)</t>
  </si>
  <si>
    <t>10.1109/FIE61694.2024.10893507</t>
  </si>
  <si>
    <t>10893507</t>
  </si>
  <si>
    <t>TV;Education;Programming profession;Guidelines</t>
  </si>
  <si>
    <t>Understanding CTProgER's Impact on High School Students' Programming Learning</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</si>
  <si>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</si>
  <si>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</si>
  <si>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</si>
  <si>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10892928</t>
  </si>
  <si>
    <t>Technological innovation;Educational robots;Heuristic algorithms;Hardware;Teamwork;Satellite images;Particle swarm optimization;Programming profession;Drones;Python;Nano drone;uncrewed system;robotics;flight operations</t>
  </si>
  <si>
    <t>Work-in-Progress: Using Nano Drone and RaspberryPi to Teach Robotics and Programming in Online Undergraduate Course</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</si>
  <si>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</si>
  <si>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Espinal, Alejandro and Vieira, Camilo and Bredder, Eric and Chiu, Jennie and Wilkens, Kim</t>
  </si>
  <si>
    <t>10.1109/FIE61694.2024.10893178</t>
  </si>
  <si>
    <t>10893178</t>
  </si>
  <si>
    <t>Soft sensors;Education;Toy manufacturing industry;Reflection;Object recognition;Computer;Science;Computational Thinking;Professional Development</t>
  </si>
  <si>
    <t>WIP: Professional Learning in Computational Thinking for Early Childhood Teachers in Latin America</t>
  </si>
  <si>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</si>
  <si>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Dehbozorgi, Nasrin and Nezafati, Maysam and Roopaei, Mehdi</t>
  </si>
  <si>
    <t>10.1109/FIE61694.2024.10892914</t>
  </si>
  <si>
    <t>10892914</t>
  </si>
  <si>
    <t>Bridges;Surveys;Industries;Logic gates;Problem-solving;Surges;Engineering education;Artificial intelligence;Standards;Software engineering;Computational Thinking;Software Engineering;Engineering Education</t>
  </si>
  <si>
    <t>Integrating Computational Thinking Into the Curricula to Bridge the Skill Gap in Engineering Education</t>
  </si>
  <si>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</si>
  <si>
    <t>De la Rosa, Gabriela and Arboleda, Mariana and Vieira, Camilo and Parra, Juan David</t>
  </si>
  <si>
    <t>10.1109/FIE61694.2024.10893070</t>
  </si>
  <si>
    <t>10893070</t>
  </si>
  <si>
    <t>Training;Surveys;Data collection;Reliability;Computational thinking;Professional development;Content knowledge;Mixed-Methods;Program evaluation</t>
  </si>
  <si>
    <t>WIP: Mechanisms of Change - A Mixed-Methods Analysis of the Outcomes of a Computational Thinking Professional Development Program</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</si>
  <si>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</si>
  <si>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</si>
  <si>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</si>
  <si>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10669100</t>
  </si>
  <si>
    <t>Games;Formal concept analysis;Education;Lighting;Programming profession;Lattices;Robots;Attribute implications;formal concept analysis;light-bot;visualization</t>
  </si>
  <si>
    <t>Feb</t>
  </si>
  <si>
    <t>20-32</t>
  </si>
  <si>
    <t>Formal Concept Analysis of Students’ Solutions on Computational Thinking Game</t>
  </si>
  <si>
    <t>68</t>
  </si>
  <si>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</si>
  <si>
    <t>Kang, Junho and Han, Woosol and Kim, Suhwan and Jun, Jaehoon</t>
  </si>
  <si>
    <t>10.1109/TIM.2025.3548195</t>
  </si>
  <si>
    <t>10912703</t>
  </si>
  <si>
    <t>1557-9662</t>
  </si>
  <si>
    <t>IEEE Transactions on Instrumentation and Measurement</t>
  </si>
  <si>
    <t>Noise;Modulation;Accuracy;Linearity;Signal resolution;Integrated circuit modeling;Frequency measurement;Instruments;Semiconductor device measurement;Impedance;1/ f noise;capacitive-coupled instrumentation amplifier (CCIA);dynamic offset cancellation (DOC);high precision;incremental delta-sigma (ΔΣ) analog-to-digital converter (ADC);next-generation sensor system;read-out integrated circuit (ROIC)</t>
  </si>
  <si>
    <t>1-14</t>
  </si>
  <si>
    <t>Comprehensive Analysis of Design and Performance Evaluation Methodologies for a High-Resolution Read-Out IC With Ultralow 1/ f Corner for DC Measurement Applications</t>
  </si>
  <si>
    <t>74</t>
  </si>
  <si>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</si>
  <si>
    <t>Leithner, Manuel and Zivanovic, Jovan and Kugler, Reinhard and Simos, Dimitris E.</t>
  </si>
  <si>
    <t>2025 IEEE International Conference on Software Testing, Verification and Validation Workshops (ICSTW)</t>
  </si>
  <si>
    <t>10.1109/ICSTW64639.2025.10962496</t>
  </si>
  <si>
    <t>10962496</t>
  </si>
  <si>
    <t>2159-4848</t>
  </si>
  <si>
    <t>Combinatorial testing;Conferences;Pipelines;Closed box;Continuous integration;SQL injection;Mathematical models;Software reliability;Security;Investment;combinatorial testing;combinatorial security testing;continuous integration;test automation;security testing</t>
  </si>
  <si>
    <t>March</t>
  </si>
  <si>
    <t>288-291</t>
  </si>
  <si>
    <t>Towards Continuous Integration for Combinatorial Testing</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</si>
  <si>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</si>
  <si>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</si>
  <si>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2025 14th International Conference on Educational and Information Technology (ICEIT)</t>
  </si>
  <si>
    <t>10.1109/ICEIT64364.2025.10975898</t>
  </si>
  <si>
    <t>10975898</t>
  </si>
  <si>
    <t>Logistic regression;Machine learning algorithms;Computational modeling;Focusing;Machine learning;Predictive models;Prediction algorithms;Risk management;Problem-solving;Information technology;computational thinking;intelligent tutoring system;gamified Learning;process-oriented assessment;machine learning</t>
  </si>
  <si>
    <t>181-187</t>
  </si>
  <si>
    <t>Design and Performance Validation of a Computational Thinking Gamified Intelligent Tutoring System Focusing on Thinking Process</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</si>
  <si>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</si>
  <si>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</si>
  <si>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2025 IEEE Engineering Education World Conference (EDUNINE)</t>
  </si>
  <si>
    <t>10.1109/EDUNINE62377.2025.10981362</t>
  </si>
  <si>
    <t>10981362</t>
  </si>
  <si>
    <t>Codes;Source coding;Data visualization;Syntactics;Parallel processing;Pattern recognition;Software measurement;Engineering education;Programming profession;Computational thinking assessment;clustering techniques;code analysis;software metrics;generic abstract syntax tree;pattern recognition</t>
  </si>
  <si>
    <t>Pattern recognition in programming to support the evaluation of Computational Thinking</t>
  </si>
  <si>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</si>
  <si>
    <t>Santana, Bianca L. and Bittencourt, Roberto A. and von Flach, Christina</t>
  </si>
  <si>
    <t>2025 IEEE Global Engineering Education Conference (EDUCON)</t>
  </si>
  <si>
    <t>10.1109/EDUCON62633.2025.11016341</t>
  </si>
  <si>
    <t>11016341</t>
  </si>
  <si>
    <t>Content management;Atmospheric measurements;Instruments;Semantics;Reliability theory;Particle measurements;Engineering education;Programming profession</t>
  </si>
  <si>
    <t>Theoretical Evaluation of a Computation Thinking Instrument for Primary School Graduates</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</si>
  <si>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</si>
  <si>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</si>
  <si>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2025 International Conference on Next Generation Communication &amp; Information Processing (INCIP)</t>
  </si>
  <si>
    <t>10.1109/INCIP64058.2025.11019799</t>
  </si>
  <si>
    <t>11019799</t>
  </si>
  <si>
    <t>Systematics;Focusing;Information processing;Data science;Encoding;Teamwork;Pattern recognition;Problem-solving;Artificial intelligence;Software engineering;Computational Thinking;Coding Challenges;Artificial Intelligence;Data Science</t>
  </si>
  <si>
    <t>Jan</t>
  </si>
  <si>
    <t>535-538</t>
  </si>
  <si>
    <t>Create Coding Challenges and Activities that Foster the Development of Computational Thinking</t>
  </si>
  <si>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</si>
  <si>
    <t>Liu, Jinxia and Liu, Pei and Liu, Ziyang</t>
  </si>
  <si>
    <t>2025 5th International Symposium on Computer Technology and Information Science (ISCTIS)</t>
  </si>
  <si>
    <t>10.1109/ISCTIS65944.2025.11065246</t>
  </si>
  <si>
    <t>11065246</t>
  </si>
  <si>
    <t>Costs;Accuracy;Terminology;Semantics;Knowledge graphs;Graph neural networks;Multilingual;Requirements engineering;Artificial intelligence;Optimization;Multimodal Requirements Engineering;AI-Driven Semantic Conflict Detection;Knowledge Graph;Graph Neural Network (GNN)</t>
  </si>
  <si>
    <t>1035-1039</t>
  </si>
  <si>
    <t>AI Semantic Conflict Detection in Multimodal Requirements Engineering</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</si>
  <si>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</si>
  <si>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</si>
  <si>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2025 16th International Conference on E-Education, E-Business, E-Management and E-Learning (IC4e)</t>
  </si>
  <si>
    <t>10.1109/IC4e65071.2025.11075441</t>
  </si>
  <si>
    <t>11075441</t>
  </si>
  <si>
    <t>Surveys;Computer languages;Electronic learning;Systematics;Education;Programming;Problem-solving;Information technology;Interviews;computational thinking;PBL teaching mode;graphical programming;information technology course</t>
  </si>
  <si>
    <t>566-571</t>
  </si>
  <si>
    <t>Construction and Application of a Project-based Learning Mode for the Development of Computational Thinking in junior high school</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</si>
  <si>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</si>
  <si>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</si>
  <si>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2025 7th International Conference on Computer Science and Technologies in Education (CSTE)</t>
  </si>
  <si>
    <t>10.1109/CSTE64638.2025.11092056</t>
  </si>
  <si>
    <t>11092056</t>
  </si>
  <si>
    <t>Training;Computational modeling;Virtual environments;Psychology;Cognitive load;Problem-solving;Data mining;Engineering education;Information technology;Load modeling;DMCT-CDIO;Computational thinking;Learning motivation;Learning engagement</t>
  </si>
  <si>
    <t>57-65</t>
  </si>
  <si>
    <t>Impact of DMCT-CDIO Dual Mainline Computational Thinking Integrated Engineering Education on Students' Computational Thinking, Motivation and Engagement</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</si>
  <si>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</si>
  <si>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Li, Zhou and Zheng, Xiyu and Fu, Qian</t>
  </si>
  <si>
    <t>10.1109/CSTE64638.2025.11092183</t>
  </si>
  <si>
    <t>11092183</t>
  </si>
  <si>
    <t>Sequential analysis;Codes;Large language models;Education;Collaboration;Programming profession;computational thinking;CT;LLM;program;AI</t>
  </si>
  <si>
    <t>6-10</t>
  </si>
  <si>
    <t>Exploring the Computational Thinking Process of College Students: Collaborative Programming with LLMs</t>
  </si>
  <si>
    <t>Computational thinking has been globally recognized as a necessary skill in the</t>
  </si>
  <si>
    <t>Gong, Chao and Zhao, Jun and Gan, Shujuan and Xia, Xiaojun</t>
  </si>
  <si>
    <t>10.1109/CSTE64638.2025.11092264</t>
  </si>
  <si>
    <t>11092264</t>
  </si>
  <si>
    <t>Machine learning algorithms;Generative AI;Education;Collaboration;Reliability;Programming profession;computational thinking;test development;generative artificial intelligence;human-computer collaboration</t>
  </si>
  <si>
    <t>866-870</t>
  </si>
  <si>
    <t>Development and Validation Study of Computational Thinking Test for Elementary and Middle School Students in Artificial Intelligence Contexts</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</si>
  <si>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</si>
  <si>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</si>
  <si>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</si>
  <si>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11092227</t>
  </si>
  <si>
    <t>Computational modeling;Education;Information age;Interviews;Programming profession;scratch programming;computational thinking;information technology curriculum;instructional design</t>
  </si>
  <si>
    <t>112-116</t>
  </si>
  <si>
    <t>Design and Application of High School Scratch Programming Instructional Activities for Computational Thinking Development</t>
  </si>
  <si>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</si>
  <si>
    <t>Guo, Rong and Li, Guian and Miao, Haifei and Huang, Xinyi and Wang, Zhenzhong</t>
  </si>
  <si>
    <t>10.1109/CSTE64638.2025.11092069</t>
  </si>
  <si>
    <t>11092069</t>
  </si>
  <si>
    <t>Technological innovation;Generative AI;Computational modeling;Education;Learning (artificial intelligence);Problem-solving;Programming profession;Creativity;Systematic literature review;Context modeling;Generative Artificial Intelligence;Project-Based Learning;Computational Thinking;Programming Education;Quasi-Experimental Study</t>
  </si>
  <si>
    <t>515-521</t>
  </si>
  <si>
    <t>Construction and Application Effectiveness of a Project-Based Learning Model Based on Generative Artificial Intelligence</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</si>
  <si>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</si>
  <si>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Yu, Chih-Hung</t>
  </si>
  <si>
    <t>2025 6th International Conference on Information Technology and Education Technology (ITET)</t>
  </si>
  <si>
    <t>10.1109/ITET65804.2025.11100911</t>
  </si>
  <si>
    <t>11100911</t>
  </si>
  <si>
    <t>Art;Education;Anxiety disorders;Animation;Information technology;Programming profession;Programming;STEAM;Art;Gender Difference</t>
  </si>
  <si>
    <t>102-106</t>
  </si>
  <si>
    <t>Effects of an Art-Oriented STEAM Course on Programming Learning Attitudes and Outcomes</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</si>
  <si>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</si>
  <si>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</si>
  <si>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2025 IEEE 5th International Conference on Software Engineering and Artificial Intelligence (SEAI)</t>
  </si>
  <si>
    <t>10.1109/SEAI65851.2025.11108869</t>
  </si>
  <si>
    <t>11108869</t>
  </si>
  <si>
    <t>Systematics;Computational modeling;Digital transformation;Education;Collaboration;Problem-solving;Artificial intelligence;Programming profession;Software engineering;Computational Thinking;Artificial Intelligence;Teaching Design;Human-AI Co-Creation Model;Constructivist Theory;Programming Education</t>
  </si>
  <si>
    <t>325-329</t>
  </si>
  <si>
    <t>Exploring the Integration of Artificial Intelligence and Programming Education: A Practice-Oriented Study on the Development of Computational Thinking Based on Human-AI Co-Creation</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</si>
  <si>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</si>
  <si>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</si>
  <si>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2025 11th International Conference on Education and Training Technologies (ICETT)</t>
  </si>
  <si>
    <t>10.1109/ICETT66247.2025.11136923</t>
  </si>
  <si>
    <t>11136923</t>
  </si>
  <si>
    <t>Training;Automation;Collaboration;Cognition;Problem-solving;Interviews;Robots;Programming profession;Lenses;robotics education;computational thinking;interactive dynamicst</t>
  </si>
  <si>
    <t>141-147</t>
  </si>
  <si>
    <t>The Role of Interactive Dynamics in Robotics Learning Environments for Fostering Computational Thinking</t>
  </si>
  <si>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</si>
  <si>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Moguš, A. Mirković and Varga, R. and Kiralj, V.</t>
  </si>
  <si>
    <t>2025 MIPRO 48th ICT and Electronics Convention</t>
  </si>
  <si>
    <t>10.1109/MIPRO65660.2025.11132019</t>
  </si>
  <si>
    <t>11132019</t>
  </si>
  <si>
    <t>1847-3938</t>
  </si>
  <si>
    <t>Training;Surveys;Focusing;Collaboration;Problem-solving;Cultural differences;Creativity;algorithmic thinking;children;preschool;students;teacher competences</t>
  </si>
  <si>
    <t>514-519</t>
  </si>
  <si>
    <t>Prospective Kindergarten Teachers' Readiness to Integrate Computational Thinking into Early Childhood Education</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</si>
  <si>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</si>
  <si>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</si>
  <si>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2025 IEEE Integrated STEM Education Conference (ISEC)</t>
  </si>
  <si>
    <t>10.1109/ISEC64801.2025.11147330</t>
  </si>
  <si>
    <t>11147330</t>
  </si>
  <si>
    <t>2473-7623</t>
  </si>
  <si>
    <t>Visualization;Codes;Navigation;User interfaces;Chatbots;Encoding;User experience;Problem-solving;Time factors;Programming profession;AI Learning Assistant;Computational Thinking;Coding Proficiency;Educational Technology;Visualization;Problem-Solving;Activity Diagrams;User Experience</t>
  </si>
  <si>
    <t>Activity Diagrams as Cognitive Bridges: Revolutionizing Programming Education with AI</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</si>
  <si>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</si>
  <si>
    <t>Lynch, Jenice and Stokke, Thomas and Adgerson, Amber and Grant, Emanuel</t>
  </si>
  <si>
    <t>10.1109/ISEC64801.2025.11147256</t>
  </si>
  <si>
    <t>11147256</t>
  </si>
  <si>
    <t>Hands;Systematics;Engineering profession;Instruments;Debugging;Writing;Information age;Encoding;Problem-solving;Programming profession;Computational Thinking Assessment;CT Assessment Framework;CT Evaluation Methods;CT in K-12 Education;Non-Programming CT Assessment</t>
  </si>
  <si>
    <t>Enhancing A Holistic Approach Towards Computational Thinking Assessment in Education</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</si>
  <si>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</si>
  <si>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</si>
  <si>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2025 5th International Conference on Artificial Intelligence and Education (ICAIE)</t>
  </si>
  <si>
    <t>10.1109/ICAIE64856.2025.11158007</t>
  </si>
  <si>
    <t>11158007</t>
  </si>
  <si>
    <t>Computational modeling;Education;Learning (artificial intelligence);Debugging;Testing;artificial intelligence course;experiential learning;computational thinking</t>
  </si>
  <si>
    <t>619-623</t>
  </si>
  <si>
    <t>Fostering Students' Computational Thinking Through Experiential Learning in Artificial Intelligence Course</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</si>
  <si>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</si>
  <si>
    <t>Haque, Musavvir and Rony, Rifat Islam and Tanjim and Al-Amin, Md.</t>
  </si>
  <si>
    <t>2025 International Conference on Quantum Photonics, Artificial Intelligence, and Networking (QPAIN)</t>
  </si>
  <si>
    <t>10.1109/QPAIN66474.2025.11171806</t>
  </si>
  <si>
    <t>11171806</t>
  </si>
  <si>
    <t>Cloud computing;Accuracy;Microcontrollers;Fingerprint recognition;HTTP;Internet of Things;Synchronization;Reliability;Wireless fidelity;Photonics;IoT;Biometrics Attendance;ESP32;Cloud Storage;Academic Performance Management</t>
  </si>
  <si>
    <t>Secure Academic Assessment Using IoT Based Dual Mode Biometric Attendance System for University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</si>
  <si>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</si>
  <si>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Qin, Xue and Yang, Zaibao</t>
  </si>
  <si>
    <t>2025 International Conference on Distance Education and Learning (ICDEL)</t>
  </si>
  <si>
    <t>10.1109/ICDEL65868.2025.11193570</t>
  </si>
  <si>
    <t>11193570</t>
  </si>
  <si>
    <t>Technological innovation;Accuracy;Digital transformation;Educational technology;Solids;Encoding;Digital intelligence;Programming profession;learning analysis;modular programming;programming capabilities;secondary education</t>
  </si>
  <si>
    <t>Construction and Practice of Programming Ability Evaluation Framework from the Perspective of Learning Analysis Technology</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</si>
  <si>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</si>
  <si>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</si>
  <si>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</si>
  <si>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11193557</t>
  </si>
  <si>
    <t>Analytical models;Codes;Computational modeling;Education;Trajectory;Problem-solving;Iterative methods;Programming profession;Optimization;Programming environments;computational thinking;hint;online programming;pair programming</t>
  </si>
  <si>
    <t>436-441</t>
  </si>
  <si>
    <t>A Study of the Effects of Differentiated Hints in Online Pair Programming on College Students' Computational Thinking</t>
  </si>
  <si>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</si>
  <si>
    <t>Tang, Hongmei and Song, Yan and Cao, Lei and Zhang, Liuhao</t>
  </si>
  <si>
    <t>10.1109/ICDEL65868.2025.11193447</t>
  </si>
  <si>
    <t>11193447</t>
  </si>
  <si>
    <t>Training;Visualization;Sequences;Refining;Debugging;Data mining;Problem-solving;Pupils;Task analysis;Programming profession;programming learning;self-directed learning;GAI;educational data mining</t>
  </si>
  <si>
    <t>218-223</t>
  </si>
  <si>
    <t>A Study of Pupils' Self-Directed Learning Programming Behavior with the Support of GAI</t>
  </si>
  <si>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</si>
  <si>
    <t>Hu, Chih-Chien and Chen, Ming-Hsien</t>
  </si>
  <si>
    <t>2025 IEEE International Conference on Consumer Electronics - Taiwan (ICCE-Taiwan)</t>
  </si>
  <si>
    <t>10.1109/ICCE-Taiwan66881.2025.11207792</t>
  </si>
  <si>
    <t>11207792</t>
  </si>
  <si>
    <t>2575-8284</t>
  </si>
  <si>
    <t>Adaptation models;Java;Adaptive learning;Object oriented modeling;Unified modeling language;Debugging;Encoding;Problem-solving;Logic;Object oriented programming;Object-oriented programming;Block model;Unified modeling language;Generative AI</t>
  </si>
  <si>
    <t>495-496</t>
  </si>
  <si>
    <t>Enhancing Learners' Object-Oriented Programming Skills through the Integration of Block Model and UML Class Diagram</t>
  </si>
  <si>
    <t>Presents the table of contents/splash page of the proceedings record.</t>
  </si>
  <si>
    <t>10.1109/LaTICE.2018.00-19</t>
  </si>
  <si>
    <t>8753407</t>
  </si>
  <si>
    <t>5-8</t>
  </si>
  <si>
    <t>Table of contents</t>
  </si>
  <si>
    <t>10.1109/LACLO50806.2020.9381177</t>
  </si>
  <si>
    <t>9381177</t>
  </si>
  <si>
    <t>LACLO 2020 Table of Contents</t>
  </si>
  <si>
    <t>Presents an index of the authors whose articles are published in the conference proceedings record.</t>
  </si>
  <si>
    <t>10.1109/LACLO50806.2020.9381136</t>
  </si>
  <si>
    <t>9381136</t>
  </si>
  <si>
    <t>LACLO 2020 Authors Index</t>
  </si>
  <si>
    <t>Provides a schedule of conference events and a listing of which papers were presented in each session.</t>
  </si>
  <si>
    <t>10.1109/LACLO50806.2020.9381129</t>
  </si>
  <si>
    <t>9381129</t>
  </si>
  <si>
    <t>i-viii</t>
  </si>
  <si>
    <t>LACLO 2020 Agenda</t>
  </si>
  <si>
    <t>Presents the conference table of contents.</t>
  </si>
  <si>
    <t>10.1109/CONCAPAN48024.2022.9997683</t>
  </si>
  <si>
    <t>9997683</t>
  </si>
  <si>
    <t>i-vii</t>
  </si>
  <si>
    <t>Table of Content</t>
  </si>
  <si>
    <t>10.1109/TALE54877.2022.00004</t>
  </si>
  <si>
    <t>10148558</t>
  </si>
  <si>
    <t>5-20</t>
  </si>
  <si>
    <t>Table of Contents</t>
  </si>
  <si>
    <t>10.1109/ICEIT57125.2023.10107858</t>
  </si>
  <si>
    <t>10107858</t>
  </si>
  <si>
    <t>iii-viii</t>
  </si>
  <si>
    <t>10.1109/CSTE64638.2025.11092228</t>
  </si>
  <si>
    <t>11092228</t>
  </si>
  <si>
    <t>iii-xvi</t>
  </si>
  <si>
    <t>CSTE 2025 TOC</t>
  </si>
  <si>
    <t>10.1109/ICCE-Taiwan66881.2025.11208150</t>
  </si>
  <si>
    <t>11208150</t>
  </si>
  <si>
    <t>1-822</t>
  </si>
  <si>
    <t>ICCE-Taiwan 2025 Conference Proceedings</t>
  </si>
  <si>
    <t>type</t>
  </si>
  <si>
    <t>6826147</t>
  </si>
  <si>
    <t>Use of cutting edge educational tools for an initial programming course</t>
  </si>
  <si>
    <t>Giordano, Daniela and Maiorana, Francesco</t>
  </si>
  <si>
    <t>2014 IEEE Global Engineering Education Conference (EDUCON)</t>
  </si>
  <si>
    <t>556-563</t>
  </si>
  <si>
    <t>10.1109/EDUCON.2014.6826147</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</si>
  <si>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</si>
  <si>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Educational institutions;Programming profession;Visualization;Problem-solving;Pedagogy;Curriculum design;Initial programming course;Visual programming frameworks</t>
  </si>
  <si>
    <t>7044237</t>
  </si>
  <si>
    <t>Digital ink for cognitive assessment of computational thinking</t>
  </si>
  <si>
    <t>Ambrósio, Ana Paula and Xavier, Cleon and Georges, Fouad</t>
  </si>
  <si>
    <t>2014 IEEE Frontiers in Education Conference (FIE) Proceedings</t>
  </si>
  <si>
    <t>10.1109/FIE.2014.7044237</t>
  </si>
  <si>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</si>
  <si>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Ink;Programming profession;Cognition;Problem-solving;Educational institutions;Computers;computational thinking;digital ink;task analysis;tools;cognitive assessment</t>
  </si>
  <si>
    <t>7344063</t>
  </si>
  <si>
    <t>DISSECT: Exploring the relationship between computational thinking and English literature in K-12 curricula</t>
  </si>
  <si>
    <t>Nesiba, Natasha and Pontelli, Enrico and Staley, Timothy</t>
  </si>
  <si>
    <t>10.1109/FIE.2015.7344063</t>
  </si>
  <si>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</si>
  <si>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Algorithm design and analysis;Fellows;Computer science;Education;Google;Computers;Problem-solving;Computer science;Computer science education;Computational thinking;English literature;K-12</t>
  </si>
  <si>
    <t>7369019</t>
  </si>
  <si>
    <t>Approaches for teaching computational thinking strategies in an educational game: A position paper</t>
  </si>
  <si>
    <t>Bauer, Aaron and Butler, Eric and Popović, Zoran</t>
  </si>
  <si>
    <t>2015 IEEE Blocks and Beyond Workshop (Blocks and Beyond)</t>
  </si>
  <si>
    <t>121-123</t>
  </si>
  <si>
    <t>10.1109/BLOCKS.2015.7369019</t>
  </si>
  <si>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</si>
  <si>
    <t>Games;Programming profession;Programming environments;Computer science education;Problem-solving;block-based programming;game-based learning;computational thinking;CS education</t>
  </si>
  <si>
    <t>7757678</t>
  </si>
  <si>
    <t>A systematic mapping study on assessing computational thinking abilities</t>
  </si>
  <si>
    <t>de Araujo, Ana Liz Souto O. and Andrade, Wilkerson L. and Serey Guerrero, Dalton D.</t>
  </si>
  <si>
    <t>2016 IEEE Frontiers in Education Conference (FIE)</t>
  </si>
  <si>
    <t>10.1109/FIE.2016.7757678</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</si>
  <si>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</si>
  <si>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Systematics;Education;Programming profession;Context;Libraries;Vehicles</t>
  </si>
  <si>
    <t>7517289</t>
  </si>
  <si>
    <t>Off-Policy Integral Reinforcement Learning Method to Solve Nonlinear Continuous-Time Multiplayer Nonzero-Sum Games</t>
  </si>
  <si>
    <t>Song, Ruizhuo and Lewis, Frank L. and Wei, Qinglai</t>
  </si>
  <si>
    <t>IEEE Transactions on Neural Networks and Learning Systems</t>
  </si>
  <si>
    <t>704-713</t>
  </si>
  <si>
    <t>10.1109/TNNLS.2016.2582849</t>
  </si>
  <si>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</si>
  <si>
    <t>Games;System dynamics;Optimal control;Nash equilibrium;Heuristic algorithms;Convergence;Mathematical model;Adaptive critic designs;adaptive dynamic programming (ADP);approximate dynamic programming;integral reinforcement learning (IRL);nonlinear systems;nonzero sum (NZS);off-policy</t>
  </si>
  <si>
    <t>2162-2388</t>
  </si>
  <si>
    <t>8120417</t>
  </si>
  <si>
    <t>Calls of the wild: Exploring procedural abstraction in app inventor</t>
  </si>
  <si>
    <t>Li, Isabelle and Turbak, Franklyn and Mustafaraj, Eni</t>
  </si>
  <si>
    <t>79-86</t>
  </si>
  <si>
    <t>10.1109/BLOCKS.2017.8120417</t>
  </si>
  <si>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</si>
  <si>
    <t>Programming environments;Computer languages;Data analysis;Programming profession;Mobile handsets</t>
  </si>
  <si>
    <t>8190682</t>
  </si>
  <si>
    <t>An operationalized model for defining computational thinking</t>
  </si>
  <si>
    <t>Lowe, Tony and Brophy, Sean</t>
  </si>
  <si>
    <t>10.1109/FIE.2017.8190682</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</si>
  <si>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</si>
  <si>
    <t>Computational modeling;Computers;Programming profession;Education;Gravity;Tools;Abstraction;Computational Thinking;Modeling;Testing;Debugging</t>
  </si>
  <si>
    <t>8190652</t>
  </si>
  <si>
    <t>Exploring computational thinking assessment in introductory programming courses</t>
  </si>
  <si>
    <t>Araujo, Ana Liz Souto O. and Santos, Jucelio S. and Andrade, Wilkerson L. and Guerrero, Dalton D. Serey and Dagienė, Valentina</t>
  </si>
  <si>
    <t>10.1109/FIE.2017.8190652</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</si>
  <si>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</si>
  <si>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Instruments;Correlation;Programming profession;Problem-solving</t>
  </si>
  <si>
    <t>8325230</t>
  </si>
  <si>
    <t>Algorithm and hardware design of discrete-time spiking neural networks based on back propagation with binary activations</t>
  </si>
  <si>
    <t>Yin, Shihui and Venkataramanaiah, Shreyas K. and Chen, Gregory K. and Krishnamurthy, Ram and Cao, Yu and Chakrabarti, Chaitali and Seo, Jae-sun</t>
  </si>
  <si>
    <t>2017 IEEE Biomedical Circuits and Systems Conference (BioCAS)</t>
  </si>
  <si>
    <t>10.1109/BIOCAS.2017.8325230</t>
  </si>
  <si>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</si>
  <si>
    <t>Training;Hardware;Firing;Biological neural networks;Neuromorphics;Spiking neural networks;back propagation;neuromorphic hardware;straight-through estimator</t>
  </si>
  <si>
    <t>8409254</t>
  </si>
  <si>
    <t>Using a computer game to assess the critical thinking skills of preschoolers: A pilot study</t>
  </si>
  <si>
    <t>Hock Ow, Siew and Tan, Chia Ming</t>
  </si>
  <si>
    <t>2017 IEEE Conference on e-Learning, e-Management and e-Services (IC3e)</t>
  </si>
  <si>
    <t>151-156</t>
  </si>
  <si>
    <t>10.1109/IC3e.2017.8409254</t>
  </si>
  <si>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</si>
  <si>
    <t>Games;Taxonomy;Aging;Conferences;Electronic learning;Cognition;computer game;critical thinking skills;preschoolers;pilot study</t>
  </si>
  <si>
    <t>8305543</t>
  </si>
  <si>
    <t>Learning Scenarios for the Subject Methodology of Programming From Evaluating the Computational Thinking of New Students</t>
  </si>
  <si>
    <t>Rojas-López, Arturo and García-Peñalvo, Francisco José</t>
  </si>
  <si>
    <t>30-36</t>
  </si>
  <si>
    <t>10.1109/RITA.2018.2809941</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</si>
  <si>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</si>
  <si>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Programming profession;Education;Taxonomy;Computed tomography;Proposals;Problem-solving;Computational thinking;computer programming course;higher education;new students;programming learning</t>
  </si>
  <si>
    <t>8448607</t>
  </si>
  <si>
    <t>Validating Halstead Metrics for Scratch Program Using Process Data</t>
  </si>
  <si>
    <t>Chang, Zhong and Song, RongGang and Sun, Yan</t>
  </si>
  <si>
    <t>2018 IEEE International Conference on Consumer Electronics-Taiwan (ICCE-TW)</t>
  </si>
  <si>
    <t>10.1109/ICCE-China.2018.8448607</t>
  </si>
  <si>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</si>
  <si>
    <t>Correlation;Software;Programming;Complexity theory;Software measurement;Visualization</t>
  </si>
  <si>
    <t>8494036</t>
  </si>
  <si>
    <t>Building-Blocks: Generating 3D Design by Snapping Blocks</t>
  </si>
  <si>
    <t>Vinayakumar, R and Soman, KP and Menon, Pradeep</t>
  </si>
  <si>
    <t>2018 9th International Conference on Computing, Communication and Networking Technologies (ICCCNT)</t>
  </si>
  <si>
    <t>10.1109/ICCCNT.2018.8494036</t>
  </si>
  <si>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</si>
  <si>
    <t>Three-dimensional displays;Shape;Computational modeling;Education;Graphical user interfaces;Buildings;Visualization;K-12 education;computational thinking;3D model</t>
  </si>
  <si>
    <t>8493952</t>
  </si>
  <si>
    <t>Alg-Design: Facilitates to Learn Algorithmic Thinking for Beginners</t>
  </si>
  <si>
    <t>10.1109/ICCCNT.2018.8493952</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</si>
  <si>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</si>
  <si>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Programming profession;Visualization;Programming environments;Games;Sprites (computer);Chaos;Computational thinking;Algorithmic thinking;K-12 education;block based programming;21st century learning skills</t>
  </si>
  <si>
    <t>8659268</t>
  </si>
  <si>
    <t>Computing for the Critters: Exploring Computational Thinking of Children in an Informal Learning Setting</t>
  </si>
  <si>
    <t>Ehsan, Hoda and Ohland, Carson and Dandridge, Tikyna and Cardella, Monica</t>
  </si>
  <si>
    <t>2018 IEEE Frontiers in Education Conference (FIE)</t>
  </si>
  <si>
    <t>10.1109/FIE.2018.8659268</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</si>
  <si>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</si>
  <si>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Encoding;Games;Computed tomography;Robots;Animals;STEM;Computational Thinking;Out-of-School;Engineering Education</t>
  </si>
  <si>
    <t>8693273</t>
  </si>
  <si>
    <t>Pair-Programming Curriculum Development of Motion-Based Game for Enhancing Computational Thinking Skills</t>
  </si>
  <si>
    <t>Chang, Chih-Kai and Tsai, Yu-Tzu</t>
  </si>
  <si>
    <t>2018 7th International Congress on Advanced Applied Informatics (IIAI-AAI)</t>
  </si>
  <si>
    <t>284-287</t>
  </si>
  <si>
    <t>10.1109/IIAI-AAI.2018.00061</t>
  </si>
  <si>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</si>
  <si>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Games;Programming;Tools;Face;Cameras;Collaboration;Task analysis;computational thinking;learning by making games;natural user interaction;Kinect;pair programming</t>
  </si>
  <si>
    <t>8853613</t>
  </si>
  <si>
    <t>Assessment of Computational Thinking in regular basic education: case I.E.T.P. “José Obrero”</t>
  </si>
  <si>
    <t>Curasma, Ronald Paucar and Jara, Nolan Jara and Curasma, Herminio Paucar and Ornetta, Victor Cruz</t>
  </si>
  <si>
    <t>2019 IEEE XXVI International Conference on Electronics, Electrical Engineering and Computing (INTERCON)</t>
  </si>
  <si>
    <t>10.1109/INTERCON.2019.8853613</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</si>
  <si>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</si>
  <si>
    <t>Education;Programming profession;Tools;Encoding;Computational modeling;Computational thinking;computational dimensions;Arduino;programming;coding;regular basic education</t>
  </si>
  <si>
    <t>8937353</t>
  </si>
  <si>
    <t>Critical Thinking assessment: a first approach to the automatic evaluation</t>
  </si>
  <si>
    <t>Poce, Antonella and de Medio, Carlo and Amenduni, Francesca and Re, Maria Rosaria</t>
  </si>
  <si>
    <t>2019 18th International Conference on Information Technology Based Higher Education and Training (ITHET)</t>
  </si>
  <si>
    <t>10.1109/ITHET46829.2019.8937353</t>
  </si>
  <si>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</si>
  <si>
    <t>Prototypes;Education;Manuals;Coherence;Tools;Reliability;Natural language processing;critical thinking;e-learning;teaching;21th century skills;e-assessment</t>
  </si>
  <si>
    <t>2380-1603</t>
  </si>
  <si>
    <t>8970124</t>
  </si>
  <si>
    <t>Developing Computational Thinking at School with Machine Learning: An exploration</t>
  </si>
  <si>
    <t>García, Juan David Rodríguez and León, Jesús Moreno and González, Marcos Román and Robles, Gregorio</t>
  </si>
  <si>
    <t>2019 International Symposium on Computers in Education (SIIE)</t>
  </si>
  <si>
    <t>10.1109/SIIE48397.2019.8970124</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</si>
  <si>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</si>
  <si>
    <t>Training;Education;Government;Machine learning;Tutorials;Market research;Programming profession;Floors;Videos;Guidelines;Computational Thinking;Artificial Intelligence Education;Machine Learning Education;Scratch</t>
  </si>
  <si>
    <t>8992758</t>
  </si>
  <si>
    <t>Developing a Procedural Problem-solving-based Framework of Computational Thinking Components</t>
  </si>
  <si>
    <t>Jeng, Hi-Lian and Liu, Li-Wen and Chen, Chung-Nien</t>
  </si>
  <si>
    <t>2019 8th International Congress on Advanced Applied Informatics (IIAI-AAI)</t>
  </si>
  <si>
    <t>272-277</t>
  </si>
  <si>
    <t>10.1109/IIAI-AAI.2019.00061</t>
  </si>
  <si>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</si>
  <si>
    <t>Computer science;Protocols;Engineering profession;Problem-solving;Informatics;Guidelines;Computational Thinking;Procedural Problem solving-based Framework;Pedagogy and Assessment</t>
  </si>
  <si>
    <t>9006485</t>
  </si>
  <si>
    <t>Reframing Digital Curation Practices through a Computational Thinking Framework</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</si>
  <si>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</si>
  <si>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2019 IEEE International Conference on Big Data (Big Data)</t>
  </si>
  <si>
    <t>3126-3135</t>
  </si>
  <si>
    <t>10.1109/BigData47090.2019.9006485</t>
  </si>
  <si>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</si>
  <si>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Big Data;Conferences;Computational Thinking;Digital Curation;Computational Archival Science (CAS);Japanese American WWII Incarceration Camps</t>
  </si>
  <si>
    <t>9040087</t>
  </si>
  <si>
    <t>Development of Critical Thinking in Education: A Case Study on Hoax Messages</t>
  </si>
  <si>
    <t>Klimová, N. and Lovászová, G.</t>
  </si>
  <si>
    <t>2019 17th International Conference on Emerging eLearning Technologies and Applications (ICETA)</t>
  </si>
  <si>
    <t>396-402</t>
  </si>
  <si>
    <t>10.1109/ICETA48886.2019.9040087</t>
  </si>
  <si>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</si>
  <si>
    <t>Training;Informatics;Problem-solving;Annotations;Reflection;Object recognition</t>
  </si>
  <si>
    <t>9057865</t>
  </si>
  <si>
    <t>Computational Thinking Curriculum for Unmanned Aerial Systems</t>
  </si>
  <si>
    <t>Zhang, Shiqi and Stewart, Christopher</t>
  </si>
  <si>
    <t>2019 IEEE National Aerospace and Electronics Conference (NAECON)</t>
  </si>
  <si>
    <t>122-125</t>
  </si>
  <si>
    <t>10.1109/NAECON46414.2019.9057865</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</si>
  <si>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</si>
  <si>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Software;Conferences;Artificial intelligence;Drones;Face;Password;FAA</t>
  </si>
  <si>
    <t>2379-2027</t>
  </si>
  <si>
    <t>9073671</t>
  </si>
  <si>
    <t>Benefits of Computational Thinking in Entrepreneurship</t>
  </si>
  <si>
    <t>Nuar, Ahmad Najmi Amerhaider and Rozan, Mohd Zaidi Abd</t>
  </si>
  <si>
    <t>2019 6th International Conference on Research and Innovation in Information Systems (ICRIIS)</t>
  </si>
  <si>
    <t>10.1109/ICRIIS48246.2019.9073671</t>
  </si>
  <si>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</si>
  <si>
    <t>Entrepreneurship;Computed tomography;Industries;Automation;Technological innovation;Computers;computational thinking;industry 4.0;automation;entrepreneurship;small and medium enterprise</t>
  </si>
  <si>
    <t>2324-8157</t>
  </si>
  <si>
    <t>9031745</t>
  </si>
  <si>
    <t>Measuring the Programming Self-Efficacy of Electrical and Electronics Engineering Students</t>
  </si>
  <si>
    <t>Kittur, Javeed</t>
  </si>
  <si>
    <t>63</t>
  </si>
  <si>
    <t>216-223</t>
  </si>
  <si>
    <t>10.1109/TE.2020.2975342</t>
  </si>
  <si>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</si>
  <si>
    <t>Programming profession;Task analysis;Engineering students;Electric variables measurement;Instruments;Java;Electrical engineering;factor analysis;gender;programming self-efficacy (PSE);regression;student background</t>
  </si>
  <si>
    <t>9125368</t>
  </si>
  <si>
    <t>Computational Thinking Test for Beginners: Design and Content Validation</t>
  </si>
  <si>
    <t>Zapata-Cáceres, María and Martín-Barroso, Estefanía and Román-González, Marcos</t>
  </si>
  <si>
    <t>1905-1914</t>
  </si>
  <si>
    <t>10.1109/EDUCON45650.2020.9125368</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</si>
  <si>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</si>
  <si>
    <t>Three-dimensional displays;Statistical analysis;Instruments;Conferences;Sociology;Layout;Focusing;Beginners Computational Thinking Test;Computational Thinking;Computer Science Education;Primary Education;Assessment;Programming;Early Childhood Education</t>
  </si>
  <si>
    <t>9125209</t>
  </si>
  <si>
    <t>Calculation of the Hubble Universe Expansion Constant by Analyzing Observational Data: An Exploratory Teaching Proposal based on STEM Epistemology</t>
  </si>
  <si>
    <t>Xenakis, Apostolos and Xenakis, Christos and Psycharis, Sarantos and Kalovrektis, Konstantinos</t>
  </si>
  <si>
    <t>170-177</t>
  </si>
  <si>
    <t>10.1109/EDUCON45650.2020.9125209</t>
  </si>
  <si>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</si>
  <si>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Analytical models;Scientific computing;Conferences;Computational modeling;Data models;Proposals;Engineering education;STEM Epistemology;Computational Pedagogy;Computational thinking;Hubble Constant;Data analysis</t>
  </si>
  <si>
    <t>9148514</t>
  </si>
  <si>
    <t>An Automatic Analysis Tool Based on Computational Thinking for BlockPy Programs</t>
  </si>
  <si>
    <t>Xu, Can and Feng, Zhiyong and Qi, Peng and Sun, Yan</t>
  </si>
  <si>
    <t>2020 International Wireless Communications and Mobile Computing (IWCMC)</t>
  </si>
  <si>
    <t>2045-2050</t>
  </si>
  <si>
    <t>10.1109/IWCMC48107.2020.9148514</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</si>
  <si>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</si>
  <si>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Tools;Python;Encoding;Syntactics;Programming;Complexity theory;Visualization;BlockPy;Computational Thinking;AST analysis;CT score assession</t>
  </si>
  <si>
    <t>2376-6506</t>
  </si>
  <si>
    <t>9155152</t>
  </si>
  <si>
    <t>Computational Thinking in Augmented Reality: An Investigation of Collaborative Debugging Practices</t>
  </si>
  <si>
    <t>2020 6th International Conference of the Immersive Learning Research Network (iLRN)</t>
  </si>
  <si>
    <t>54-61</t>
  </si>
  <si>
    <t>10.23919/iLRN47897.2020.9155152</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</si>
  <si>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</si>
  <si>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Visualization;Task analysis;Debugging;Programming profession;Problem-solving;Computed tomography;augmented reality;debugging practices;learn to code;computational thinking;computer science education;collaborative learning;mobile app</t>
  </si>
  <si>
    <t>9237131</t>
  </si>
  <si>
    <t>Knowledge Tracing Within Single Programming Practice Using Problem-Solving Process Data</t>
  </si>
  <si>
    <t>Jiang, Bo and Wu, Simin and Yin, Chengjiu and Zhang, Haifeng</t>
  </si>
  <si>
    <t>822-832</t>
  </si>
  <si>
    <t>10.1109/TLT.2020.3032980</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</si>
  <si>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</si>
  <si>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Programming;Hidden Markov models;Predictive models;Problem-solving;Task analysis;Indexes;Data models;Knowledge tracing;performance prediction;programming learning;recurrent neural network (RNN).</t>
  </si>
  <si>
    <t>9273930</t>
  </si>
  <si>
    <t>An Effective Approach to Teach an Introductory Computer Science Course with Computational Thinking and Flow-Chart Based Visual Programming</t>
  </si>
  <si>
    <t>Rahman, Md Mahmudur and Sharker, Monir H. and Paudel, Roshan</t>
  </si>
  <si>
    <t>10.1109/FIE44824.2020.9273930</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</si>
  <si>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</si>
  <si>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Programming profession;Education;Visualization;Syntactics;Python;Problem-solving;Flowcharts;Introductory Programming;Computational Thinking;Visual Learning;Dynamic Classroom;Retention</t>
  </si>
  <si>
    <t>9320665</t>
  </si>
  <si>
    <t>Instructional Procedure and Strategy of Primary School Programming Education Focusing on Cultivating Computational Thinking</t>
  </si>
  <si>
    <t>Lin, Zeshan and Ke, Meimei</t>
  </si>
  <si>
    <t>240-245</t>
  </si>
  <si>
    <t>10.1109/EITT50754.2020.00049</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</si>
  <si>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</si>
  <si>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Programming profession;Education;Interviews;Problem-solving;Tools;Task analysis;Focusing;Computational thinking;Programming education;Instructional procedure;Instructional strategy</t>
  </si>
  <si>
    <t>9379266</t>
  </si>
  <si>
    <t>Data science tools in the analysis of developing inquiry skills and computational thinking within the “IT Academy” Project</t>
  </si>
  <si>
    <t>Hanč, Jozef and Hančová, Martina and Jurková, Veronika and Šveda, Dušan</t>
  </si>
  <si>
    <t>2020 18th International Conference on Emerging eLearning Technologies and Applications (ICETA)</t>
  </si>
  <si>
    <t>125-129</t>
  </si>
  <si>
    <t>10.1109/ICETA51985.2020.9379266</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</si>
  <si>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</si>
  <si>
    <t>Statistical analysis;Education;Tools;Data science;Libraries;Open source software;Python;education data;IBSE;computational thinking;Python;Jupyter;Pandas;R packages</t>
  </si>
  <si>
    <t>9453929</t>
  </si>
  <si>
    <t>The influence of students’ computer science learning experience on their perception of computational thinking</t>
  </si>
  <si>
    <t>Ye, Jiachu and Lai, Xiaoyan and Wong, Gary K.W.</t>
  </si>
  <si>
    <t>2021 IEEE Global Engineering Education Conference (EDUCON)</t>
  </si>
  <si>
    <t>1495-1496</t>
  </si>
  <si>
    <t>10.1109/EDUCON46332.2021.9453929</t>
  </si>
  <si>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</si>
  <si>
    <t>Computer science;Systematics;Engineering profession;Conferences;Engineering education;computational thinking;perception;CS education</t>
  </si>
  <si>
    <t>9454003</t>
  </si>
  <si>
    <t>The Impact of Physical Computing and Computational Pedagogy on Girl’s Self – Efficacy and Computational Thinking Practice</t>
  </si>
  <si>
    <t>Psycharis, Sarantos and Kalovrektis, Konstantinos and Xenakis, Apostolos and Paliokas, Ioannis and Patrinopoulos, Matthaios and Georgiakakis, Petros and Iatrou, Paraskevi and Theodorou, Paraskevi and Papageorgiou, Theodora and Ntourou, Vasiliki</t>
  </si>
  <si>
    <t>308-315</t>
  </si>
  <si>
    <t>10.1109/EDUCON46332.2021.9454003</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</si>
  <si>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</si>
  <si>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Conferences;Computational modeling;Mathematical model;Engineering education;Robots;Computational Pedagogy;STEM;Computational Thinking;Women in Engineering;Physical Computing</t>
  </si>
  <si>
    <t>9453926</t>
  </si>
  <si>
    <t>TechCheck-K: A Measure of Computational Thinking for Kindergarten Children</t>
  </si>
  <si>
    <t>Relkin, Emily and Bers, Marina</t>
  </si>
  <si>
    <t>1696-1702</t>
  </si>
  <si>
    <t>10.1109/EDUCON46332.2021.9453926</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</si>
  <si>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</si>
  <si>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Instruments;Conferences;Encoding;Engineering education;Computational thinking;Assessment;Unplugged;Computer Science;Early Childhood Education</t>
  </si>
  <si>
    <t>9470593</t>
  </si>
  <si>
    <t>Exploring The Psychometric Properties of Computational Thinking Assessment in Introductory Programming</t>
  </si>
  <si>
    <t>Anistyasari, Yeni and Ekohariadi, Ekohariadi and Asto Buditjahjanto, I. G. P and Hidayati, Shintami C</t>
  </si>
  <si>
    <t>2021 International e-Engineering Education Services Conference (e-Engineering)</t>
  </si>
  <si>
    <t>88-93</t>
  </si>
  <si>
    <t>10.1109/e-Engineering47629.2021.9470593</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</si>
  <si>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</si>
  <si>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Instruments;Education;Programming;Reliability theory;Tools;Data structures;Pattern recognition;assessment;computational thinking;introductory programming;psychometric properties</t>
  </si>
  <si>
    <t>9493465</t>
  </si>
  <si>
    <t>Computational Thinking Work System Method: A problem-solving method for small and medium enterprises</t>
  </si>
  <si>
    <t>Nuar, Ahmad Najmi Amerhaider and Rozan, Mohd Zaidi Abd and Bahari, Mahadi</t>
  </si>
  <si>
    <t>2021 International Congress of Advanced Technology and Engineering (ICOTEN)</t>
  </si>
  <si>
    <t>10.1109/ICOTEN52080.2021.9493465</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</si>
  <si>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</si>
  <si>
    <t>Productivity;Technological innovation;Systematics;Problem-solving;Business;computational thinking;small and medium enterprises;design science research;work system method</t>
  </si>
  <si>
    <t>9563181</t>
  </si>
  <si>
    <t>Infusing Computational Thinking into the Accounting Curriculum - Framework and Perspectives</t>
  </si>
  <si>
    <t>Wu, Tao and Chang, Maiga</t>
  </si>
  <si>
    <t>2021 IEEE International Conference on Educational Technology (ICET)</t>
  </si>
  <si>
    <t>235-241</t>
  </si>
  <si>
    <t>10.1109/ICET52293.2021.9563181</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</si>
  <si>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</si>
  <si>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Computer science;Conferences;Educational technology;Computational Thinking (CT);Constructivism;Accounting;curriculum design;framework</t>
  </si>
  <si>
    <t>9569311</t>
  </si>
  <si>
    <t>Training Methods of Computational Thinking for Medical Students in Big Data Age</t>
  </si>
  <si>
    <t>Si, Jiarui and Feng, Huan and Niu, Zikun and Bian, Yizhou and Fu, Yu and Guo, Hong and Su, Zhenxing and Deng, Weimin and Li, Xiaoxia</t>
  </si>
  <si>
    <t>2021 16th International Conference on Computer Science &amp; Education (ICCSE)</t>
  </si>
  <si>
    <t>13-20</t>
  </si>
  <si>
    <t>10.1109/ICCSE51940.2021.9569311</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</si>
  <si>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</si>
  <si>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Training;Flowcharts;Systematics;Computational modeling;Big Data;Tools;Software;Medical students;Computational thinking;mind maps;MATLAB</t>
  </si>
  <si>
    <t>9583627</t>
  </si>
  <si>
    <t>Play, Algorithmic Thinking and Early Childhood Education: Challenges in the Portuguese Context</t>
  </si>
  <si>
    <t>Figueiredo, Maria and Gomes, Cristina Azevedo and Amante, Susana and Gomes, Helena and Alves, Valter and Duarte, Rui Pedro and Rego, Belmiro</t>
  </si>
  <si>
    <t>2021 International Symposium on Computers in Education (SIIE)</t>
  </si>
  <si>
    <t>10.1109/SIIE53363.2021.9583627</t>
  </si>
  <si>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</si>
  <si>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Computers;Codes;Education;Complexity theory;Guidelines;early childhood education;algorithmic thinking;pedagogy;curriculum;Portugal</t>
  </si>
  <si>
    <t>9627365</t>
  </si>
  <si>
    <t>Assessing Computational Thinking Pedagogy in Serious Games Through Questionnaires, Think-aloud Testing, and Automated Data Logging</t>
  </si>
  <si>
    <t>Fanfarelli, Joey R.</t>
  </si>
  <si>
    <t>2021 IEEE/ACIS 20th International Fall Conference on Computer and Information Science (ICIS Fall)</t>
  </si>
  <si>
    <t>149-152</t>
  </si>
  <si>
    <t>10.1109/ICISFall51598.2021.9627365</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</si>
  <si>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</si>
  <si>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Software testing;Information science;Bibliographies;Education;Games;Manuals;Tools;serious games;game;gaming;computational thinking;algorithmic thinking;test;testing;assessment;development</t>
  </si>
  <si>
    <t>9637467</t>
  </si>
  <si>
    <t>Development and Implementation of an Online Adaptive Gamification Platform for Learning Computational Thinking</t>
  </si>
  <si>
    <t>Ng, Andrew Keong and Atmosukarto, Indriyati and Cheow, Wean Sin and Avnit, Karin and Yong, Mun Hin</t>
  </si>
  <si>
    <t>10.1109/FIE49875.2021.9637467</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</si>
  <si>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</si>
  <si>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Computer languages;Visualization;Electronic learning;Conferences;Education;Games;Problem-solving;computational thinking;gamification;adaptive learning;independent learning;online education platform</t>
  </si>
  <si>
    <t>9637257</t>
  </si>
  <si>
    <t>Mutual Improvement between Teaching Materials and Assessment Tools for K-12 Programming Education</t>
  </si>
  <si>
    <t>Nagumo, Hideo and Oomori, Yasumasa and Takemura, Yasuhiro</t>
  </si>
  <si>
    <t>10.1109/FIE49875.2021.9637257</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</si>
  <si>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</si>
  <si>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Visualization;Education;Tactile sensors;Light emitting diodes;Encoding;Sensors;Servomotors;programming education;teaching material;assessment tool;Computational Thinking;elementary school</t>
  </si>
  <si>
    <t>9673537</t>
  </si>
  <si>
    <t>Unplugged Computational Thinking Activities Framework Development for Novice Programmer</t>
  </si>
  <si>
    <t>Sim, Tze Ying and Teow, Matthew and Lau, Sian Lun</t>
  </si>
  <si>
    <t>2021 IEEE International Conference on Computing (ICOCO)</t>
  </si>
  <si>
    <t>297-302</t>
  </si>
  <si>
    <t>10.1109/ICOCO53166.2021.9673537</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</si>
  <si>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</si>
  <si>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Computers;Computer languages;Conferences;Education;Problem-solving;IEEE activities;Programming profession</t>
  </si>
  <si>
    <t>9678852</t>
  </si>
  <si>
    <t>Computational Thinking Test for Lower Primary Students: Design Principles, Content Validation, and Pilot Testing</t>
  </si>
  <si>
    <t>Zhang, Shuhan and Wong, Gary K. W. and Pan, Guangrong</t>
  </si>
  <si>
    <t>2021 IEEE International Conference on Engineering, Technology &amp; Education (TALE)</t>
  </si>
  <si>
    <t>345-352</t>
  </si>
  <si>
    <t>10.1109/TALE52509.2021.9678852</t>
  </si>
  <si>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</si>
  <si>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Bridges;Education;Aging;Interviews;Testing;computational thinking;assessment;diagnostic test;K-12 education;lower primary students</t>
  </si>
  <si>
    <t>10788538</t>
  </si>
  <si>
    <t>Chapter 9 AI in practice of dentistry</t>
  </si>
  <si>
    <t>Oshida, Yoshiki</t>
  </si>
  <si>
    <t>Artificial Intelligence for Medicine: People, Society, Pharmaceuticals, and Medical Materials</t>
  </si>
  <si>
    <t>302-355</t>
  </si>
  <si>
    <t>https://ieeexplore.ieee.org/document/10788538},</t>
  </si>
  <si>
    <t>Dentistry;Medical services;Medical diagnostic imaging;Surgery;Teeth;Laser beams;Diseases;Bones;Software;Pain</t>
  </si>
  <si>
    <t>9783110717921</t>
  </si>
  <si>
    <t>9321708</t>
  </si>
  <si>
    <t>DWES: A Dynamic Weighted Evaluation System for Scratch based on Computational Thinking</t>
  </si>
  <si>
    <t>Chai, Xiaolin and Sun, Yan and Luo, Hong and Guizani, Mohsen</t>
  </si>
  <si>
    <t>917-932</t>
  </si>
  <si>
    <t>10.1109/TETC.2020.3044588</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</si>
  <si>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</si>
  <si>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Tools;Sprites (computer);Manuals;Games;Computer languages;Complexity theory;Programming profession;Scratch;computational thinking;evaluation system;dynamic weighted</t>
  </si>
  <si>
    <t>9629267</t>
  </si>
  <si>
    <t>Dynamic Channel Access and Power Control in Wireless Interference Networks via Multi-Agent Deep Reinforcement Learning</t>
  </si>
  <si>
    <t>Lu, Ziyang and Zhong, Chen and Gursoy, M. Cenk</t>
  </si>
  <si>
    <t>IEEE Transactions on Vehicular Technology</t>
  </si>
  <si>
    <t>71</t>
  </si>
  <si>
    <t>1588-1601</t>
  </si>
  <si>
    <t>10.1109/TVT.2021.3131534</t>
  </si>
  <si>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</si>
  <si>
    <t>Resource management;Interference;Reinforcement learning;Heuristic algorithms;Training;Power control;Wireless networks;Dynamic channel access;power control;multi-agent reinforcement learning;distributed learning;federated learning;wireless interference networks</t>
  </si>
  <si>
    <t>1939-9359</t>
  </si>
  <si>
    <t>9756464</t>
  </si>
  <si>
    <t>Reinforcement Learning Reward Function for Test Case Prioritization in Continuous Integration</t>
  </si>
  <si>
    <t>Mirzaei, Hajar and Keyvanpour, Mohammad Reza</t>
  </si>
  <si>
    <t>2022 9th Iranian Joint Congress on Fuzzy and Intelligent Systems (CFIS)</t>
  </si>
  <si>
    <t>10.1109/CFIS54774.2022.9756464</t>
  </si>
  <si>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</si>
  <si>
    <t>Fault detection;Reinforcement learning;Software systems;Intelligent systems;Testing</t>
  </si>
  <si>
    <t>2771-1374</t>
  </si>
  <si>
    <t>9766703</t>
  </si>
  <si>
    <t>A Guide Towards a Definition of Computational Thinking in K-12</t>
  </si>
  <si>
    <t>Ismail, Redar and Steinbach, Theresa A. and Miller, Craig S.</t>
  </si>
  <si>
    <t>2022 IEEE Global Engineering Education Conference (EDUCON)</t>
  </si>
  <si>
    <t>801-810</t>
  </si>
  <si>
    <t>10.1109/EDUCON52537.2022.9766703</t>
  </si>
  <si>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</si>
  <si>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Computer science;Bibliographies;Conferences;Computational modeling;Engineering education;Computational Thinking (CT);K-12 Education;Dependency;Abstraction;Decomposition;Algorithmic Thinking</t>
  </si>
  <si>
    <t>9766625</t>
  </si>
  <si>
    <t>Towards a Conceptual Model for a Smart Open learning environment based on Computational Thinking</t>
  </si>
  <si>
    <t>Fradi, Bènène and Cheniti-Belcadhi, Lilia</t>
  </si>
  <si>
    <t>1981-1987</t>
  </si>
  <si>
    <t>10.1109/EDUCON52537.2022.9766625</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</si>
  <si>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</si>
  <si>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Adaptation models;Computational modeling;Conferences;Engineering education;Faces;SLE;Open Pedagogy;Smart Pedagogy;Computational thinking;Open Education Resource;Open Assessment;Adaptive Self-regulated Learning</t>
  </si>
  <si>
    <t>9766723</t>
  </si>
  <si>
    <t>Game-Based Learning for Young Children: A Case Study</t>
  </si>
  <si>
    <t>Pombo, Nuno and Lamas, Dorilene</t>
  </si>
  <si>
    <t>133-138</t>
  </si>
  <si>
    <t>10.1109/EDUCON52537.2022.9766723</t>
  </si>
  <si>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</si>
  <si>
    <t>Sequential analysis;Codes;Portable computers;Games;Market research;Encoding;Haptic interfaces;Coding;Computational thinking;Game-based learning;Educational technology;STEM</t>
  </si>
  <si>
    <t>9779003</t>
  </si>
  <si>
    <t>Research on the Construction of Evaluation Indicators of Students' Computational Thinking Based on Spectral Clustering</t>
  </si>
  <si>
    <t>Zhang, Wei and Zeng, Xinyao and Ming, Daoyang and Wang, Jihan</t>
  </si>
  <si>
    <t>2022 10th International Conference on Information and Education Technology (ICIET)</t>
  </si>
  <si>
    <t>104-112</t>
  </si>
  <si>
    <t>10.1109/ICIET55102.2022.9779003</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</si>
  <si>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</si>
  <si>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Statistical analysis;Education;Clustering algorithms;Reflection;Computational efficiency;CT concepts;spectral clustering;evaluation indicators;CT practice;CT perspective</t>
  </si>
  <si>
    <t>9853800</t>
  </si>
  <si>
    <t>A method for assessing computational thinking in students using source code analysis</t>
  </si>
  <si>
    <t>Pacheco-Portuguez, Steven and Gonzalez-Torres, Antonio and Sancho-Chavarria, Lilliana and Trejos-Zelaya, Ignacio and Monge-Fallas, Jorge and Navas-Su, Jose and Cañas, Alberto J. and Rodríguez, Andrés and Chinchilla, Carol Angulo</t>
  </si>
  <si>
    <t>2022 International Conference on Advanced Learning Technologies (ICALT)</t>
  </si>
  <si>
    <t>144-146</t>
  </si>
  <si>
    <t>10.1109/ICALT55010.2022.00050</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</si>
  <si>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</si>
  <si>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Measurement;Computer languages;Codes;Syntactics;Metadata;Programming profession;Code analysis;computational thinking assessment;generic abstract syntax tree</t>
  </si>
  <si>
    <t>9862864</t>
  </si>
  <si>
    <t>VLSI Implementation of Optimized CNN based COVID-19 Lung Infection Segmentation and Classification from CT Image</t>
  </si>
  <si>
    <t>Priya, G. Karthigai and Rani, D. Gracia Nirmala</t>
  </si>
  <si>
    <t>2022 IEEE India Council International Subsections Conference (INDISCON)</t>
  </si>
  <si>
    <t>10.1109/INDISCON54605.2022.9862864</t>
  </si>
  <si>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</si>
  <si>
    <t>Training;COVID-19;Image segmentation;Computed tomography;Neural networks;Lung;Transforms;Lung CT;Segmentation;Classification;VLSI;SqueezeNet;ResNet</t>
  </si>
  <si>
    <t>9920899</t>
  </si>
  <si>
    <t>A Design and Development of Internet of Things (IoT) System and Learning Activity to Promote Computational Thinking</t>
  </si>
  <si>
    <t>Sonsilphong, Suphachoke and Sonsilphong, Amornthep and Hormdee, Daranee and Sae-Joo, Phongthanat</t>
  </si>
  <si>
    <t>2022 7th International STEM Education Conference (iSTEM-Ed)</t>
  </si>
  <si>
    <t>10.1109/iSTEM-Ed55321.2022.9920899</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</si>
  <si>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</si>
  <si>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Training;Learning systems;Education;Machine learning;Learning (artificial intelligence);Hardware;Internet of Things;computing skills;computational thinking;problem solving;Internet of Things;computer programming</t>
  </si>
  <si>
    <t>10040862</t>
  </si>
  <si>
    <t>Computational Thinking, a Discipline to Enhance Digital Skills Such as Programming</t>
  </si>
  <si>
    <t>Caballero-Gonzalez, Yen</t>
  </si>
  <si>
    <t>2022 8th International Engineering, Sciences and Technology Conference (IESTEC)</t>
  </si>
  <si>
    <t>354-359</t>
  </si>
  <si>
    <t>10.1109/IESTEC54539.2022.00061</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</si>
  <si>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</si>
  <si>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Robots;Particle measurements;Atmospheric measurements;Programming profession;Asia;Visualization;Training;learning;teaching;education;information;society;computing</t>
  </si>
  <si>
    <t>10086259</t>
  </si>
  <si>
    <t>Research on blended teaching reform based on computational thinking</t>
  </si>
  <si>
    <t>Zhao, Fengzhi and Liu, Sijie</t>
  </si>
  <si>
    <t>2022 12th International Conference on Information Technology in Medicine and Education (ITME)</t>
  </si>
  <si>
    <t>184-188</t>
  </si>
  <si>
    <t>10.1109/ITME56794.2022.00048</t>
  </si>
  <si>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</si>
  <si>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Computers;Training;COVID-19;Computational modeling;Education;C languages;Problem-solving;computional thinking;blended teaching;teaching reform;personalized learning</t>
  </si>
  <si>
    <t>2474-3828</t>
  </si>
  <si>
    <t>9684681</t>
  </si>
  <si>
    <t>Exploring the Balance Between Computational Thinking and Learning Motivation in Elementary Programming Education: An Empirical Study With Game-Based Learning</t>
  </si>
  <si>
    <t>Liu, Huizhong and Wu, Zengqing and Lu, Yili and Zhu, Ling</t>
  </si>
  <si>
    <t>IEEE Transactions on Games</t>
  </si>
  <si>
    <t>95-107</t>
  </si>
  <si>
    <t>10.1109/TG.2022.3143701</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</si>
  <si>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</si>
  <si>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Programming profession;Education;Programming environments;Games;Computer languages;C++ languages;Problem-solving;Computational thinking (CT);elementary education;game-based learning;learning motivation;programming</t>
  </si>
  <si>
    <t>2475-1510</t>
  </si>
  <si>
    <t>10107885</t>
  </si>
  <si>
    <t>A Computational Thinking Assessment Tool on Text- Based Programming</t>
  </si>
  <si>
    <t>Wang, Jihan and Zhang, Wei and Zeng, Xinyao and Li, Panpan</t>
  </si>
  <si>
    <t>326-331</t>
  </si>
  <si>
    <t>10.1109/ICEIT57125.2023.10107885</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</si>
  <si>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</si>
  <si>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Current measurement;Education;Information technology;Programming profession;computational thinking;text-based programming;assessment tool;qualitative analysis;quantitative analysis</t>
  </si>
  <si>
    <t>10125266</t>
  </si>
  <si>
    <t>Quantum Serious Games to Boost Quantum Literacy within Computational Thinking 2.0 Framework</t>
  </si>
  <si>
    <t>Xenakis, Apostolos and Avramouli, Maria and Sabani, Maria and Savvas, Ilias and Chaikalis, Costas and Theodoropoulou, Kalliopi</t>
  </si>
  <si>
    <t>10.1109/EDUCON54358.2023.10125266</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</si>
  <si>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</si>
  <si>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Quantum computing;Quantum entanglement;Scientific computing;Computational modeling;Games;Logic gates;Teleportation;Quantum Games;Quantum Literacy;Computational Thinking 2.0;Python</t>
  </si>
  <si>
    <t>10295206</t>
  </si>
  <si>
    <t>An Empirical Investigation of the Use of Artificial Neural Networks (ANN) for Lung Cancer Disease Diagnosis</t>
  </si>
  <si>
    <t>Debnath, Mintu and Ch, Viswanathasarma and Deivasigamani, S. and Tiwari, Mohit and Maginmani, Umme Habiba and Aswal, Shobha</t>
  </si>
  <si>
    <t>2023 IEEE 2nd International Conference on Industrial Electronics: Developments &amp; Applications (ICIDeA)</t>
  </si>
  <si>
    <t>254-258</t>
  </si>
  <si>
    <t>10.1109/ICIDeA59866.2023.10295206</t>
  </si>
  <si>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</si>
  <si>
    <t>Training;Lung cancer;Artificial neural networks;Machine learning;Reliability;Medical diagnosis;Optimization;“Artificial Neural Network (ANN)”;Lung cancer;Tumours</t>
  </si>
  <si>
    <t>10402181</t>
  </si>
  <si>
    <t>Data-driven Analysis of Elementary School Students’ Computational Thinking through Scratch Projects</t>
  </si>
  <si>
    <t>Yang, Guang and Saito, Daisuke and Washizaki, Hironori and Fukazawa, Yoshiaki</t>
  </si>
  <si>
    <t>2023 IEEE Integrated STEM Education Conference (ISEC)</t>
  </si>
  <si>
    <t>234-237</t>
  </si>
  <si>
    <t>10.1109/ISEC57711.2023.10402181</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</si>
  <si>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</si>
  <si>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Computer languages;Education;Market research;Programming profession;Computational thinking;Elementary school;Programming education;Scratch</t>
  </si>
  <si>
    <t>10398325</t>
  </si>
  <si>
    <t>Instilling Computational Thinking in Undergraduate Students Across Multiple Disciplines through an Adaptive Gamified e-Learning Platform</t>
  </si>
  <si>
    <t>Ng, Andrew Keong and Atmosukarto, Indriyati and Lee Teo, Julia Kwok and Amran, Ashraaf Bin</t>
  </si>
  <si>
    <t>10.1109/TALE56641.2023.10398325</t>
  </si>
  <si>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</si>
  <si>
    <t>Surveys;Computer languages;Electronic learning;Education;Sociology;Games;Problem-solving;computational thinking;adaptive learning;gamification;independent learning;online education;multiple disciplines</t>
  </si>
  <si>
    <t>10487722</t>
  </si>
  <si>
    <t>CSS: An Android Application for Solving the CPU Process Scheduling Problems</t>
  </si>
  <si>
    <t>Alzahrani, Mona and Albinali, Mona and Alotaibi, Saliyah</t>
  </si>
  <si>
    <t>2023 IEEE Asia-Pacific Conference on Computer Science and Data Engineering (CSDE)</t>
  </si>
  <si>
    <t>10.1109/CSDE59766.2023.10487722</t>
  </si>
  <si>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</si>
  <si>
    <t>Measurement;Computer science;Data engineering;Scheduling;Round robin;CPU scheduling;scheduling algorithms;preemptive and non-preemptive scheduling;First Come First Served (FCFS);Shortest Job First (SJF);Round Robin (RR)</t>
  </si>
  <si>
    <t>10496944</t>
  </si>
  <si>
    <t>Construction and Application of a Computational Thinking Assessment Framework from the Perspective of the Iceberg Model</t>
  </si>
  <si>
    <t>Zhou, Xuchen and Zhang, Wei and Wang, Shengming and Chen, Hao</t>
  </si>
  <si>
    <t>96-100</t>
  </si>
  <si>
    <t>10.1109/WAIE60568.2023.00025</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</si>
  <si>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</si>
  <si>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Computational modeling;Conferences;Education;Psychology;Icebergs;Artificial intelligence;Testing;computational thinking;computational thinking assessment;iceberg model;assessment framework;computational thinking education</t>
  </si>
  <si>
    <t>10505497</t>
  </si>
  <si>
    <t>Hot Spots and Trends of Computational Thinking Research in China CiteSpace visualization and analysis based on CNKI data</t>
  </si>
  <si>
    <t>Wang, Yiwei and Xu, Liancheng</t>
  </si>
  <si>
    <t>2023 13th International Conference on Information Technology in Medicine and Education (ITME)</t>
  </si>
  <si>
    <t>161-165</t>
  </si>
  <si>
    <t>10.1109/ITME60234.2023.00042</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</si>
  <si>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</si>
  <si>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Computer science;Computational modeling;Education;Data visualization;Organizations;Market research;Information age;computational thinking;information technology;STEM education;vocational secondary education;CiteSpace</t>
  </si>
  <si>
    <t>10172352</t>
  </si>
  <si>
    <t>Deep Convolutional Tables: Deep Learning Without Convolutions</t>
  </si>
  <si>
    <t>Dekel, Shay and Keller, Yosi and Bar-Hillel, Aharon</t>
  </si>
  <si>
    <t>13658-13670</t>
  </si>
  <si>
    <t>10.1109/TNNLS.2023.3270402</t>
  </si>
  <si>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</si>
  <si>
    <t>Deep learning;Computed tomography;Indexes;Convolutional codes;Convolutional neural networks;Training;Standards;Convolutional tables (CTs);deep learning;efficient computation</t>
  </si>
  <si>
    <t>10258248</t>
  </si>
  <si>
    <t>Towards Data-Driving Multi-View Evaluation Framework for Scratch</t>
  </si>
  <si>
    <t>Chai, Xiaolin and Sun, Yan and Gao, Yan</t>
  </si>
  <si>
    <t>Tsinghua Science and Technology</t>
  </si>
  <si>
    <t>517-528</t>
  </si>
  <si>
    <t>10.26599/TST.2023.9010016</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</si>
  <si>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</si>
  <si>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Visualization;Computer languages;Codes;Data analysis;Computed tomography;Image sequences;Scratch;Computational Thinking (CT);visual aesthetic;static analysis;integration policy;machine learning</t>
  </si>
  <si>
    <t>1007-0214</t>
  </si>
  <si>
    <t>10494609</t>
  </si>
  <si>
    <t>Cyber Threat Detection and Mitigation Using Artificial Intelligence &amp;#x2013; A Cyber&amp;#x2010;physical Perspective</t>
  </si>
  <si>
    <t>Stutz, Dalmo and Assis, Joaquim T. and Laghari, Asif A. and Khan, Abdullah A. and Deshpande, Anand and Kulkarni, Dhanashree and Terziev, Andrey and Jesus, Maria A. and Grata, Edwiges G.H.</t>
  </si>
  <si>
    <t>Applying Artificial Intelligence in Cybersecurity Analytics and Cyber Threat Detection</t>
  </si>
  <si>
    <t>107-133</t>
  </si>
  <si>
    <t>Wiley</t>
  </si>
  <si>
    <t>10.1002/9781394196470.ch7</t>
  </si>
  <si>
    <t>https://ieeexplore.ieee.org/document/10494609},</t>
  </si>
  <si>
    <t>The complexity of an independent &amp;#x201c;&lt;term definitionRef="#c07-tdef-0001</t>
  </si>
  <si>
    <t>Computer viruses;Viruses (medical);Codes;Manufacturing;Encryption;Computational modeling;Artificial neural networks</t>
  </si>
  <si>
    <t>9781394196456</t>
  </si>
  <si>
    <t>abbreviation" xml:id="c07-term-0007"&gt;variable structure control&lt;/term&gt;&amp;#x201d; (&lt;termDefinition xml:id="c07-tdef-0007"&gt;VSC&lt;/termDefinition&gt;) may estimate attacks and prevent CTs. Nonlinear monitoring aids in assessing NN and VSC attacks. Request time, accuracy, loss, and reliability analyses must be viable in CPS&amp;#x2010;AIs.</t>
  </si>
  <si>
    <t>10506466</t>
  </si>
  <si>
    <t>A Machine Learning-Based Adaptive Feedback System to Enhance Programming Skill Using Computational Thinking</t>
  </si>
  <si>
    <t>Kaleem, Muhammad and Hassan, Muhammad Awais and Khurshid, Syed Khaldoon</t>
  </si>
  <si>
    <t>59431-59440</t>
  </si>
  <si>
    <t>10.1109/ACCESS.2024.3391873</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</si>
  <si>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</si>
  <si>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Programming;Programming profession;Codes;Task analysis;Source coding;Clustering algorithms;Feedback;Cognitive systems;Object oriented programming;Machine learning;Education;Performance evaluation;Computational thinking assessment;feedback;K-means clustering;programming</t>
  </si>
  <si>
    <t>10500458</t>
  </si>
  <si>
    <t>Discovering Programming Talent and Improving Learning Motivation with CodeCombat in K-12 Education</t>
  </si>
  <si>
    <t>2024 IEEE World Engineering Education Conference (EDUNINE)</t>
  </si>
  <si>
    <t>10.1109/EDUNINE60625.2024.10500458</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</si>
  <si>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</si>
  <si>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Correlation;Search problems;Boosting;Engineering education;Programming profession;Python;CodeCombat;K-12 programming education;Programming talent search;Learning motivation</t>
  </si>
  <si>
    <t>10508087</t>
  </si>
  <si>
    <t>Scaffolding Computational Thinking With ChatGPT</t>
  </si>
  <si>
    <t>Liao, Jian and Zhong, Linrong and Zhe, Longting and Xu, Handan and Liu, Ming and Xie, Tao</t>
  </si>
  <si>
    <t>1628-1642</t>
  </si>
  <si>
    <t>10.1109/TLT.2024.3392896</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</si>
  <si>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</si>
  <si>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Chatbots;Education;Programming profession;Codes;Task analysis;Problem-solving;Encoding;Artificial-intelligence-generated content (AIGC);ChatGPT;computational thinking (CT);scaffolding</t>
  </si>
  <si>
    <t>10577151</t>
  </si>
  <si>
    <t>STEM-Based Bayesian Computational Learning Model-BCLM for Effective Learning of Bayesian Statistics</t>
  </si>
  <si>
    <t>Khuda, Ikram E. and Ahmad, Sadique and Ashraf Ateya, Abdelhamied</t>
  </si>
  <si>
    <t>91217-91228</t>
  </si>
  <si>
    <t>10.1109/ACCESS.2024.3420731</t>
  </si>
  <si>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</si>
  <si>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Bayes methods;Probability;Computational modeling;STEM;Mathematical models;Taxonomy;Problem-solving;Computer simulation;Engineering education;Intelligent systems;Project management;Risk management;Bloom’s taxonomy;Bayes’ theorem;computational thinking;computer simulations;decision making;engineering education;frequentist;intelligent systems design;machine learning;project management;risk analysis;STEM</t>
  </si>
  <si>
    <t>10578899</t>
  </si>
  <si>
    <t>Semantic Waves: A Strategy for Algorithmic Skills in K-12 Computer Science Education</t>
  </si>
  <si>
    <t>Ritter, Frauke and Standl, Bernhard</t>
  </si>
  <si>
    <t>10.1109/EDUCON60312.2024.10578899</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</si>
  <si>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</si>
  <si>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Training;Computational modeling;Semantics;Refining;Reflection;Computer science education;Planning</t>
  </si>
  <si>
    <t>10578608</t>
  </si>
  <si>
    <t>How Various Educational Features Influence Programming Performance in Primary School Education</t>
  </si>
  <si>
    <t>Choi, Wan-Chong and Lam, Chan-Tong and Mendes, António José</t>
  </si>
  <si>
    <t>10.1109/EDUCON60312.2024.10578608</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</si>
  <si>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</si>
  <si>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Training;Performance evaluation;Computers;Correlation;Syntactics;Mathematics;Cognition;Computer science;Programming Education;Educational Data Mining;Educational features correlation;Performance prediction;Features selection</t>
  </si>
  <si>
    <t>10666606</t>
  </si>
  <si>
    <t>Online Continual Safe Reinforcement Learning-based Optimal Control of Mobile Robot Formations</t>
  </si>
  <si>
    <t>Ganie, Irfan and Jagannathan, S.</t>
  </si>
  <si>
    <t>2024 IEEE Conference on Control Technology and Applications (CCTA)</t>
  </si>
  <si>
    <t>519-524</t>
  </si>
  <si>
    <t>10.1109/CCTA60707.2024.10666606</t>
  </si>
  <si>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</si>
  <si>
    <t>Systematics;Simulation;Neural networks;Process control;Optimal control;Reinforcement learning;Nonhomogeneous media;Optimal Control;Formation Control;Neural Networks;Mobile Robot</t>
  </si>
  <si>
    <t>2768-0770</t>
  </si>
  <si>
    <t>10664854</t>
  </si>
  <si>
    <t>Game-Based Assessment for Computational Thinking: A Systematic Review</t>
  </si>
  <si>
    <t>2024 IEEE Integrated STEM Education Conference (ISEC)</t>
  </si>
  <si>
    <t>01-08</t>
  </si>
  <si>
    <t>10.1109/ISEC61299.2024.10664854</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</si>
  <si>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</si>
  <si>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Cognitive processes;Current measurement;Education;Focusing;Games;Manuals;Encoding;computational thinking;systematic review;game-based assessment;STEM education</t>
  </si>
  <si>
    <t>10684198</t>
  </si>
  <si>
    <t>Problems With SHAP and LIME in Interpretable AI for Education: A Comparative Study of Post-Hoc Explanations and Neural-Symbolic Rule Extraction</t>
  </si>
  <si>
    <t>Hooshyar, Danial and Yang, Yeongwook</t>
  </si>
  <si>
    <t>137472-137490</t>
  </si>
  <si>
    <t>10.1109/ACCESS.2024.3463948</t>
  </si>
  <si>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</si>
  <si>
    <t>Machine learning;Artificial intelligence;Predictive models;Education;Data models;Reliability;Computational modeling;Learning systems;Explainable AI;Learner modelling;personalized learning;AI for education;explainable AI;neural-symbolic computing;SHAP;LIME</t>
  </si>
  <si>
    <t>10685684</t>
  </si>
  <si>
    <t>Does computational thinking really have an impact on academic performance? A systematic review</t>
  </si>
  <si>
    <t>Zhou, Pinghong and Tang, Yumin and Zhang, Yi and Yu, Yue and Li, Yixin</t>
  </si>
  <si>
    <t>153-157</t>
  </si>
  <si>
    <t>10.1109/ISET61814.2024.00038</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</si>
  <si>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</si>
  <si>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Databases;Educational technology;Market research;Encoding;computational thinking;systematic review;academic achievement</t>
  </si>
  <si>
    <t>10707923</t>
  </si>
  <si>
    <t>Empowering Elementary Students' Scratch Programming Skills Through a Jigsaw Collaborative Learning Method in a Metaverse Virtual Space</t>
  </si>
  <si>
    <t>Dai, Wan-Juan and Li, Ming-Chaun and Chen, Chih-Ming and Huang, Ming-Yan</t>
  </si>
  <si>
    <t>2024 16th IIAI International Congress on Advanced Applied Informatics (IIAI-AAI)</t>
  </si>
  <si>
    <t>142-147</t>
  </si>
  <si>
    <t>10.1109/IIAI-AAI63651.2024.00036</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</si>
  <si>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</si>
  <si>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Federated learning;Metaverse;Education;Programming;Aerospace electronics;Informatics;Computational thinking;Programming learning;Jigsaw collaborative learning method;Metaverse virtual space</t>
  </si>
  <si>
    <t>2472-0070</t>
  </si>
  <si>
    <t>10755072</t>
  </si>
  <si>
    <t>Segmented 3D Lung Cube Dataset and Dual-Model Framework for COVID-19 Severity Prediction</t>
  </si>
  <si>
    <t>Ali Khan, Mohsin and Shaukat, Arslan and Mustansar, Zartasha and Usman Akram, Muhammad</t>
  </si>
  <si>
    <t>172596-172609</t>
  </si>
  <si>
    <t>10.1109/ACCESS.2024.3501234</t>
  </si>
  <si>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</si>
  <si>
    <t>Computed tomography;Three-dimensional displays;Solid modeling;COVID-19;Lungs;Computational modeling;Accuracy;Convolutional neural networks;Training;Predictive models;3D CT scans;COVID-19 severity prediction;class imbalance;deep learning;dynamic augmentation;EfficientNetV2;feature extraction;fine-tuning;hybrid model architecture;iBOT;intubation prediction;volumetric CT analysis</t>
  </si>
  <si>
    <t>10812249</t>
  </si>
  <si>
    <t>Trying to Develop and Assess Computational Thinking in Computer Science Unplugged Activities with Gamification</t>
  </si>
  <si>
    <t>Triantafyllou, Serafeim A. and Sapounidis, Theodosios and Oikonomou, Andreas</t>
  </si>
  <si>
    <t>2024 32nd National Conference with International Participation (TELECOM)</t>
  </si>
  <si>
    <t>10.1109/TELECOM63374.2024.10812249</t>
  </si>
  <si>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</si>
  <si>
    <t>Taxonomy;Games;Cognition;Telecommunications;Problem-solving;Programming profession;computational thinking;computer science unplugged activities;gamification</t>
  </si>
  <si>
    <t>2837-5246</t>
  </si>
  <si>
    <t>10825962</t>
  </si>
  <si>
    <t>Training in Computational Archival Science: Do CAS Educational Frameworks meet Professional Expectations?</t>
  </si>
  <si>
    <t>Lemieux, Victoria L. and Arias-Hernandez, Richard</t>
  </si>
  <si>
    <t>2024 IEEE International Conference on Big Data (BigData)</t>
  </si>
  <si>
    <t>2440-2448</t>
  </si>
  <si>
    <t>10.1109/BigData62323.2024.10825962</t>
  </si>
  <si>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</si>
  <si>
    <t>Training;Big Data;Systems thinking;Computer security;computational archival science;education;educational frameworks;archives;artificial intelligence</t>
  </si>
  <si>
    <t>2573-2978</t>
  </si>
  <si>
    <t>10790396</t>
  </si>
  <si>
    <t>19 A novel blockchain-based artificial intelligence application for healthcare automation</t>
  </si>
  <si>
    <t>Kumar, Pramendra and Widjaja, Gunawan and Patankar, Nikhil S. and Suresh Kumar, B.</t>
  </si>
  <si>
    <t>Toward Artificial General Intelligence: Deep Learning, Neural Networks, Generative AI</t>
  </si>
  <si>
    <t>373-386</t>
  </si>
  <si>
    <t>https://ieeexplore.ieee.org/document/10790396},</t>
  </si>
  <si>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</si>
  <si>
    <t>Medical services;Blockchains;Artificial intelligence;Medical diagnostic imaging;Automation;Accuracy;Costs;Distributed ledger;Manuals;Machine learning algorithms</t>
  </si>
  <si>
    <t>9783111324166</t>
  </si>
  <si>
    <t>10790362</t>
  </si>
  <si>
    <t>6 Evaluation of AI model performance</t>
  </si>
  <si>
    <t>Ali, Syed Ibad and Kalaivaani, Padmavathi Thasappan and Ambigaipriya, S. and Rafeeq, M. D.</t>
  </si>
  <si>
    <t>125-144</t>
  </si>
  <si>
    <t>https://ieeexplore.ieee.org/document/10790362},</t>
  </si>
  <si>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</si>
  <si>
    <t>Artificial intelligence;Predictive models;Accuracy;Measurement;Classification algorithms;Data models;Target recognition;Surveys;Sensitivity;Prediction algorithms</t>
  </si>
  <si>
    <t>10868477</t>
  </si>
  <si>
    <t>Developing a Game to Assess Abstraction Skills of Elementary Students: Design Principles and Validation Process</t>
  </si>
  <si>
    <t>2024 4th International Conference on Educational Technology (ICET)</t>
  </si>
  <si>
    <t>163-168</t>
  </si>
  <si>
    <t>10.1109/ICET62460.2024.10868477</t>
  </si>
  <si>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</si>
  <si>
    <t>Data analysis;Reviews;Games;Educational technology;Aging;Reliability;Interviews;Usability;computational thinking;abstraction;game-based assessment;primary education</t>
  </si>
  <si>
    <t>10893053</t>
  </si>
  <si>
    <t>WIP: A Directed Graph Approach to Connecting and Assessing Critical Thinking and Problem-Solving in Engineering Education</t>
  </si>
  <si>
    <t>Johnson, Jaclyn E and Choi, Chang Kyoung and Tewari, Radheshyam and Narendranath, Aneet D</t>
  </si>
  <si>
    <t>10.1109/FIE61694.2024.10893053</t>
  </si>
  <si>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</si>
  <si>
    <t>Thermodynamics;Engineering profession;Decision making;Directed graphs;Problem-solving;Engineering education;critical thinking;problem-solving;engineering curriculum;assessment;directed graphs</t>
  </si>
  <si>
    <t>10893369</t>
  </si>
  <si>
    <t>Learning Sequencing with Bee-Bot: A Study on Improving Computational Thinking and Motivation for Young Learners in Programming Education</t>
  </si>
  <si>
    <t>Choi, Wan-Chong and Choi, Iek-Chong and Lam, Chan-Tong and Mendes, António José</t>
  </si>
  <si>
    <t>10.1109/FIE61694.2024.10893369</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</si>
  <si>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</si>
  <si>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Surveys;Sequential analysis;Correlation;Educational robots;Computational modeling;Educational technology;Solids;Problem-solving;Programming profession;Next generation networking;Bee-Bot;Computational thinking;Sequencing;Learning motivation;K-12 programming education</t>
  </si>
  <si>
    <t>10917362</t>
  </si>
  <si>
    <t>Automated Detection and Quantitative Assessment of Extranodal Extension in Lymph Node Breast Tumors Using Dual-Tier Deep Learning and Density-Based Contour Algorithms</t>
  </si>
  <si>
    <t>Yu, Zhichao and Fong, Simon James and Zhang, Liming and Li, Tengyue and Zhang, Xin</t>
  </si>
  <si>
    <t>2024 IEEE International Conference on Data Mining Workshops (ICDMW)</t>
  </si>
  <si>
    <t>877-886</t>
  </si>
  <si>
    <t>10.1109/ICDMW65004.2024.00120</t>
  </si>
  <si>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</si>
  <si>
    <t>Deep learning;Adaptation models;Accuracy;Breast tumors;Manuals;Inspection;Distance measurement;Breast cancer;Classification algorithms;Lymph nodes;Extranodal Extension Detection;Lymph Node Breast Tumors;Deep Learning;Contour Algorithms;Quantitative Tumour Assessment</t>
  </si>
  <si>
    <t>2375-9259</t>
  </si>
  <si>
    <t>10981347</t>
  </si>
  <si>
    <t>Work in Progress: Computational Thinking Skills Assessment in Higher Education</t>
  </si>
  <si>
    <t>10.1109/EDUNINE62377.2025.10981347</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</si>
  <si>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</si>
  <si>
    <t>Reliability;Engineering education;Systematic literature review;Computational Thinking;Assessment;Higher Education</t>
  </si>
  <si>
    <t>10988593</t>
  </si>
  <si>
    <t>An Analysis of Semi-Supervised Machine Learning in Electrical Machines</t>
  </si>
  <si>
    <t>Arvind, V. Raju and Shyamsharan, S. and Gurunathan, Poorvajaa and Kumba, Krishna and Ra, Nawin</t>
  </si>
  <si>
    <t>82927-82959</t>
  </si>
  <si>
    <t>10.1109/ACCESS.2025.3567047</t>
  </si>
  <si>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</si>
  <si>
    <t>Data models;Machine learning;Training;Predictive models;Accuracy;Prediction algorithms;Predictive maintenance;Semisupervised learning;Machine learning algorithms;Supervised learning;Electrical machines;machine learning;generative models;graph based methods;self training;co-training</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</si>
  <si>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</si>
  <si>
    <t>11123939</t>
  </si>
  <si>
    <t>Enhancing Computer Architecture Education Through Decentralized Visual Programming and RISC-V Simulation</t>
  </si>
  <si>
    <t>De Luca, Gennaro and Cowan, John and Chen, Yinong</t>
  </si>
  <si>
    <t>2025 IEEE 16th International Symposium on Autonomous Decentralized Systems (ISADS)</t>
  </si>
  <si>
    <t>9-15</t>
  </si>
  <si>
    <t>10.1109/ISADS66912.2025.00006</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</si>
  <si>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</si>
  <si>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Visualization;Codes;Quantum computing;Education;Computer architecture;Organizations;Traffic control;Hardware;Programming profession;Assembly;computer science education;RISC-V architecture;computer design and simulation;visual programming</t>
  </si>
  <si>
    <t>2640-7485</t>
  </si>
  <si>
    <t>11158224</t>
  </si>
  <si>
    <t>A Study of the Effectiveness of Gamified Learning in an Elementary School Artificial Intelligence Course</t>
  </si>
  <si>
    <t>Ma, Jingsi and Zhu, Zhifang</t>
  </si>
  <si>
    <t>556-560</t>
  </si>
  <si>
    <t>10.1109/ICAIE64856.2025.11158224</t>
  </si>
  <si>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</si>
  <si>
    <t>Learning systems;Computational modeling;Education;Boats;Learning (artificial intelligence);Artificial intelligence;elementary school artificial intelligence course;game-based learning;artificial intelligence knowledge;computational thinking;artificial intelligence perspectives</t>
  </si>
  <si>
    <t>11193626</t>
  </si>
  <si>
    <t>A DBVRL Approach: Developing Computational Thinking in Immersive Environments</t>
  </si>
  <si>
    <t>Li, Xing and Luo, JingJing and Ai, Di and Zhou, XiaoChun and Zhao, MingYue and Xiang, Hui</t>
  </si>
  <si>
    <t>271-275</t>
  </si>
  <si>
    <t>10.1109/ICDEL65868.2025.11193626</t>
  </si>
  <si>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</si>
  <si>
    <t>Technological innovation;Solid modeling;Navigation;Computational modeling;Education;Virtual reality;Problem-solving;Iterative methods;Programming profession;Drones;computational thinking;virtual reality;design-based learning</t>
  </si>
  <si>
    <t>11203966</t>
  </si>
  <si>
    <t>Tangible User Interfaces in Computer Programming Learning: A Systematic Literature Review</t>
  </si>
  <si>
    <t>Molina, Ana I. and Navarro, Christian X. and Alarcón, Oscar and Redondo, Miguel A.</t>
  </si>
  <si>
    <t>179538-179555</t>
  </si>
  <si>
    <t>10.1109/ACCESS.2025.3621839</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</si>
  <si>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</si>
  <si>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Programming;Programming profession;Education;Systematic literature review;Problem-solving;User interfaces;Programming environments;Codes;Visualization;Teamwork;Computer programming;programming teaching and learning;systematic literature review (SLR);tangible user interface (TUI)</t>
  </si>
  <si>
    <t>11220875</t>
  </si>
  <si>
    <t>Scanning the Issue</t>
  </si>
  <si>
    <t>Sacone, Simona</t>
  </si>
  <si>
    <t>IEEE Transactions on Intelligent Transportation Systems</t>
  </si>
  <si>
    <t>14440-14476</t>
  </si>
  <si>
    <t>10.1109/TITS.2025.3609620</t>
  </si>
  <si>
    <t>Summary form only: Abstracts of articles presented in this issue of the publication.</t>
  </si>
  <si>
    <t>1558-0016</t>
  </si>
  <si>
    <t>Not replicated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</si>
</sst>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1" fillId="0" borderId="0" xfId="1" applyAlignme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eeexplore.ieee.org/document/10789643" TargetMode="External"/><Relationship Id="rId1" Type="http://schemas.openxmlformats.org/officeDocument/2006/relationships/hyperlink" Target="https://ieeexplore.ieee.org/document/8709313%7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ieeexplore.ieee.org/document/10790396%7d," TargetMode="External"/><Relationship Id="rId2" Type="http://schemas.openxmlformats.org/officeDocument/2006/relationships/hyperlink" Target="https://ieeexplore.ieee.org/document/10494609%7d," TargetMode="External"/><Relationship Id="rId1" Type="http://schemas.openxmlformats.org/officeDocument/2006/relationships/hyperlink" Target="https://ieeexplore.ieee.org/document/10788538%7d," TargetMode="External"/><Relationship Id="rId4" Type="http://schemas.openxmlformats.org/officeDocument/2006/relationships/hyperlink" Target="https://ieeexplore.ieee.org/document/1079036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65"/>
  <sheetViews>
    <sheetView workbookViewId="0"/>
  </sheetViews>
  <sheetFormatPr defaultRowHeight="14.5" x14ac:dyDescent="0.35"/>
  <cols>
    <col min="1" max="1" width="8.7265625" customWidth="1"/>
  </cols>
  <sheetData>
    <row r="1" spans="1:17" x14ac:dyDescent="0.35">
      <c r="A1" s="1" t="s">
        <v>8</v>
      </c>
      <c r="B1" s="1" t="s">
        <v>1</v>
      </c>
      <c r="C1" s="1" t="s">
        <v>3</v>
      </c>
      <c r="D1" s="1" t="s">
        <v>6</v>
      </c>
      <c r="E1" s="1" t="s">
        <v>56</v>
      </c>
      <c r="F1" s="1" t="s">
        <v>10</v>
      </c>
      <c r="G1" s="1" t="s">
        <v>11</v>
      </c>
      <c r="H1" s="1" t="s">
        <v>4</v>
      </c>
      <c r="I1" s="1" t="s">
        <v>14</v>
      </c>
      <c r="J1" s="1" t="s">
        <v>57</v>
      </c>
      <c r="K1" s="1" t="s">
        <v>13</v>
      </c>
      <c r="L1" s="1" t="s">
        <v>9</v>
      </c>
      <c r="M1" s="1" t="s">
        <v>5</v>
      </c>
      <c r="N1" s="1" t="s">
        <v>0</v>
      </c>
      <c r="O1" s="1" t="s">
        <v>7</v>
      </c>
      <c r="P1" s="1" t="s">
        <v>12</v>
      </c>
      <c r="Q1" s="1" t="s">
        <v>2</v>
      </c>
    </row>
    <row r="2" spans="1:17" x14ac:dyDescent="0.35">
      <c r="A2" t="s">
        <v>58</v>
      </c>
      <c r="B2" t="s">
        <v>59</v>
      </c>
      <c r="C2" t="s">
        <v>60</v>
      </c>
      <c r="D2" t="s">
        <v>61</v>
      </c>
      <c r="E2" t="s">
        <v>62</v>
      </c>
      <c r="I2" t="s">
        <v>63</v>
      </c>
      <c r="J2" t="s">
        <v>64</v>
      </c>
      <c r="L2" t="s">
        <v>65</v>
      </c>
      <c r="N2" t="s">
        <v>66</v>
      </c>
      <c r="Q2" t="s">
        <v>67</v>
      </c>
    </row>
    <row r="3" spans="1:17" x14ac:dyDescent="0.35">
      <c r="A3" t="s">
        <v>68</v>
      </c>
      <c r="B3" t="s">
        <v>69</v>
      </c>
      <c r="C3" t="s">
        <v>70</v>
      </c>
      <c r="D3" t="s">
        <v>71</v>
      </c>
      <c r="E3" t="s">
        <v>72</v>
      </c>
      <c r="G3" t="s">
        <v>73</v>
      </c>
      <c r="I3" t="s">
        <v>74</v>
      </c>
      <c r="J3" t="s">
        <v>75</v>
      </c>
      <c r="L3" t="s">
        <v>76</v>
      </c>
      <c r="N3" t="s">
        <v>77</v>
      </c>
      <c r="Q3" t="s">
        <v>26</v>
      </c>
    </row>
    <row r="4" spans="1:17" x14ac:dyDescent="0.35">
      <c r="A4" t="s">
        <v>78</v>
      </c>
      <c r="B4" t="s">
        <v>79</v>
      </c>
      <c r="C4" t="s">
        <v>80</v>
      </c>
      <c r="D4" t="s">
        <v>81</v>
      </c>
      <c r="E4" t="s">
        <v>82</v>
      </c>
      <c r="I4" t="s">
        <v>83</v>
      </c>
      <c r="J4" t="s">
        <v>84</v>
      </c>
      <c r="L4" t="s">
        <v>85</v>
      </c>
      <c r="N4" t="s">
        <v>86</v>
      </c>
      <c r="Q4" t="s">
        <v>26</v>
      </c>
    </row>
    <row r="5" spans="1:17" x14ac:dyDescent="0.35">
      <c r="A5" t="s">
        <v>87</v>
      </c>
      <c r="B5" t="s">
        <v>88</v>
      </c>
      <c r="C5" t="s">
        <v>89</v>
      </c>
      <c r="D5" t="s">
        <v>90</v>
      </c>
      <c r="E5" t="s">
        <v>91</v>
      </c>
      <c r="I5" t="s">
        <v>92</v>
      </c>
      <c r="J5" t="s">
        <v>93</v>
      </c>
      <c r="L5" t="s">
        <v>94</v>
      </c>
      <c r="N5" t="s">
        <v>95</v>
      </c>
      <c r="Q5" t="s">
        <v>26</v>
      </c>
    </row>
    <row r="6" spans="1:17" x14ac:dyDescent="0.35">
      <c r="A6" t="s">
        <v>96</v>
      </c>
      <c r="B6" t="s">
        <v>97</v>
      </c>
      <c r="C6" t="s">
        <v>98</v>
      </c>
      <c r="D6" t="s">
        <v>99</v>
      </c>
      <c r="E6" t="s">
        <v>100</v>
      </c>
      <c r="G6" t="s">
        <v>101</v>
      </c>
      <c r="I6" t="s">
        <v>102</v>
      </c>
      <c r="J6" t="s">
        <v>103</v>
      </c>
      <c r="L6" t="s">
        <v>104</v>
      </c>
      <c r="N6" t="s">
        <v>105</v>
      </c>
      <c r="Q6" t="s">
        <v>47</v>
      </c>
    </row>
    <row r="7" spans="1:17" x14ac:dyDescent="0.35">
      <c r="A7" t="s">
        <v>106</v>
      </c>
      <c r="B7" t="s">
        <v>107</v>
      </c>
      <c r="D7" t="s">
        <v>108</v>
      </c>
      <c r="E7" t="s">
        <v>109</v>
      </c>
      <c r="G7" t="s">
        <v>110</v>
      </c>
      <c r="H7" t="s">
        <v>111</v>
      </c>
      <c r="I7" t="s">
        <v>112</v>
      </c>
      <c r="J7" t="s">
        <v>113</v>
      </c>
      <c r="K7" t="s">
        <v>25</v>
      </c>
      <c r="L7" t="s">
        <v>114</v>
      </c>
      <c r="N7" t="s">
        <v>115</v>
      </c>
      <c r="P7" t="s">
        <v>116</v>
      </c>
      <c r="Q7" t="s">
        <v>47</v>
      </c>
    </row>
    <row r="8" spans="1:17" x14ac:dyDescent="0.35">
      <c r="A8" t="s">
        <v>117</v>
      </c>
      <c r="B8" t="s">
        <v>118</v>
      </c>
      <c r="C8" t="s">
        <v>119</v>
      </c>
      <c r="D8" t="s">
        <v>120</v>
      </c>
      <c r="E8" t="s">
        <v>121</v>
      </c>
      <c r="I8" t="s">
        <v>122</v>
      </c>
      <c r="J8" t="s">
        <v>113</v>
      </c>
      <c r="L8" t="s">
        <v>123</v>
      </c>
      <c r="N8" t="s">
        <v>124</v>
      </c>
      <c r="Q8" t="s">
        <v>47</v>
      </c>
    </row>
    <row r="9" spans="1:17" x14ac:dyDescent="0.35">
      <c r="A9" t="s">
        <v>125</v>
      </c>
      <c r="B9" t="s">
        <v>126</v>
      </c>
      <c r="C9" t="s">
        <v>127</v>
      </c>
      <c r="D9" t="s">
        <v>128</v>
      </c>
      <c r="E9" t="s">
        <v>129</v>
      </c>
      <c r="I9" t="s">
        <v>130</v>
      </c>
      <c r="J9" t="s">
        <v>93</v>
      </c>
      <c r="L9" t="s">
        <v>131</v>
      </c>
      <c r="N9" t="s">
        <v>132</v>
      </c>
      <c r="Q9" t="s">
        <v>47</v>
      </c>
    </row>
    <row r="10" spans="1:17" x14ac:dyDescent="0.35">
      <c r="A10" t="s">
        <v>133</v>
      </c>
      <c r="B10" t="s">
        <v>134</v>
      </c>
      <c r="C10" t="s">
        <v>135</v>
      </c>
      <c r="D10" t="s">
        <v>136</v>
      </c>
      <c r="E10" t="s">
        <v>137</v>
      </c>
      <c r="I10" t="s">
        <v>138</v>
      </c>
      <c r="J10" t="s">
        <v>103</v>
      </c>
      <c r="L10" t="s">
        <v>139</v>
      </c>
      <c r="N10" t="s">
        <v>140</v>
      </c>
      <c r="Q10" t="s">
        <v>35</v>
      </c>
    </row>
    <row r="11" spans="1:17" x14ac:dyDescent="0.35">
      <c r="A11" t="s">
        <v>141</v>
      </c>
      <c r="B11" t="s">
        <v>142</v>
      </c>
      <c r="C11" t="s">
        <v>143</v>
      </c>
      <c r="D11" t="s">
        <v>144</v>
      </c>
      <c r="E11" t="s">
        <v>145</v>
      </c>
      <c r="G11" t="s">
        <v>101</v>
      </c>
      <c r="I11" t="s">
        <v>146</v>
      </c>
      <c r="J11" t="s">
        <v>147</v>
      </c>
      <c r="L11" t="s">
        <v>148</v>
      </c>
      <c r="N11" t="s">
        <v>149</v>
      </c>
      <c r="Q11" t="s">
        <v>35</v>
      </c>
    </row>
    <row r="12" spans="1:17" x14ac:dyDescent="0.35">
      <c r="A12" t="s">
        <v>150</v>
      </c>
      <c r="B12" t="s">
        <v>151</v>
      </c>
      <c r="C12" t="s">
        <v>143</v>
      </c>
      <c r="D12" t="s">
        <v>152</v>
      </c>
      <c r="E12" t="s">
        <v>153</v>
      </c>
      <c r="G12" t="s">
        <v>101</v>
      </c>
      <c r="I12" t="s">
        <v>154</v>
      </c>
      <c r="J12" t="s">
        <v>147</v>
      </c>
      <c r="L12" t="s">
        <v>155</v>
      </c>
      <c r="N12" t="s">
        <v>156</v>
      </c>
      <c r="Q12" t="s">
        <v>35</v>
      </c>
    </row>
    <row r="13" spans="1:17" x14ac:dyDescent="0.35">
      <c r="A13" t="s">
        <v>157</v>
      </c>
      <c r="B13" t="s">
        <v>158</v>
      </c>
      <c r="C13" t="s">
        <v>159</v>
      </c>
      <c r="D13" t="s">
        <v>160</v>
      </c>
      <c r="E13" t="s">
        <v>161</v>
      </c>
      <c r="G13" t="s">
        <v>162</v>
      </c>
      <c r="I13" t="s">
        <v>163</v>
      </c>
      <c r="J13" t="s">
        <v>64</v>
      </c>
      <c r="L13" t="s">
        <v>164</v>
      </c>
      <c r="N13" t="s">
        <v>165</v>
      </c>
      <c r="Q13" t="s">
        <v>35</v>
      </c>
    </row>
    <row r="14" spans="1:17" x14ac:dyDescent="0.35">
      <c r="A14" t="s">
        <v>166</v>
      </c>
      <c r="B14" t="s">
        <v>167</v>
      </c>
      <c r="C14" t="s">
        <v>168</v>
      </c>
      <c r="D14" t="s">
        <v>169</v>
      </c>
      <c r="E14" t="s">
        <v>170</v>
      </c>
      <c r="I14" t="s">
        <v>171</v>
      </c>
      <c r="J14" t="s">
        <v>172</v>
      </c>
      <c r="L14" t="s">
        <v>173</v>
      </c>
      <c r="N14" t="s">
        <v>174</v>
      </c>
      <c r="Q14" t="s">
        <v>41</v>
      </c>
    </row>
    <row r="15" spans="1:17" x14ac:dyDescent="0.35">
      <c r="A15" t="s">
        <v>175</v>
      </c>
      <c r="B15" t="s">
        <v>176</v>
      </c>
      <c r="C15" t="s">
        <v>177</v>
      </c>
      <c r="D15" t="s">
        <v>178</v>
      </c>
      <c r="E15" t="s">
        <v>179</v>
      </c>
      <c r="I15" t="s">
        <v>180</v>
      </c>
      <c r="J15" t="s">
        <v>147</v>
      </c>
      <c r="L15" t="s">
        <v>181</v>
      </c>
      <c r="N15" t="s">
        <v>182</v>
      </c>
      <c r="Q15" t="s">
        <v>41</v>
      </c>
    </row>
    <row r="16" spans="1:17" x14ac:dyDescent="0.35">
      <c r="A16" t="s">
        <v>183</v>
      </c>
      <c r="B16" t="s">
        <v>184</v>
      </c>
      <c r="D16" t="s">
        <v>185</v>
      </c>
      <c r="E16" t="s">
        <v>186</v>
      </c>
      <c r="G16" t="s">
        <v>187</v>
      </c>
      <c r="H16" t="s">
        <v>188</v>
      </c>
      <c r="I16" t="s">
        <v>189</v>
      </c>
      <c r="J16" t="s">
        <v>84</v>
      </c>
      <c r="K16" t="s">
        <v>38</v>
      </c>
      <c r="L16" t="s">
        <v>190</v>
      </c>
      <c r="N16" t="s">
        <v>191</v>
      </c>
      <c r="P16" t="s">
        <v>192</v>
      </c>
      <c r="Q16" t="s">
        <v>41</v>
      </c>
    </row>
    <row r="17" spans="1:17" x14ac:dyDescent="0.35">
      <c r="A17" t="s">
        <v>193</v>
      </c>
      <c r="B17" t="s">
        <v>194</v>
      </c>
      <c r="C17" t="s">
        <v>195</v>
      </c>
      <c r="D17" t="s">
        <v>196</v>
      </c>
      <c r="E17" t="s">
        <v>197</v>
      </c>
      <c r="G17" t="s">
        <v>198</v>
      </c>
      <c r="I17" t="s">
        <v>199</v>
      </c>
      <c r="J17" t="s">
        <v>200</v>
      </c>
      <c r="L17" t="s">
        <v>201</v>
      </c>
      <c r="N17" t="s">
        <v>202</v>
      </c>
      <c r="Q17" t="s">
        <v>41</v>
      </c>
    </row>
    <row r="18" spans="1:17" x14ac:dyDescent="0.35">
      <c r="A18" t="s">
        <v>203</v>
      </c>
      <c r="B18" t="s">
        <v>204</v>
      </c>
      <c r="C18" t="s">
        <v>205</v>
      </c>
      <c r="D18" t="s">
        <v>206</v>
      </c>
      <c r="E18" t="s">
        <v>207</v>
      </c>
      <c r="I18" t="s">
        <v>208</v>
      </c>
      <c r="J18" t="s">
        <v>113</v>
      </c>
      <c r="L18" t="s">
        <v>209</v>
      </c>
      <c r="N18" t="s">
        <v>210</v>
      </c>
      <c r="Q18" t="s">
        <v>41</v>
      </c>
    </row>
    <row r="19" spans="1:17" x14ac:dyDescent="0.35">
      <c r="A19" t="s">
        <v>211</v>
      </c>
      <c r="B19" t="s">
        <v>212</v>
      </c>
      <c r="C19" t="s">
        <v>213</v>
      </c>
      <c r="D19" t="s">
        <v>214</v>
      </c>
      <c r="E19" t="s">
        <v>215</v>
      </c>
      <c r="I19" t="s">
        <v>216</v>
      </c>
      <c r="J19" t="s">
        <v>113</v>
      </c>
      <c r="L19" t="s">
        <v>173</v>
      </c>
      <c r="N19" t="s">
        <v>217</v>
      </c>
      <c r="Q19" t="s">
        <v>41</v>
      </c>
    </row>
    <row r="20" spans="1:17" x14ac:dyDescent="0.35">
      <c r="A20" t="s">
        <v>218</v>
      </c>
      <c r="B20" t="s">
        <v>219</v>
      </c>
      <c r="C20" t="s">
        <v>220</v>
      </c>
      <c r="D20" t="s">
        <v>221</v>
      </c>
      <c r="E20" t="s">
        <v>222</v>
      </c>
      <c r="G20" t="s">
        <v>223</v>
      </c>
      <c r="I20" t="s">
        <v>224</v>
      </c>
      <c r="J20" t="s">
        <v>225</v>
      </c>
      <c r="L20" t="s">
        <v>226</v>
      </c>
      <c r="N20" t="s">
        <v>227</v>
      </c>
      <c r="Q20" t="s">
        <v>41</v>
      </c>
    </row>
    <row r="21" spans="1:17" x14ac:dyDescent="0.35">
      <c r="A21" t="s">
        <v>228</v>
      </c>
      <c r="B21" t="s">
        <v>229</v>
      </c>
      <c r="C21" t="s">
        <v>230</v>
      </c>
      <c r="D21" t="s">
        <v>231</v>
      </c>
      <c r="E21" t="s">
        <v>232</v>
      </c>
      <c r="I21" t="s">
        <v>233</v>
      </c>
      <c r="J21" t="s">
        <v>113</v>
      </c>
      <c r="L21" t="s">
        <v>181</v>
      </c>
      <c r="N21" t="s">
        <v>234</v>
      </c>
      <c r="Q21" t="s">
        <v>41</v>
      </c>
    </row>
    <row r="22" spans="1:17" x14ac:dyDescent="0.35">
      <c r="A22" t="s">
        <v>235</v>
      </c>
      <c r="B22" t="s">
        <v>236</v>
      </c>
      <c r="C22" t="s">
        <v>237</v>
      </c>
      <c r="D22" t="s">
        <v>238</v>
      </c>
      <c r="E22" t="s">
        <v>239</v>
      </c>
      <c r="G22" t="s">
        <v>101</v>
      </c>
      <c r="I22" t="s">
        <v>240</v>
      </c>
      <c r="J22" t="s">
        <v>147</v>
      </c>
      <c r="L22" t="s">
        <v>241</v>
      </c>
      <c r="N22" t="s">
        <v>242</v>
      </c>
      <c r="Q22" t="s">
        <v>33</v>
      </c>
    </row>
    <row r="23" spans="1:17" x14ac:dyDescent="0.35">
      <c r="A23" t="s">
        <v>243</v>
      </c>
      <c r="B23" t="s">
        <v>244</v>
      </c>
      <c r="C23" t="s">
        <v>237</v>
      </c>
      <c r="D23" t="s">
        <v>245</v>
      </c>
      <c r="E23" t="s">
        <v>246</v>
      </c>
      <c r="G23" t="s">
        <v>101</v>
      </c>
      <c r="I23" t="s">
        <v>247</v>
      </c>
      <c r="J23" t="s">
        <v>147</v>
      </c>
      <c r="L23" t="s">
        <v>248</v>
      </c>
      <c r="N23" t="s">
        <v>249</v>
      </c>
      <c r="Q23" t="s">
        <v>33</v>
      </c>
    </row>
    <row r="24" spans="1:17" x14ac:dyDescent="0.35">
      <c r="A24" t="s">
        <v>250</v>
      </c>
      <c r="B24" t="s">
        <v>251</v>
      </c>
      <c r="C24" t="s">
        <v>252</v>
      </c>
      <c r="D24" t="s">
        <v>253</v>
      </c>
      <c r="E24" t="s">
        <v>254</v>
      </c>
      <c r="I24" t="s">
        <v>255</v>
      </c>
      <c r="J24" t="s">
        <v>172</v>
      </c>
      <c r="L24" t="s">
        <v>94</v>
      </c>
      <c r="N24" t="s">
        <v>256</v>
      </c>
      <c r="Q24" t="s">
        <v>33</v>
      </c>
    </row>
    <row r="25" spans="1:17" x14ac:dyDescent="0.35">
      <c r="A25" t="s">
        <v>257</v>
      </c>
      <c r="B25" t="s">
        <v>258</v>
      </c>
      <c r="D25" t="s">
        <v>259</v>
      </c>
      <c r="E25" t="s">
        <v>260</v>
      </c>
      <c r="G25" t="s">
        <v>261</v>
      </c>
      <c r="H25" t="s">
        <v>262</v>
      </c>
      <c r="I25" t="s">
        <v>263</v>
      </c>
      <c r="J25" t="s">
        <v>264</v>
      </c>
      <c r="L25" t="s">
        <v>265</v>
      </c>
      <c r="N25" t="s">
        <v>266</v>
      </c>
      <c r="P25" t="s">
        <v>19</v>
      </c>
      <c r="Q25" t="s">
        <v>33</v>
      </c>
    </row>
    <row r="26" spans="1:17" x14ac:dyDescent="0.35">
      <c r="A26" t="s">
        <v>267</v>
      </c>
      <c r="B26" t="s">
        <v>268</v>
      </c>
      <c r="C26" t="s">
        <v>269</v>
      </c>
      <c r="D26" t="s">
        <v>270</v>
      </c>
      <c r="E26" t="s">
        <v>271</v>
      </c>
      <c r="G26" t="s">
        <v>223</v>
      </c>
      <c r="I26" t="s">
        <v>272</v>
      </c>
      <c r="J26" t="s">
        <v>225</v>
      </c>
      <c r="L26" t="s">
        <v>273</v>
      </c>
      <c r="N26" t="s">
        <v>274</v>
      </c>
      <c r="Q26" t="s">
        <v>33</v>
      </c>
    </row>
    <row r="27" spans="1:17" x14ac:dyDescent="0.35">
      <c r="A27" t="s">
        <v>275</v>
      </c>
      <c r="B27" t="s">
        <v>276</v>
      </c>
      <c r="C27" t="s">
        <v>277</v>
      </c>
      <c r="D27" t="s">
        <v>278</v>
      </c>
      <c r="E27" t="s">
        <v>279</v>
      </c>
      <c r="G27" t="s">
        <v>280</v>
      </c>
      <c r="I27" t="s">
        <v>281</v>
      </c>
      <c r="J27" t="s">
        <v>93</v>
      </c>
      <c r="L27" t="s">
        <v>123</v>
      </c>
      <c r="N27" t="s">
        <v>282</v>
      </c>
      <c r="Q27" t="s">
        <v>33</v>
      </c>
    </row>
    <row r="28" spans="1:17" x14ac:dyDescent="0.35">
      <c r="A28" t="s">
        <v>283</v>
      </c>
      <c r="B28" t="s">
        <v>284</v>
      </c>
      <c r="C28" t="s">
        <v>285</v>
      </c>
      <c r="D28" t="s">
        <v>286</v>
      </c>
      <c r="E28" t="s">
        <v>287</v>
      </c>
      <c r="G28" t="s">
        <v>288</v>
      </c>
      <c r="I28" t="s">
        <v>289</v>
      </c>
      <c r="J28" t="s">
        <v>147</v>
      </c>
      <c r="L28" t="s">
        <v>290</v>
      </c>
      <c r="N28" t="s">
        <v>291</v>
      </c>
      <c r="Q28" t="s">
        <v>33</v>
      </c>
    </row>
    <row r="29" spans="1:17" x14ac:dyDescent="0.35">
      <c r="A29" t="s">
        <v>292</v>
      </c>
      <c r="B29" t="s">
        <v>293</v>
      </c>
      <c r="C29" t="s">
        <v>294</v>
      </c>
      <c r="D29" t="s">
        <v>295</v>
      </c>
      <c r="E29" t="s">
        <v>296</v>
      </c>
      <c r="I29" t="s">
        <v>297</v>
      </c>
      <c r="J29" t="s">
        <v>113</v>
      </c>
      <c r="L29" t="s">
        <v>298</v>
      </c>
      <c r="N29" t="s">
        <v>299</v>
      </c>
      <c r="Q29" t="s">
        <v>33</v>
      </c>
    </row>
    <row r="30" spans="1:17" x14ac:dyDescent="0.35">
      <c r="A30" t="s">
        <v>300</v>
      </c>
      <c r="B30" t="s">
        <v>301</v>
      </c>
      <c r="C30" t="s">
        <v>302</v>
      </c>
      <c r="E30" t="s">
        <v>303</v>
      </c>
      <c r="F30" t="s">
        <v>304</v>
      </c>
      <c r="L30" t="s">
        <v>305</v>
      </c>
      <c r="M30" t="s">
        <v>306</v>
      </c>
      <c r="N30" t="s">
        <v>307</v>
      </c>
      <c r="O30" s="3" t="s">
        <v>308</v>
      </c>
      <c r="Q30" t="s">
        <v>18</v>
      </c>
    </row>
    <row r="31" spans="1:17" x14ac:dyDescent="0.35">
      <c r="A31" t="s">
        <v>309</v>
      </c>
      <c r="B31" t="s">
        <v>310</v>
      </c>
      <c r="C31" t="s">
        <v>311</v>
      </c>
      <c r="D31" t="s">
        <v>312</v>
      </c>
      <c r="E31" t="s">
        <v>313</v>
      </c>
      <c r="G31" t="s">
        <v>198</v>
      </c>
      <c r="I31" t="s">
        <v>314</v>
      </c>
      <c r="J31" t="s">
        <v>200</v>
      </c>
      <c r="L31" t="s">
        <v>315</v>
      </c>
      <c r="N31" t="s">
        <v>316</v>
      </c>
      <c r="P31" t="s">
        <v>198</v>
      </c>
      <c r="Q31" t="s">
        <v>18</v>
      </c>
    </row>
    <row r="32" spans="1:17" x14ac:dyDescent="0.35">
      <c r="A32" t="s">
        <v>317</v>
      </c>
      <c r="B32" t="s">
        <v>318</v>
      </c>
      <c r="C32" t="s">
        <v>319</v>
      </c>
      <c r="D32" t="s">
        <v>320</v>
      </c>
      <c r="E32" t="s">
        <v>321</v>
      </c>
      <c r="G32" t="s">
        <v>322</v>
      </c>
      <c r="I32" t="s">
        <v>323</v>
      </c>
      <c r="J32" t="s">
        <v>84</v>
      </c>
      <c r="L32" t="s">
        <v>324</v>
      </c>
      <c r="N32" t="s">
        <v>325</v>
      </c>
      <c r="Q32" t="s">
        <v>18</v>
      </c>
    </row>
    <row r="33" spans="1:17" x14ac:dyDescent="0.35">
      <c r="A33" t="s">
        <v>326</v>
      </c>
      <c r="C33" t="s">
        <v>319</v>
      </c>
      <c r="D33" t="s">
        <v>327</v>
      </c>
      <c r="E33" t="s">
        <v>328</v>
      </c>
      <c r="G33" t="s">
        <v>322</v>
      </c>
      <c r="J33" t="s">
        <v>84</v>
      </c>
      <c r="L33" t="s">
        <v>329</v>
      </c>
      <c r="N33" t="s">
        <v>330</v>
      </c>
      <c r="Q33" t="s">
        <v>18</v>
      </c>
    </row>
    <row r="34" spans="1:17" x14ac:dyDescent="0.35">
      <c r="A34" t="s">
        <v>331</v>
      </c>
      <c r="B34" t="s">
        <v>332</v>
      </c>
      <c r="C34" t="s">
        <v>333</v>
      </c>
      <c r="D34" t="s">
        <v>334</v>
      </c>
      <c r="E34" t="s">
        <v>335</v>
      </c>
      <c r="G34" t="s">
        <v>336</v>
      </c>
      <c r="I34" t="s">
        <v>337</v>
      </c>
      <c r="J34" t="s">
        <v>113</v>
      </c>
      <c r="L34" t="s">
        <v>338</v>
      </c>
      <c r="N34" t="s">
        <v>339</v>
      </c>
      <c r="Q34" t="s">
        <v>18</v>
      </c>
    </row>
    <row r="35" spans="1:17" x14ac:dyDescent="0.35">
      <c r="A35" t="s">
        <v>340</v>
      </c>
      <c r="B35" t="s">
        <v>341</v>
      </c>
      <c r="C35" t="s">
        <v>342</v>
      </c>
      <c r="D35" t="s">
        <v>343</v>
      </c>
      <c r="E35" t="s">
        <v>344</v>
      </c>
      <c r="I35" t="s">
        <v>345</v>
      </c>
      <c r="J35" t="s">
        <v>113</v>
      </c>
      <c r="L35" t="s">
        <v>346</v>
      </c>
      <c r="N35" t="s">
        <v>347</v>
      </c>
      <c r="Q35" t="s">
        <v>18</v>
      </c>
    </row>
    <row r="36" spans="1:17" x14ac:dyDescent="0.35">
      <c r="A36" t="s">
        <v>348</v>
      </c>
      <c r="B36" t="s">
        <v>349</v>
      </c>
      <c r="C36" t="s">
        <v>350</v>
      </c>
      <c r="D36" t="s">
        <v>351</v>
      </c>
      <c r="E36" t="s">
        <v>352</v>
      </c>
      <c r="G36" t="s">
        <v>353</v>
      </c>
      <c r="I36" t="s">
        <v>354</v>
      </c>
      <c r="J36" t="s">
        <v>113</v>
      </c>
      <c r="L36" t="s">
        <v>355</v>
      </c>
      <c r="N36" t="s">
        <v>356</v>
      </c>
      <c r="Q36" t="s">
        <v>18</v>
      </c>
    </row>
    <row r="37" spans="1:17" x14ac:dyDescent="0.35">
      <c r="A37" t="s">
        <v>357</v>
      </c>
      <c r="B37" t="s">
        <v>358</v>
      </c>
      <c r="C37" t="s">
        <v>359</v>
      </c>
      <c r="D37" t="s">
        <v>360</v>
      </c>
      <c r="E37" t="s">
        <v>361</v>
      </c>
      <c r="G37" t="s">
        <v>362</v>
      </c>
      <c r="I37" t="s">
        <v>363</v>
      </c>
      <c r="J37" t="s">
        <v>93</v>
      </c>
      <c r="L37" t="s">
        <v>364</v>
      </c>
      <c r="N37" t="s">
        <v>365</v>
      </c>
      <c r="Q37" t="s">
        <v>18</v>
      </c>
    </row>
    <row r="38" spans="1:17" x14ac:dyDescent="0.35">
      <c r="A38" t="s">
        <v>366</v>
      </c>
      <c r="B38" t="s">
        <v>367</v>
      </c>
      <c r="C38" t="s">
        <v>368</v>
      </c>
      <c r="D38" t="s">
        <v>369</v>
      </c>
      <c r="E38" t="s">
        <v>370</v>
      </c>
      <c r="G38" t="s">
        <v>371</v>
      </c>
      <c r="I38" t="s">
        <v>372</v>
      </c>
      <c r="J38" t="s">
        <v>93</v>
      </c>
      <c r="L38" t="s">
        <v>373</v>
      </c>
      <c r="N38" t="s">
        <v>374</v>
      </c>
      <c r="Q38" t="s">
        <v>18</v>
      </c>
    </row>
    <row r="39" spans="1:17" x14ac:dyDescent="0.35">
      <c r="A39" t="s">
        <v>375</v>
      </c>
      <c r="B39" t="s">
        <v>376</v>
      </c>
      <c r="D39" t="s">
        <v>377</v>
      </c>
      <c r="E39" t="s">
        <v>378</v>
      </c>
      <c r="G39" t="s">
        <v>379</v>
      </c>
      <c r="H39" t="s">
        <v>380</v>
      </c>
      <c r="I39" t="s">
        <v>381</v>
      </c>
      <c r="J39" t="s">
        <v>75</v>
      </c>
      <c r="K39" t="s">
        <v>17</v>
      </c>
      <c r="L39" t="s">
        <v>382</v>
      </c>
      <c r="N39" t="s">
        <v>383</v>
      </c>
      <c r="P39" t="s">
        <v>38</v>
      </c>
      <c r="Q39" t="s">
        <v>31</v>
      </c>
    </row>
    <row r="40" spans="1:17" x14ac:dyDescent="0.35">
      <c r="A40" t="s">
        <v>384</v>
      </c>
      <c r="B40" t="s">
        <v>385</v>
      </c>
      <c r="C40" t="s">
        <v>386</v>
      </c>
      <c r="D40" t="s">
        <v>387</v>
      </c>
      <c r="E40" t="s">
        <v>388</v>
      </c>
      <c r="G40" t="s">
        <v>101</v>
      </c>
      <c r="I40" t="s">
        <v>389</v>
      </c>
      <c r="J40" t="s">
        <v>147</v>
      </c>
      <c r="L40" t="s">
        <v>390</v>
      </c>
      <c r="N40" t="s">
        <v>391</v>
      </c>
      <c r="Q40" t="s">
        <v>31</v>
      </c>
    </row>
    <row r="41" spans="1:17" x14ac:dyDescent="0.35">
      <c r="A41" t="s">
        <v>392</v>
      </c>
      <c r="B41" t="s">
        <v>393</v>
      </c>
      <c r="D41" t="s">
        <v>394</v>
      </c>
      <c r="E41" t="s">
        <v>395</v>
      </c>
      <c r="G41" t="s">
        <v>261</v>
      </c>
      <c r="H41" t="s">
        <v>262</v>
      </c>
      <c r="I41" t="s">
        <v>396</v>
      </c>
      <c r="J41" t="s">
        <v>264</v>
      </c>
      <c r="L41" t="s">
        <v>397</v>
      </c>
      <c r="N41" t="s">
        <v>398</v>
      </c>
      <c r="P41" t="s">
        <v>38</v>
      </c>
      <c r="Q41" t="s">
        <v>31</v>
      </c>
    </row>
    <row r="42" spans="1:17" x14ac:dyDescent="0.35">
      <c r="A42" t="s">
        <v>399</v>
      </c>
      <c r="B42" t="s">
        <v>400</v>
      </c>
      <c r="C42" t="s">
        <v>401</v>
      </c>
      <c r="D42" t="s">
        <v>402</v>
      </c>
      <c r="E42" t="s">
        <v>403</v>
      </c>
      <c r="I42" t="s">
        <v>404</v>
      </c>
      <c r="J42" t="s">
        <v>64</v>
      </c>
      <c r="L42" t="s">
        <v>355</v>
      </c>
      <c r="N42" t="s">
        <v>405</v>
      </c>
      <c r="Q42" t="s">
        <v>31</v>
      </c>
    </row>
    <row r="43" spans="1:17" x14ac:dyDescent="0.35">
      <c r="A43" t="s">
        <v>406</v>
      </c>
      <c r="B43" t="s">
        <v>407</v>
      </c>
      <c r="C43" t="s">
        <v>408</v>
      </c>
      <c r="D43" t="s">
        <v>409</v>
      </c>
      <c r="E43" t="s">
        <v>410</v>
      </c>
      <c r="G43" t="s">
        <v>353</v>
      </c>
      <c r="I43" t="s">
        <v>411</v>
      </c>
      <c r="J43" t="s">
        <v>113</v>
      </c>
      <c r="L43" t="s">
        <v>355</v>
      </c>
      <c r="N43" t="s">
        <v>412</v>
      </c>
      <c r="Q43" t="s">
        <v>31</v>
      </c>
    </row>
    <row r="44" spans="1:17" x14ac:dyDescent="0.35">
      <c r="A44" t="s">
        <v>413</v>
      </c>
      <c r="B44" t="s">
        <v>414</v>
      </c>
      <c r="C44" t="s">
        <v>408</v>
      </c>
      <c r="D44" t="s">
        <v>415</v>
      </c>
      <c r="E44" t="s">
        <v>416</v>
      </c>
      <c r="G44" t="s">
        <v>353</v>
      </c>
      <c r="I44" t="s">
        <v>417</v>
      </c>
      <c r="J44" t="s">
        <v>113</v>
      </c>
      <c r="L44" t="s">
        <v>173</v>
      </c>
      <c r="N44" t="s">
        <v>418</v>
      </c>
      <c r="Q44" t="s">
        <v>31</v>
      </c>
    </row>
    <row r="45" spans="1:17" x14ac:dyDescent="0.35">
      <c r="A45" t="s">
        <v>419</v>
      </c>
      <c r="B45" t="s">
        <v>420</v>
      </c>
      <c r="C45" t="s">
        <v>421</v>
      </c>
      <c r="D45" t="s">
        <v>422</v>
      </c>
      <c r="E45" t="s">
        <v>423</v>
      </c>
      <c r="I45" t="s">
        <v>424</v>
      </c>
      <c r="J45" t="s">
        <v>103</v>
      </c>
      <c r="L45" t="s">
        <v>425</v>
      </c>
      <c r="N45" t="s">
        <v>426</v>
      </c>
      <c r="P45" t="s">
        <v>17</v>
      </c>
      <c r="Q45" t="s">
        <v>31</v>
      </c>
    </row>
    <row r="46" spans="1:17" x14ac:dyDescent="0.35">
      <c r="A46" t="s">
        <v>427</v>
      </c>
      <c r="C46" t="s">
        <v>421</v>
      </c>
      <c r="D46" t="s">
        <v>428</v>
      </c>
      <c r="E46" t="s">
        <v>429</v>
      </c>
      <c r="J46" t="s">
        <v>103</v>
      </c>
      <c r="L46" t="s">
        <v>430</v>
      </c>
      <c r="N46" t="s">
        <v>431</v>
      </c>
      <c r="P46" t="s">
        <v>17</v>
      </c>
      <c r="Q46" t="s">
        <v>31</v>
      </c>
    </row>
    <row r="47" spans="1:17" x14ac:dyDescent="0.35">
      <c r="A47" t="s">
        <v>432</v>
      </c>
      <c r="B47" t="s">
        <v>433</v>
      </c>
      <c r="C47" t="s">
        <v>434</v>
      </c>
      <c r="D47" t="s">
        <v>435</v>
      </c>
      <c r="E47" t="s">
        <v>436</v>
      </c>
      <c r="G47" t="s">
        <v>437</v>
      </c>
      <c r="I47" t="s">
        <v>438</v>
      </c>
      <c r="J47" t="s">
        <v>225</v>
      </c>
      <c r="L47" t="s">
        <v>439</v>
      </c>
      <c r="N47" t="s">
        <v>440</v>
      </c>
      <c r="Q47" t="s">
        <v>31</v>
      </c>
    </row>
    <row r="48" spans="1:17" x14ac:dyDescent="0.35">
      <c r="A48" t="s">
        <v>441</v>
      </c>
      <c r="B48" t="s">
        <v>442</v>
      </c>
      <c r="C48" t="s">
        <v>443</v>
      </c>
      <c r="D48" t="s">
        <v>444</v>
      </c>
      <c r="E48" t="s">
        <v>445</v>
      </c>
      <c r="I48" t="s">
        <v>446</v>
      </c>
      <c r="J48" t="s">
        <v>113</v>
      </c>
      <c r="L48" t="s">
        <v>447</v>
      </c>
      <c r="N48" t="s">
        <v>448</v>
      </c>
      <c r="Q48" t="s">
        <v>31</v>
      </c>
    </row>
    <row r="49" spans="1:17" x14ac:dyDescent="0.35">
      <c r="A49" t="s">
        <v>449</v>
      </c>
      <c r="B49" t="s">
        <v>450</v>
      </c>
      <c r="D49" t="s">
        <v>451</v>
      </c>
      <c r="E49" t="s">
        <v>452</v>
      </c>
      <c r="G49" t="s">
        <v>453</v>
      </c>
      <c r="H49" t="s">
        <v>454</v>
      </c>
      <c r="I49" t="s">
        <v>455</v>
      </c>
      <c r="J49" t="s">
        <v>84</v>
      </c>
      <c r="K49" t="s">
        <v>39</v>
      </c>
      <c r="L49" t="s">
        <v>456</v>
      </c>
      <c r="N49" t="s">
        <v>457</v>
      </c>
      <c r="P49" t="s">
        <v>458</v>
      </c>
      <c r="Q49" t="s">
        <v>29</v>
      </c>
    </row>
    <row r="50" spans="1:17" x14ac:dyDescent="0.35">
      <c r="A50" t="s">
        <v>459</v>
      </c>
      <c r="B50" t="s">
        <v>460</v>
      </c>
      <c r="D50" t="s">
        <v>461</v>
      </c>
      <c r="E50" t="s">
        <v>462</v>
      </c>
      <c r="G50" t="s">
        <v>463</v>
      </c>
      <c r="H50" t="s">
        <v>464</v>
      </c>
      <c r="I50" t="s">
        <v>465</v>
      </c>
      <c r="J50" t="s">
        <v>147</v>
      </c>
      <c r="K50" t="s">
        <v>21</v>
      </c>
      <c r="L50" t="s">
        <v>466</v>
      </c>
      <c r="N50" t="s">
        <v>467</v>
      </c>
      <c r="P50" t="s">
        <v>34</v>
      </c>
      <c r="Q50" t="s">
        <v>29</v>
      </c>
    </row>
    <row r="51" spans="1:17" x14ac:dyDescent="0.35">
      <c r="A51" t="s">
        <v>468</v>
      </c>
      <c r="B51" t="s">
        <v>469</v>
      </c>
      <c r="C51" t="s">
        <v>470</v>
      </c>
      <c r="D51" t="s">
        <v>471</v>
      </c>
      <c r="E51" t="s">
        <v>472</v>
      </c>
      <c r="I51" t="s">
        <v>473</v>
      </c>
      <c r="J51" t="s">
        <v>172</v>
      </c>
      <c r="L51" t="s">
        <v>173</v>
      </c>
      <c r="N51" t="s">
        <v>474</v>
      </c>
      <c r="Q51" t="s">
        <v>29</v>
      </c>
    </row>
    <row r="52" spans="1:17" x14ac:dyDescent="0.35">
      <c r="A52" t="s">
        <v>475</v>
      </c>
      <c r="B52" t="s">
        <v>476</v>
      </c>
      <c r="D52" t="s">
        <v>477</v>
      </c>
      <c r="E52" t="s">
        <v>478</v>
      </c>
      <c r="G52" t="s">
        <v>261</v>
      </c>
      <c r="H52" t="s">
        <v>262</v>
      </c>
      <c r="I52" t="s">
        <v>479</v>
      </c>
      <c r="J52" t="s">
        <v>264</v>
      </c>
      <c r="L52" t="s">
        <v>480</v>
      </c>
      <c r="N52" t="s">
        <v>481</v>
      </c>
      <c r="P52" t="s">
        <v>22</v>
      </c>
      <c r="Q52" t="s">
        <v>29</v>
      </c>
    </row>
    <row r="53" spans="1:17" x14ac:dyDescent="0.35">
      <c r="A53" t="s">
        <v>482</v>
      </c>
      <c r="B53" t="s">
        <v>483</v>
      </c>
      <c r="C53" t="s">
        <v>484</v>
      </c>
      <c r="D53" t="s">
        <v>485</v>
      </c>
      <c r="E53" t="s">
        <v>486</v>
      </c>
      <c r="G53" t="s">
        <v>487</v>
      </c>
      <c r="I53" t="s">
        <v>488</v>
      </c>
      <c r="J53" t="s">
        <v>172</v>
      </c>
      <c r="L53" t="s">
        <v>489</v>
      </c>
      <c r="N53" t="s">
        <v>490</v>
      </c>
      <c r="Q53" t="s">
        <v>29</v>
      </c>
    </row>
    <row r="54" spans="1:17" x14ac:dyDescent="0.35">
      <c r="A54" t="s">
        <v>491</v>
      </c>
      <c r="B54" t="s">
        <v>492</v>
      </c>
      <c r="C54" t="s">
        <v>493</v>
      </c>
      <c r="D54" t="s">
        <v>494</v>
      </c>
      <c r="E54" t="s">
        <v>495</v>
      </c>
      <c r="G54" t="s">
        <v>198</v>
      </c>
      <c r="I54" t="s">
        <v>496</v>
      </c>
      <c r="J54" t="s">
        <v>200</v>
      </c>
      <c r="L54" t="s">
        <v>497</v>
      </c>
      <c r="N54" t="s">
        <v>498</v>
      </c>
      <c r="Q54" t="s">
        <v>29</v>
      </c>
    </row>
    <row r="55" spans="1:17" x14ac:dyDescent="0.35">
      <c r="A55" t="s">
        <v>499</v>
      </c>
      <c r="B55" t="s">
        <v>500</v>
      </c>
      <c r="D55" t="s">
        <v>501</v>
      </c>
      <c r="E55" t="s">
        <v>502</v>
      </c>
      <c r="G55" t="s">
        <v>261</v>
      </c>
      <c r="H55" t="s">
        <v>262</v>
      </c>
      <c r="I55" t="s">
        <v>503</v>
      </c>
      <c r="J55" t="s">
        <v>264</v>
      </c>
      <c r="L55" t="s">
        <v>504</v>
      </c>
      <c r="N55" t="s">
        <v>505</v>
      </c>
      <c r="P55" t="s">
        <v>22</v>
      </c>
      <c r="Q55" t="s">
        <v>29</v>
      </c>
    </row>
    <row r="56" spans="1:17" x14ac:dyDescent="0.35">
      <c r="A56" t="s">
        <v>506</v>
      </c>
      <c r="B56" t="s">
        <v>507</v>
      </c>
      <c r="D56" t="s">
        <v>508</v>
      </c>
      <c r="E56" t="s">
        <v>509</v>
      </c>
      <c r="G56" t="s">
        <v>510</v>
      </c>
      <c r="H56" t="s">
        <v>511</v>
      </c>
      <c r="I56" t="s">
        <v>512</v>
      </c>
      <c r="J56" t="s">
        <v>113</v>
      </c>
      <c r="K56" t="s">
        <v>25</v>
      </c>
      <c r="L56" t="s">
        <v>513</v>
      </c>
      <c r="N56" t="s">
        <v>514</v>
      </c>
      <c r="P56" t="s">
        <v>28</v>
      </c>
      <c r="Q56" t="s">
        <v>29</v>
      </c>
    </row>
    <row r="57" spans="1:17" x14ac:dyDescent="0.35">
      <c r="A57" t="s">
        <v>515</v>
      </c>
      <c r="B57" t="s">
        <v>516</v>
      </c>
      <c r="C57" t="s">
        <v>517</v>
      </c>
      <c r="D57" t="s">
        <v>518</v>
      </c>
      <c r="E57" t="s">
        <v>519</v>
      </c>
      <c r="I57" t="s">
        <v>520</v>
      </c>
      <c r="J57" t="s">
        <v>84</v>
      </c>
      <c r="L57" t="s">
        <v>521</v>
      </c>
      <c r="N57" t="s">
        <v>522</v>
      </c>
      <c r="Q57" t="s">
        <v>29</v>
      </c>
    </row>
    <row r="58" spans="1:17" x14ac:dyDescent="0.35">
      <c r="A58" t="s">
        <v>523</v>
      </c>
      <c r="B58" t="s">
        <v>524</v>
      </c>
      <c r="C58" t="s">
        <v>525</v>
      </c>
      <c r="D58" t="s">
        <v>526</v>
      </c>
      <c r="E58" t="s">
        <v>527</v>
      </c>
      <c r="G58" t="s">
        <v>528</v>
      </c>
      <c r="I58" t="s">
        <v>529</v>
      </c>
      <c r="J58" t="s">
        <v>64</v>
      </c>
      <c r="L58" t="s">
        <v>530</v>
      </c>
      <c r="N58" t="s">
        <v>531</v>
      </c>
      <c r="Q58" t="s">
        <v>29</v>
      </c>
    </row>
    <row r="59" spans="1:17" x14ac:dyDescent="0.35">
      <c r="A59" t="s">
        <v>532</v>
      </c>
      <c r="B59" t="s">
        <v>533</v>
      </c>
      <c r="C59" t="s">
        <v>534</v>
      </c>
      <c r="D59" t="s">
        <v>535</v>
      </c>
      <c r="E59" t="s">
        <v>536</v>
      </c>
      <c r="I59" t="s">
        <v>537</v>
      </c>
      <c r="J59" t="s">
        <v>200</v>
      </c>
      <c r="L59" t="s">
        <v>538</v>
      </c>
      <c r="N59" t="s">
        <v>539</v>
      </c>
      <c r="Q59" t="s">
        <v>29</v>
      </c>
    </row>
    <row r="60" spans="1:17" x14ac:dyDescent="0.35">
      <c r="A60" t="s">
        <v>540</v>
      </c>
      <c r="B60" t="s">
        <v>541</v>
      </c>
      <c r="C60" t="s">
        <v>542</v>
      </c>
      <c r="D60" t="s">
        <v>543</v>
      </c>
      <c r="E60" t="s">
        <v>544</v>
      </c>
      <c r="I60" t="s">
        <v>545</v>
      </c>
      <c r="J60" t="s">
        <v>546</v>
      </c>
      <c r="L60" t="s">
        <v>94</v>
      </c>
      <c r="N60" t="s">
        <v>547</v>
      </c>
      <c r="Q60" t="s">
        <v>29</v>
      </c>
    </row>
    <row r="61" spans="1:17" x14ac:dyDescent="0.35">
      <c r="A61" t="s">
        <v>548</v>
      </c>
      <c r="B61" t="s">
        <v>549</v>
      </c>
      <c r="C61" t="s">
        <v>542</v>
      </c>
      <c r="D61" t="s">
        <v>550</v>
      </c>
      <c r="E61" t="s">
        <v>551</v>
      </c>
      <c r="I61" t="s">
        <v>552</v>
      </c>
      <c r="J61" t="s">
        <v>546</v>
      </c>
      <c r="L61" t="s">
        <v>94</v>
      </c>
      <c r="N61" t="s">
        <v>553</v>
      </c>
      <c r="Q61" t="s">
        <v>29</v>
      </c>
    </row>
    <row r="62" spans="1:17" x14ac:dyDescent="0.35">
      <c r="A62" t="s">
        <v>554</v>
      </c>
      <c r="B62" t="s">
        <v>555</v>
      </c>
      <c r="C62" t="s">
        <v>556</v>
      </c>
      <c r="D62" t="s">
        <v>557</v>
      </c>
      <c r="E62" t="s">
        <v>558</v>
      </c>
      <c r="G62" t="s">
        <v>353</v>
      </c>
      <c r="I62" t="s">
        <v>559</v>
      </c>
      <c r="J62" t="s">
        <v>113</v>
      </c>
      <c r="L62" t="s">
        <v>181</v>
      </c>
      <c r="N62" t="s">
        <v>560</v>
      </c>
      <c r="Q62" t="s">
        <v>29</v>
      </c>
    </row>
    <row r="63" spans="1:17" x14ac:dyDescent="0.35">
      <c r="A63" t="s">
        <v>561</v>
      </c>
      <c r="B63" t="s">
        <v>562</v>
      </c>
      <c r="C63" t="s">
        <v>556</v>
      </c>
      <c r="D63" t="s">
        <v>563</v>
      </c>
      <c r="E63" t="s">
        <v>564</v>
      </c>
      <c r="G63" t="s">
        <v>353</v>
      </c>
      <c r="I63" t="s">
        <v>565</v>
      </c>
      <c r="J63" t="s">
        <v>113</v>
      </c>
      <c r="L63" t="s">
        <v>123</v>
      </c>
      <c r="N63" t="s">
        <v>566</v>
      </c>
      <c r="Q63" t="s">
        <v>29</v>
      </c>
    </row>
    <row r="64" spans="1:17" x14ac:dyDescent="0.35">
      <c r="A64" t="s">
        <v>567</v>
      </c>
      <c r="B64" t="s">
        <v>568</v>
      </c>
      <c r="C64" t="s">
        <v>569</v>
      </c>
      <c r="D64" t="s">
        <v>570</v>
      </c>
      <c r="E64" t="s">
        <v>571</v>
      </c>
      <c r="I64" t="s">
        <v>572</v>
      </c>
      <c r="J64" t="s">
        <v>93</v>
      </c>
      <c r="L64" t="s">
        <v>573</v>
      </c>
      <c r="N64" t="s">
        <v>574</v>
      </c>
      <c r="Q64" t="s">
        <v>29</v>
      </c>
    </row>
    <row r="65" spans="1:17" x14ac:dyDescent="0.35">
      <c r="A65" t="s">
        <v>575</v>
      </c>
      <c r="B65" t="s">
        <v>576</v>
      </c>
      <c r="C65" t="s">
        <v>569</v>
      </c>
      <c r="D65" t="s">
        <v>577</v>
      </c>
      <c r="E65" t="s">
        <v>578</v>
      </c>
      <c r="I65" t="s">
        <v>579</v>
      </c>
      <c r="J65" t="s">
        <v>93</v>
      </c>
      <c r="L65" t="s">
        <v>580</v>
      </c>
      <c r="N65" t="s">
        <v>581</v>
      </c>
      <c r="Q65" t="s">
        <v>29</v>
      </c>
    </row>
    <row r="66" spans="1:17" x14ac:dyDescent="0.35">
      <c r="A66" t="s">
        <v>582</v>
      </c>
      <c r="B66" t="s">
        <v>583</v>
      </c>
      <c r="C66" t="s">
        <v>584</v>
      </c>
      <c r="D66" t="s">
        <v>585</v>
      </c>
      <c r="E66" t="s">
        <v>586</v>
      </c>
      <c r="I66" t="s">
        <v>587</v>
      </c>
      <c r="J66" t="s">
        <v>225</v>
      </c>
      <c r="L66" t="s">
        <v>588</v>
      </c>
      <c r="N66" t="s">
        <v>589</v>
      </c>
      <c r="Q66" t="s">
        <v>29</v>
      </c>
    </row>
    <row r="67" spans="1:17" x14ac:dyDescent="0.35">
      <c r="A67" t="s">
        <v>590</v>
      </c>
      <c r="B67" t="s">
        <v>591</v>
      </c>
      <c r="C67" t="s">
        <v>592</v>
      </c>
      <c r="D67" t="s">
        <v>593</v>
      </c>
      <c r="E67" t="s">
        <v>594</v>
      </c>
      <c r="I67" t="s">
        <v>595</v>
      </c>
      <c r="J67" t="s">
        <v>225</v>
      </c>
      <c r="L67" t="s">
        <v>596</v>
      </c>
      <c r="N67" t="s">
        <v>597</v>
      </c>
      <c r="Q67" t="s">
        <v>29</v>
      </c>
    </row>
    <row r="68" spans="1:17" x14ac:dyDescent="0.35">
      <c r="A68" t="s">
        <v>598</v>
      </c>
      <c r="B68" t="s">
        <v>599</v>
      </c>
      <c r="D68" t="s">
        <v>600</v>
      </c>
      <c r="E68" t="s">
        <v>601</v>
      </c>
      <c r="G68" t="s">
        <v>453</v>
      </c>
      <c r="H68" t="s">
        <v>454</v>
      </c>
      <c r="I68" t="s">
        <v>602</v>
      </c>
      <c r="J68" t="s">
        <v>546</v>
      </c>
      <c r="K68" t="s">
        <v>21</v>
      </c>
      <c r="L68" t="s">
        <v>603</v>
      </c>
      <c r="N68" t="s">
        <v>604</v>
      </c>
      <c r="P68" t="s">
        <v>51</v>
      </c>
      <c r="Q68" t="s">
        <v>27</v>
      </c>
    </row>
    <row r="69" spans="1:17" x14ac:dyDescent="0.35">
      <c r="A69" t="s">
        <v>605</v>
      </c>
      <c r="B69" t="s">
        <v>606</v>
      </c>
      <c r="C69" t="s">
        <v>607</v>
      </c>
      <c r="D69" t="s">
        <v>608</v>
      </c>
      <c r="E69" t="s">
        <v>609</v>
      </c>
      <c r="I69" t="s">
        <v>610</v>
      </c>
      <c r="J69" t="s">
        <v>75</v>
      </c>
      <c r="L69" t="s">
        <v>611</v>
      </c>
      <c r="N69" t="s">
        <v>612</v>
      </c>
      <c r="Q69" t="s">
        <v>27</v>
      </c>
    </row>
    <row r="70" spans="1:17" x14ac:dyDescent="0.35">
      <c r="A70" t="s">
        <v>613</v>
      </c>
      <c r="B70" t="s">
        <v>614</v>
      </c>
      <c r="C70" t="s">
        <v>615</v>
      </c>
      <c r="D70" t="s">
        <v>616</v>
      </c>
      <c r="E70" t="s">
        <v>617</v>
      </c>
      <c r="I70" t="s">
        <v>618</v>
      </c>
      <c r="J70" t="s">
        <v>64</v>
      </c>
      <c r="L70" t="s">
        <v>181</v>
      </c>
      <c r="N70" t="s">
        <v>619</v>
      </c>
      <c r="Q70" t="s">
        <v>27</v>
      </c>
    </row>
    <row r="71" spans="1:17" x14ac:dyDescent="0.35">
      <c r="A71" t="s">
        <v>620</v>
      </c>
      <c r="B71" t="s">
        <v>621</v>
      </c>
      <c r="C71" t="s">
        <v>622</v>
      </c>
      <c r="D71" t="s">
        <v>623</v>
      </c>
      <c r="E71" t="s">
        <v>624</v>
      </c>
      <c r="G71" t="s">
        <v>353</v>
      </c>
      <c r="I71" t="s">
        <v>625</v>
      </c>
      <c r="J71" t="s">
        <v>113</v>
      </c>
      <c r="L71" t="s">
        <v>447</v>
      </c>
      <c r="N71" t="s">
        <v>626</v>
      </c>
      <c r="Q71" t="s">
        <v>27</v>
      </c>
    </row>
    <row r="72" spans="1:17" x14ac:dyDescent="0.35">
      <c r="A72" t="s">
        <v>627</v>
      </c>
      <c r="B72" t="s">
        <v>562</v>
      </c>
      <c r="C72" t="s">
        <v>622</v>
      </c>
      <c r="D72" t="s">
        <v>628</v>
      </c>
      <c r="E72" t="s">
        <v>629</v>
      </c>
      <c r="G72" t="s">
        <v>353</v>
      </c>
      <c r="I72" t="s">
        <v>630</v>
      </c>
      <c r="J72" t="s">
        <v>113</v>
      </c>
      <c r="L72" t="s">
        <v>447</v>
      </c>
      <c r="N72" t="s">
        <v>631</v>
      </c>
      <c r="Q72" t="s">
        <v>27</v>
      </c>
    </row>
    <row r="73" spans="1:17" x14ac:dyDescent="0.35">
      <c r="A73" t="s">
        <v>632</v>
      </c>
      <c r="B73" t="s">
        <v>633</v>
      </c>
      <c r="C73" t="s">
        <v>622</v>
      </c>
      <c r="D73" t="s">
        <v>634</v>
      </c>
      <c r="E73" t="s">
        <v>635</v>
      </c>
      <c r="G73" t="s">
        <v>353</v>
      </c>
      <c r="I73" t="s">
        <v>636</v>
      </c>
      <c r="J73" t="s">
        <v>113</v>
      </c>
      <c r="L73" t="s">
        <v>94</v>
      </c>
      <c r="N73" t="s">
        <v>637</v>
      </c>
      <c r="Q73" t="s">
        <v>27</v>
      </c>
    </row>
    <row r="74" spans="1:17" x14ac:dyDescent="0.35">
      <c r="A74" t="s">
        <v>638</v>
      </c>
      <c r="B74" t="s">
        <v>639</v>
      </c>
      <c r="C74" t="s">
        <v>640</v>
      </c>
      <c r="D74" t="s">
        <v>641</v>
      </c>
      <c r="E74" t="s">
        <v>642</v>
      </c>
      <c r="I74" t="s">
        <v>643</v>
      </c>
      <c r="J74" t="s">
        <v>546</v>
      </c>
      <c r="L74" t="s">
        <v>644</v>
      </c>
      <c r="N74" t="s">
        <v>645</v>
      </c>
      <c r="Q74" t="s">
        <v>27</v>
      </c>
    </row>
    <row r="75" spans="1:17" x14ac:dyDescent="0.35">
      <c r="A75" t="s">
        <v>646</v>
      </c>
      <c r="B75" t="s">
        <v>647</v>
      </c>
      <c r="C75" t="s">
        <v>648</v>
      </c>
      <c r="D75" t="s">
        <v>649</v>
      </c>
      <c r="E75" t="s">
        <v>650</v>
      </c>
      <c r="I75" t="s">
        <v>651</v>
      </c>
      <c r="J75" t="s">
        <v>93</v>
      </c>
      <c r="L75" t="s">
        <v>94</v>
      </c>
      <c r="N75" t="s">
        <v>652</v>
      </c>
      <c r="Q75" t="s">
        <v>27</v>
      </c>
    </row>
    <row r="76" spans="1:17" x14ac:dyDescent="0.35">
      <c r="A76" t="s">
        <v>653</v>
      </c>
      <c r="B76" t="s">
        <v>654</v>
      </c>
      <c r="C76" t="s">
        <v>655</v>
      </c>
      <c r="D76" t="s">
        <v>656</v>
      </c>
      <c r="E76" t="s">
        <v>657</v>
      </c>
      <c r="I76" t="s">
        <v>658</v>
      </c>
      <c r="J76" t="s">
        <v>93</v>
      </c>
      <c r="L76" t="s">
        <v>94</v>
      </c>
      <c r="N76" t="s">
        <v>659</v>
      </c>
      <c r="Q76" t="s">
        <v>27</v>
      </c>
    </row>
    <row r="77" spans="1:17" x14ac:dyDescent="0.35">
      <c r="A77" t="s">
        <v>660</v>
      </c>
      <c r="B77" t="s">
        <v>661</v>
      </c>
      <c r="C77" t="s">
        <v>662</v>
      </c>
      <c r="D77" t="s">
        <v>663</v>
      </c>
      <c r="E77" t="s">
        <v>664</v>
      </c>
      <c r="I77" t="s">
        <v>665</v>
      </c>
      <c r="J77" t="s">
        <v>64</v>
      </c>
      <c r="L77" t="s">
        <v>666</v>
      </c>
      <c r="N77" t="s">
        <v>667</v>
      </c>
      <c r="Q77" t="s">
        <v>27</v>
      </c>
    </row>
    <row r="78" spans="1:17" x14ac:dyDescent="0.35">
      <c r="A78" t="s">
        <v>668</v>
      </c>
      <c r="B78" t="s">
        <v>669</v>
      </c>
      <c r="C78" t="s">
        <v>670</v>
      </c>
      <c r="D78" t="s">
        <v>671</v>
      </c>
      <c r="E78" t="s">
        <v>672</v>
      </c>
      <c r="I78" t="s">
        <v>673</v>
      </c>
      <c r="J78" t="s">
        <v>225</v>
      </c>
      <c r="L78" t="s">
        <v>674</v>
      </c>
      <c r="N78" t="s">
        <v>675</v>
      </c>
      <c r="Q78" t="s">
        <v>27</v>
      </c>
    </row>
    <row r="79" spans="1:17" x14ac:dyDescent="0.35">
      <c r="A79" t="s">
        <v>676</v>
      </c>
      <c r="B79" t="s">
        <v>677</v>
      </c>
      <c r="C79" t="s">
        <v>678</v>
      </c>
      <c r="D79" t="s">
        <v>679</v>
      </c>
      <c r="E79" t="s">
        <v>680</v>
      </c>
      <c r="G79" t="s">
        <v>681</v>
      </c>
      <c r="I79" t="s">
        <v>682</v>
      </c>
      <c r="J79" t="s">
        <v>103</v>
      </c>
      <c r="L79" t="s">
        <v>683</v>
      </c>
      <c r="N79" t="s">
        <v>684</v>
      </c>
      <c r="Q79" t="s">
        <v>27</v>
      </c>
    </row>
    <row r="80" spans="1:17" x14ac:dyDescent="0.35">
      <c r="A80" t="s">
        <v>685</v>
      </c>
      <c r="B80" t="s">
        <v>686</v>
      </c>
      <c r="C80" t="s">
        <v>687</v>
      </c>
      <c r="D80" t="s">
        <v>688</v>
      </c>
      <c r="E80" t="s">
        <v>689</v>
      </c>
      <c r="I80" t="s">
        <v>690</v>
      </c>
      <c r="J80" t="s">
        <v>75</v>
      </c>
      <c r="L80" t="s">
        <v>691</v>
      </c>
      <c r="N80" t="s">
        <v>692</v>
      </c>
      <c r="Q80" t="s">
        <v>27</v>
      </c>
    </row>
    <row r="81" spans="1:17" x14ac:dyDescent="0.35">
      <c r="A81" t="s">
        <v>693</v>
      </c>
      <c r="B81" t="s">
        <v>694</v>
      </c>
      <c r="C81" t="s">
        <v>695</v>
      </c>
      <c r="D81" t="s">
        <v>696</v>
      </c>
      <c r="E81" t="s">
        <v>697</v>
      </c>
      <c r="G81" t="s">
        <v>223</v>
      </c>
      <c r="I81" t="s">
        <v>698</v>
      </c>
      <c r="J81" t="s">
        <v>225</v>
      </c>
      <c r="L81" t="s">
        <v>699</v>
      </c>
      <c r="N81" t="s">
        <v>700</v>
      </c>
      <c r="Q81" t="s">
        <v>27</v>
      </c>
    </row>
    <row r="82" spans="1:17" x14ac:dyDescent="0.35">
      <c r="A82" t="s">
        <v>701</v>
      </c>
      <c r="B82" t="s">
        <v>702</v>
      </c>
      <c r="C82" t="s">
        <v>695</v>
      </c>
      <c r="D82" t="s">
        <v>703</v>
      </c>
      <c r="E82" t="s">
        <v>704</v>
      </c>
      <c r="G82" t="s">
        <v>223</v>
      </c>
      <c r="I82" t="s">
        <v>705</v>
      </c>
      <c r="J82" t="s">
        <v>225</v>
      </c>
      <c r="L82" t="s">
        <v>706</v>
      </c>
      <c r="N82" t="s">
        <v>707</v>
      </c>
      <c r="Q82" t="s">
        <v>27</v>
      </c>
    </row>
    <row r="83" spans="1:17" x14ac:dyDescent="0.35">
      <c r="A83" t="s">
        <v>708</v>
      </c>
      <c r="B83" t="s">
        <v>709</v>
      </c>
      <c r="C83" t="s">
        <v>695</v>
      </c>
      <c r="D83" t="s">
        <v>710</v>
      </c>
      <c r="E83" t="s">
        <v>711</v>
      </c>
      <c r="G83" t="s">
        <v>223</v>
      </c>
      <c r="I83" t="s">
        <v>712</v>
      </c>
      <c r="J83" t="s">
        <v>225</v>
      </c>
      <c r="L83" t="s">
        <v>713</v>
      </c>
      <c r="N83" t="s">
        <v>714</v>
      </c>
      <c r="Q83" t="s">
        <v>27</v>
      </c>
    </row>
    <row r="84" spans="1:17" x14ac:dyDescent="0.35">
      <c r="A84" t="s">
        <v>715</v>
      </c>
      <c r="B84" t="s">
        <v>716</v>
      </c>
      <c r="C84" t="s">
        <v>717</v>
      </c>
      <c r="D84" t="s">
        <v>718</v>
      </c>
      <c r="E84" t="s">
        <v>719</v>
      </c>
      <c r="G84" t="s">
        <v>720</v>
      </c>
      <c r="I84" t="s">
        <v>721</v>
      </c>
      <c r="J84" t="s">
        <v>225</v>
      </c>
      <c r="L84" t="s">
        <v>722</v>
      </c>
      <c r="N84" t="s">
        <v>723</v>
      </c>
      <c r="Q84" t="s">
        <v>27</v>
      </c>
    </row>
    <row r="85" spans="1:17" x14ac:dyDescent="0.35">
      <c r="A85" t="s">
        <v>724</v>
      </c>
      <c r="B85" t="s">
        <v>725</v>
      </c>
      <c r="D85" t="s">
        <v>726</v>
      </c>
      <c r="E85" t="s">
        <v>727</v>
      </c>
      <c r="G85" t="s">
        <v>187</v>
      </c>
      <c r="H85" t="s">
        <v>188</v>
      </c>
      <c r="I85" t="s">
        <v>728</v>
      </c>
      <c r="J85" t="s">
        <v>147</v>
      </c>
      <c r="K85" t="s">
        <v>43</v>
      </c>
      <c r="L85" t="s">
        <v>729</v>
      </c>
      <c r="N85" t="s">
        <v>730</v>
      </c>
      <c r="P85" t="s">
        <v>731</v>
      </c>
      <c r="Q85" t="s">
        <v>20</v>
      </c>
    </row>
    <row r="86" spans="1:17" x14ac:dyDescent="0.35">
      <c r="A86" t="s">
        <v>732</v>
      </c>
      <c r="B86" t="s">
        <v>733</v>
      </c>
      <c r="D86" t="s">
        <v>734</v>
      </c>
      <c r="E86" t="s">
        <v>735</v>
      </c>
      <c r="G86" t="s">
        <v>510</v>
      </c>
      <c r="H86" t="s">
        <v>511</v>
      </c>
      <c r="I86" t="s">
        <v>736</v>
      </c>
      <c r="J86" t="s">
        <v>147</v>
      </c>
      <c r="K86" t="s">
        <v>21</v>
      </c>
      <c r="L86" t="s">
        <v>737</v>
      </c>
      <c r="N86" t="s">
        <v>738</v>
      </c>
      <c r="P86" t="s">
        <v>45</v>
      </c>
      <c r="Q86" t="s">
        <v>20</v>
      </c>
    </row>
    <row r="87" spans="1:17" x14ac:dyDescent="0.35">
      <c r="A87" t="s">
        <v>739</v>
      </c>
      <c r="B87" t="s">
        <v>740</v>
      </c>
      <c r="C87" t="s">
        <v>741</v>
      </c>
      <c r="D87" t="s">
        <v>742</v>
      </c>
      <c r="E87" t="s">
        <v>743</v>
      </c>
      <c r="I87" t="s">
        <v>744</v>
      </c>
      <c r="J87" t="s">
        <v>103</v>
      </c>
      <c r="L87" t="s">
        <v>745</v>
      </c>
      <c r="N87" t="s">
        <v>746</v>
      </c>
      <c r="Q87" t="s">
        <v>20</v>
      </c>
    </row>
    <row r="88" spans="1:17" x14ac:dyDescent="0.35">
      <c r="A88" t="s">
        <v>747</v>
      </c>
      <c r="B88" t="s">
        <v>748</v>
      </c>
      <c r="C88" t="s">
        <v>749</v>
      </c>
      <c r="D88" t="s">
        <v>750</v>
      </c>
      <c r="E88" t="s">
        <v>751</v>
      </c>
      <c r="G88" t="s">
        <v>101</v>
      </c>
      <c r="I88" t="s">
        <v>752</v>
      </c>
      <c r="J88" t="s">
        <v>546</v>
      </c>
      <c r="L88" t="s">
        <v>181</v>
      </c>
      <c r="N88" t="s">
        <v>753</v>
      </c>
      <c r="Q88" t="s">
        <v>20</v>
      </c>
    </row>
    <row r="89" spans="1:17" x14ac:dyDescent="0.35">
      <c r="A89" t="s">
        <v>754</v>
      </c>
      <c r="B89" t="s">
        <v>755</v>
      </c>
      <c r="D89" t="s">
        <v>756</v>
      </c>
      <c r="E89" t="s">
        <v>757</v>
      </c>
      <c r="G89" t="s">
        <v>261</v>
      </c>
      <c r="H89" t="s">
        <v>262</v>
      </c>
      <c r="I89" t="s">
        <v>758</v>
      </c>
      <c r="J89" t="s">
        <v>264</v>
      </c>
      <c r="L89" t="s">
        <v>759</v>
      </c>
      <c r="N89" t="s">
        <v>760</v>
      </c>
      <c r="P89" t="s">
        <v>23</v>
      </c>
      <c r="Q89" t="s">
        <v>20</v>
      </c>
    </row>
    <row r="90" spans="1:17" x14ac:dyDescent="0.35">
      <c r="A90" t="s">
        <v>761</v>
      </c>
      <c r="B90" t="s">
        <v>762</v>
      </c>
      <c r="C90" t="s">
        <v>763</v>
      </c>
      <c r="D90" t="s">
        <v>764</v>
      </c>
      <c r="E90" t="s">
        <v>765</v>
      </c>
      <c r="G90" t="s">
        <v>766</v>
      </c>
      <c r="I90" t="s">
        <v>767</v>
      </c>
      <c r="J90" t="s">
        <v>546</v>
      </c>
      <c r="L90" t="s">
        <v>768</v>
      </c>
      <c r="N90" t="s">
        <v>769</v>
      </c>
      <c r="Q90" t="s">
        <v>20</v>
      </c>
    </row>
    <row r="91" spans="1:17" x14ac:dyDescent="0.35">
      <c r="A91" t="s">
        <v>770</v>
      </c>
      <c r="B91" t="s">
        <v>771</v>
      </c>
      <c r="C91" t="s">
        <v>772</v>
      </c>
      <c r="D91" t="s">
        <v>773</v>
      </c>
      <c r="E91" t="s">
        <v>774</v>
      </c>
      <c r="J91" t="s">
        <v>546</v>
      </c>
      <c r="L91" t="s">
        <v>181</v>
      </c>
      <c r="N91" t="s">
        <v>775</v>
      </c>
      <c r="Q91" t="s">
        <v>20</v>
      </c>
    </row>
    <row r="92" spans="1:17" x14ac:dyDescent="0.35">
      <c r="A92" t="s">
        <v>776</v>
      </c>
      <c r="B92" t="s">
        <v>777</v>
      </c>
      <c r="D92" t="s">
        <v>778</v>
      </c>
      <c r="E92" t="s">
        <v>779</v>
      </c>
      <c r="G92" t="s">
        <v>453</v>
      </c>
      <c r="H92" t="s">
        <v>454</v>
      </c>
      <c r="I92" t="s">
        <v>780</v>
      </c>
      <c r="J92" t="s">
        <v>225</v>
      </c>
      <c r="K92" t="s">
        <v>19</v>
      </c>
      <c r="L92" t="s">
        <v>781</v>
      </c>
      <c r="N92" t="s">
        <v>782</v>
      </c>
      <c r="P92" t="s">
        <v>783</v>
      </c>
      <c r="Q92" t="s">
        <v>20</v>
      </c>
    </row>
    <row r="93" spans="1:17" x14ac:dyDescent="0.35">
      <c r="A93" t="s">
        <v>784</v>
      </c>
      <c r="B93" t="s">
        <v>785</v>
      </c>
      <c r="C93" t="s">
        <v>786</v>
      </c>
      <c r="D93" t="s">
        <v>787</v>
      </c>
      <c r="E93" t="s">
        <v>788</v>
      </c>
      <c r="G93" t="s">
        <v>789</v>
      </c>
      <c r="I93" t="s">
        <v>790</v>
      </c>
      <c r="J93" t="s">
        <v>791</v>
      </c>
      <c r="L93" t="s">
        <v>94</v>
      </c>
      <c r="N93" t="s">
        <v>792</v>
      </c>
      <c r="Q93" t="s">
        <v>20</v>
      </c>
    </row>
    <row r="94" spans="1:17" x14ac:dyDescent="0.35">
      <c r="A94" t="s">
        <v>793</v>
      </c>
      <c r="B94" t="s">
        <v>794</v>
      </c>
      <c r="C94" t="s">
        <v>795</v>
      </c>
      <c r="D94" t="s">
        <v>796</v>
      </c>
      <c r="E94" t="s">
        <v>797</v>
      </c>
      <c r="I94" t="s">
        <v>798</v>
      </c>
      <c r="J94" t="s">
        <v>147</v>
      </c>
      <c r="L94" t="s">
        <v>799</v>
      </c>
      <c r="N94" t="s">
        <v>800</v>
      </c>
      <c r="Q94" t="s">
        <v>20</v>
      </c>
    </row>
    <row r="95" spans="1:17" x14ac:dyDescent="0.35">
      <c r="A95" t="s">
        <v>801</v>
      </c>
      <c r="B95" t="s">
        <v>802</v>
      </c>
      <c r="C95" t="s">
        <v>795</v>
      </c>
      <c r="D95" t="s">
        <v>803</v>
      </c>
      <c r="E95" t="s">
        <v>804</v>
      </c>
      <c r="I95" t="s">
        <v>805</v>
      </c>
      <c r="J95" t="s">
        <v>147</v>
      </c>
      <c r="L95" t="s">
        <v>806</v>
      </c>
      <c r="N95" t="s">
        <v>807</v>
      </c>
      <c r="Q95" t="s">
        <v>20</v>
      </c>
    </row>
    <row r="96" spans="1:17" x14ac:dyDescent="0.35">
      <c r="A96" t="s">
        <v>808</v>
      </c>
      <c r="B96" t="s">
        <v>809</v>
      </c>
      <c r="C96" t="s">
        <v>810</v>
      </c>
      <c r="D96" t="s">
        <v>811</v>
      </c>
      <c r="E96" t="s">
        <v>812</v>
      </c>
      <c r="G96" t="s">
        <v>198</v>
      </c>
      <c r="I96" t="s">
        <v>813</v>
      </c>
      <c r="J96" t="s">
        <v>200</v>
      </c>
      <c r="L96" t="s">
        <v>814</v>
      </c>
      <c r="N96" t="s">
        <v>815</v>
      </c>
      <c r="Q96" t="s">
        <v>20</v>
      </c>
    </row>
    <row r="97" spans="1:17" x14ac:dyDescent="0.35">
      <c r="A97" t="s">
        <v>816</v>
      </c>
      <c r="B97" t="s">
        <v>817</v>
      </c>
      <c r="D97" t="s">
        <v>818</v>
      </c>
      <c r="E97" t="s">
        <v>819</v>
      </c>
      <c r="G97" t="s">
        <v>820</v>
      </c>
      <c r="H97" t="s">
        <v>821</v>
      </c>
      <c r="I97" t="s">
        <v>822</v>
      </c>
      <c r="J97" t="s">
        <v>93</v>
      </c>
      <c r="K97" t="s">
        <v>43</v>
      </c>
      <c r="L97" t="s">
        <v>823</v>
      </c>
      <c r="N97" t="s">
        <v>824</v>
      </c>
      <c r="P97" t="s">
        <v>42</v>
      </c>
      <c r="Q97" t="s">
        <v>20</v>
      </c>
    </row>
    <row r="98" spans="1:17" x14ac:dyDescent="0.35">
      <c r="A98" t="s">
        <v>825</v>
      </c>
      <c r="B98" t="s">
        <v>826</v>
      </c>
      <c r="D98" t="s">
        <v>827</v>
      </c>
      <c r="E98" t="s">
        <v>828</v>
      </c>
      <c r="G98" t="s">
        <v>261</v>
      </c>
      <c r="H98" t="s">
        <v>262</v>
      </c>
      <c r="I98" t="s">
        <v>829</v>
      </c>
      <c r="J98" t="s">
        <v>264</v>
      </c>
      <c r="L98" t="s">
        <v>830</v>
      </c>
      <c r="N98" t="s">
        <v>831</v>
      </c>
      <c r="P98" t="s">
        <v>23</v>
      </c>
      <c r="Q98" t="s">
        <v>20</v>
      </c>
    </row>
    <row r="99" spans="1:17" x14ac:dyDescent="0.35">
      <c r="A99" t="s">
        <v>832</v>
      </c>
      <c r="B99" t="s">
        <v>833</v>
      </c>
      <c r="C99" t="s">
        <v>834</v>
      </c>
      <c r="D99" t="s">
        <v>835</v>
      </c>
      <c r="E99" t="s">
        <v>836</v>
      </c>
      <c r="I99" t="s">
        <v>837</v>
      </c>
      <c r="J99" t="s">
        <v>200</v>
      </c>
      <c r="L99" t="s">
        <v>173</v>
      </c>
      <c r="N99" t="s">
        <v>838</v>
      </c>
      <c r="Q99" t="s">
        <v>20</v>
      </c>
    </row>
    <row r="100" spans="1:17" x14ac:dyDescent="0.35">
      <c r="A100" t="s">
        <v>839</v>
      </c>
      <c r="B100" t="s">
        <v>840</v>
      </c>
      <c r="C100" t="s">
        <v>841</v>
      </c>
      <c r="D100" t="s">
        <v>842</v>
      </c>
      <c r="E100" t="s">
        <v>843</v>
      </c>
      <c r="G100" t="s">
        <v>844</v>
      </c>
      <c r="I100" t="s">
        <v>845</v>
      </c>
      <c r="J100" t="s">
        <v>200</v>
      </c>
      <c r="L100" t="s">
        <v>846</v>
      </c>
      <c r="N100" t="s">
        <v>847</v>
      </c>
      <c r="Q100" t="s">
        <v>20</v>
      </c>
    </row>
    <row r="101" spans="1:17" x14ac:dyDescent="0.35">
      <c r="A101" t="s">
        <v>848</v>
      </c>
      <c r="B101" t="s">
        <v>849</v>
      </c>
      <c r="C101" t="s">
        <v>850</v>
      </c>
      <c r="D101" t="s">
        <v>851</v>
      </c>
      <c r="E101" t="s">
        <v>852</v>
      </c>
      <c r="G101" t="s">
        <v>353</v>
      </c>
      <c r="I101" t="s">
        <v>853</v>
      </c>
      <c r="J101" t="s">
        <v>113</v>
      </c>
      <c r="L101" t="s">
        <v>123</v>
      </c>
      <c r="N101" t="s">
        <v>854</v>
      </c>
      <c r="Q101" t="s">
        <v>20</v>
      </c>
    </row>
    <row r="102" spans="1:17" x14ac:dyDescent="0.35">
      <c r="A102" t="s">
        <v>855</v>
      </c>
      <c r="B102" t="s">
        <v>856</v>
      </c>
      <c r="C102" t="s">
        <v>850</v>
      </c>
      <c r="D102" t="s">
        <v>857</v>
      </c>
      <c r="E102" t="s">
        <v>858</v>
      </c>
      <c r="G102" t="s">
        <v>353</v>
      </c>
      <c r="I102" t="s">
        <v>859</v>
      </c>
      <c r="J102" t="s">
        <v>860</v>
      </c>
      <c r="L102" t="s">
        <v>447</v>
      </c>
      <c r="N102" t="s">
        <v>861</v>
      </c>
      <c r="Q102" t="s">
        <v>20</v>
      </c>
    </row>
    <row r="103" spans="1:17" x14ac:dyDescent="0.35">
      <c r="A103" t="s">
        <v>862</v>
      </c>
      <c r="B103" t="s">
        <v>863</v>
      </c>
      <c r="C103" t="s">
        <v>864</v>
      </c>
      <c r="D103" t="s">
        <v>865</v>
      </c>
      <c r="E103" t="s">
        <v>866</v>
      </c>
      <c r="I103" t="s">
        <v>867</v>
      </c>
      <c r="J103" t="s">
        <v>868</v>
      </c>
      <c r="L103" t="s">
        <v>123</v>
      </c>
      <c r="N103" t="s">
        <v>869</v>
      </c>
      <c r="Q103" t="s">
        <v>20</v>
      </c>
    </row>
    <row r="104" spans="1:17" x14ac:dyDescent="0.35">
      <c r="A104" t="s">
        <v>870</v>
      </c>
      <c r="B104" t="s">
        <v>871</v>
      </c>
      <c r="C104" t="s">
        <v>872</v>
      </c>
      <c r="D104" t="s">
        <v>873</v>
      </c>
      <c r="E104" t="s">
        <v>874</v>
      </c>
      <c r="G104" t="s">
        <v>875</v>
      </c>
      <c r="I104" t="s">
        <v>876</v>
      </c>
      <c r="J104" t="s">
        <v>868</v>
      </c>
      <c r="L104" t="s">
        <v>123</v>
      </c>
      <c r="N104" t="s">
        <v>877</v>
      </c>
      <c r="Q104" t="s">
        <v>20</v>
      </c>
    </row>
    <row r="105" spans="1:17" x14ac:dyDescent="0.35">
      <c r="A105" t="s">
        <v>878</v>
      </c>
      <c r="B105" t="s">
        <v>879</v>
      </c>
      <c r="C105" t="s">
        <v>872</v>
      </c>
      <c r="D105" t="s">
        <v>880</v>
      </c>
      <c r="E105" t="s">
        <v>881</v>
      </c>
      <c r="G105" t="s">
        <v>875</v>
      </c>
      <c r="I105" t="s">
        <v>882</v>
      </c>
      <c r="J105" t="s">
        <v>868</v>
      </c>
      <c r="L105" t="s">
        <v>181</v>
      </c>
      <c r="N105" t="s">
        <v>883</v>
      </c>
      <c r="Q105" t="s">
        <v>20</v>
      </c>
    </row>
    <row r="106" spans="1:17" x14ac:dyDescent="0.35">
      <c r="A106" t="s">
        <v>884</v>
      </c>
      <c r="B106" t="s">
        <v>885</v>
      </c>
      <c r="C106" t="s">
        <v>886</v>
      </c>
      <c r="D106" t="s">
        <v>887</v>
      </c>
      <c r="E106" t="s">
        <v>888</v>
      </c>
      <c r="I106" t="s">
        <v>889</v>
      </c>
      <c r="J106" t="s">
        <v>868</v>
      </c>
      <c r="L106" t="s">
        <v>123</v>
      </c>
      <c r="N106" t="s">
        <v>890</v>
      </c>
      <c r="Q106" t="s">
        <v>20</v>
      </c>
    </row>
    <row r="107" spans="1:17" x14ac:dyDescent="0.35">
      <c r="A107" t="s">
        <v>891</v>
      </c>
      <c r="B107" t="s">
        <v>892</v>
      </c>
      <c r="C107" t="s">
        <v>893</v>
      </c>
      <c r="D107" t="s">
        <v>894</v>
      </c>
      <c r="E107" t="s">
        <v>895</v>
      </c>
      <c r="I107" t="s">
        <v>896</v>
      </c>
      <c r="J107" t="s">
        <v>897</v>
      </c>
      <c r="L107" t="s">
        <v>898</v>
      </c>
      <c r="N107" t="s">
        <v>899</v>
      </c>
      <c r="Q107" t="s">
        <v>20</v>
      </c>
    </row>
    <row r="108" spans="1:17" x14ac:dyDescent="0.35">
      <c r="A108" t="s">
        <v>900</v>
      </c>
      <c r="B108" t="s">
        <v>901</v>
      </c>
      <c r="C108" t="s">
        <v>902</v>
      </c>
      <c r="D108" t="s">
        <v>903</v>
      </c>
      <c r="E108" t="s">
        <v>904</v>
      </c>
      <c r="I108" t="s">
        <v>905</v>
      </c>
      <c r="J108" t="s">
        <v>906</v>
      </c>
      <c r="L108" t="s">
        <v>907</v>
      </c>
      <c r="N108" t="s">
        <v>908</v>
      </c>
      <c r="Q108" t="s">
        <v>20</v>
      </c>
    </row>
    <row r="109" spans="1:17" x14ac:dyDescent="0.35">
      <c r="A109" t="s">
        <v>909</v>
      </c>
      <c r="B109" t="s">
        <v>910</v>
      </c>
      <c r="C109" t="s">
        <v>911</v>
      </c>
      <c r="D109" t="s">
        <v>912</v>
      </c>
      <c r="E109" t="s">
        <v>913</v>
      </c>
      <c r="G109" t="s">
        <v>437</v>
      </c>
      <c r="I109" t="s">
        <v>914</v>
      </c>
      <c r="J109" t="s">
        <v>915</v>
      </c>
      <c r="L109" t="s">
        <v>916</v>
      </c>
      <c r="N109" t="s">
        <v>917</v>
      </c>
      <c r="Q109" t="s">
        <v>20</v>
      </c>
    </row>
    <row r="110" spans="1:17" x14ac:dyDescent="0.35">
      <c r="A110" t="s">
        <v>918</v>
      </c>
      <c r="B110" t="s">
        <v>919</v>
      </c>
      <c r="C110" t="s">
        <v>920</v>
      </c>
      <c r="D110" t="s">
        <v>921</v>
      </c>
      <c r="E110" t="s">
        <v>922</v>
      </c>
      <c r="I110" t="s">
        <v>923</v>
      </c>
      <c r="J110" t="s">
        <v>868</v>
      </c>
      <c r="L110" t="s">
        <v>924</v>
      </c>
      <c r="N110" t="s">
        <v>925</v>
      </c>
      <c r="Q110" t="s">
        <v>20</v>
      </c>
    </row>
    <row r="111" spans="1:17" x14ac:dyDescent="0.35">
      <c r="B111" t="s">
        <v>926</v>
      </c>
      <c r="C111" t="s">
        <v>927</v>
      </c>
      <c r="E111" t="s">
        <v>928</v>
      </c>
      <c r="F111" t="s">
        <v>929</v>
      </c>
      <c r="I111" t="s">
        <v>930</v>
      </c>
      <c r="L111" t="s">
        <v>931</v>
      </c>
      <c r="M111" t="s">
        <v>932</v>
      </c>
      <c r="N111" t="s">
        <v>933</v>
      </c>
      <c r="O111" s="3" t="s">
        <v>934</v>
      </c>
      <c r="Q111" t="s">
        <v>20</v>
      </c>
    </row>
    <row r="112" spans="1:17" x14ac:dyDescent="0.35">
      <c r="A112" t="s">
        <v>935</v>
      </c>
      <c r="B112" t="s">
        <v>936</v>
      </c>
      <c r="D112" t="s">
        <v>937</v>
      </c>
      <c r="E112" t="s">
        <v>938</v>
      </c>
      <c r="G112" t="s">
        <v>510</v>
      </c>
      <c r="H112" t="s">
        <v>511</v>
      </c>
      <c r="I112" t="s">
        <v>939</v>
      </c>
      <c r="L112" t="s">
        <v>940</v>
      </c>
      <c r="N112" t="s">
        <v>941</v>
      </c>
      <c r="P112" t="s">
        <v>40</v>
      </c>
      <c r="Q112" t="s">
        <v>16</v>
      </c>
    </row>
    <row r="113" spans="1:17" x14ac:dyDescent="0.35">
      <c r="A113" t="s">
        <v>942</v>
      </c>
      <c r="B113" t="s">
        <v>733</v>
      </c>
      <c r="D113" t="s">
        <v>943</v>
      </c>
      <c r="E113" t="s">
        <v>944</v>
      </c>
      <c r="G113" t="s">
        <v>510</v>
      </c>
      <c r="H113" t="s">
        <v>511</v>
      </c>
      <c r="I113" t="s">
        <v>736</v>
      </c>
      <c r="L113" t="s">
        <v>945</v>
      </c>
      <c r="N113" t="s">
        <v>946</v>
      </c>
      <c r="P113" t="s">
        <v>40</v>
      </c>
      <c r="Q113" t="s">
        <v>16</v>
      </c>
    </row>
    <row r="114" spans="1:17" x14ac:dyDescent="0.35">
      <c r="A114" t="s">
        <v>947</v>
      </c>
      <c r="B114" t="s">
        <v>948</v>
      </c>
      <c r="D114" t="s">
        <v>949</v>
      </c>
      <c r="E114" t="s">
        <v>950</v>
      </c>
      <c r="G114" t="s">
        <v>453</v>
      </c>
      <c r="H114" t="s">
        <v>454</v>
      </c>
      <c r="I114" t="s">
        <v>951</v>
      </c>
      <c r="J114" t="s">
        <v>952</v>
      </c>
      <c r="K114" t="s">
        <v>21</v>
      </c>
      <c r="L114" t="s">
        <v>953</v>
      </c>
      <c r="N114" t="s">
        <v>954</v>
      </c>
      <c r="P114" t="s">
        <v>49</v>
      </c>
      <c r="Q114" t="s">
        <v>16</v>
      </c>
    </row>
    <row r="115" spans="1:17" x14ac:dyDescent="0.35">
      <c r="A115" t="s">
        <v>955</v>
      </c>
      <c r="B115" t="s">
        <v>956</v>
      </c>
      <c r="C115" t="s">
        <v>957</v>
      </c>
      <c r="D115" t="s">
        <v>958</v>
      </c>
      <c r="E115" t="s">
        <v>959</v>
      </c>
      <c r="G115" t="s">
        <v>101</v>
      </c>
      <c r="I115" t="s">
        <v>960</v>
      </c>
      <c r="J115" t="s">
        <v>961</v>
      </c>
      <c r="L115" t="s">
        <v>962</v>
      </c>
      <c r="N115" t="s">
        <v>963</v>
      </c>
      <c r="Q115" t="s">
        <v>16</v>
      </c>
    </row>
    <row r="116" spans="1:17" x14ac:dyDescent="0.35">
      <c r="A116" t="s">
        <v>964</v>
      </c>
      <c r="B116" t="s">
        <v>965</v>
      </c>
      <c r="C116" t="s">
        <v>957</v>
      </c>
      <c r="D116" t="s">
        <v>966</v>
      </c>
      <c r="E116" t="s">
        <v>967</v>
      </c>
      <c r="G116" t="s">
        <v>101</v>
      </c>
      <c r="I116" t="s">
        <v>968</v>
      </c>
      <c r="J116" t="s">
        <v>961</v>
      </c>
      <c r="L116" t="s">
        <v>447</v>
      </c>
      <c r="N116" t="s">
        <v>969</v>
      </c>
      <c r="Q116" t="s">
        <v>16</v>
      </c>
    </row>
    <row r="117" spans="1:17" x14ac:dyDescent="0.35">
      <c r="A117" t="s">
        <v>970</v>
      </c>
      <c r="B117" t="s">
        <v>971</v>
      </c>
      <c r="C117" t="s">
        <v>972</v>
      </c>
      <c r="D117" t="s">
        <v>973</v>
      </c>
      <c r="E117" t="s">
        <v>974</v>
      </c>
      <c r="G117" t="s">
        <v>875</v>
      </c>
      <c r="I117" t="s">
        <v>975</v>
      </c>
      <c r="J117" t="s">
        <v>976</v>
      </c>
      <c r="L117" t="s">
        <v>94</v>
      </c>
      <c r="N117" t="s">
        <v>977</v>
      </c>
      <c r="Q117" t="s">
        <v>16</v>
      </c>
    </row>
    <row r="118" spans="1:17" x14ac:dyDescent="0.35">
      <c r="A118" t="s">
        <v>978</v>
      </c>
      <c r="B118" t="s">
        <v>979</v>
      </c>
      <c r="C118" t="s">
        <v>980</v>
      </c>
      <c r="D118" t="s">
        <v>981</v>
      </c>
      <c r="E118" t="s">
        <v>982</v>
      </c>
      <c r="I118" t="s">
        <v>983</v>
      </c>
      <c r="J118" t="s">
        <v>976</v>
      </c>
      <c r="L118" t="s">
        <v>355</v>
      </c>
      <c r="N118" t="s">
        <v>984</v>
      </c>
      <c r="Q118" t="s">
        <v>16</v>
      </c>
    </row>
    <row r="119" spans="1:17" x14ac:dyDescent="0.35">
      <c r="A119" t="s">
        <v>985</v>
      </c>
      <c r="B119" t="s">
        <v>986</v>
      </c>
      <c r="C119" t="s">
        <v>987</v>
      </c>
      <c r="D119" t="s">
        <v>988</v>
      </c>
      <c r="E119" t="s">
        <v>989</v>
      </c>
      <c r="G119" t="s">
        <v>990</v>
      </c>
      <c r="I119" t="s">
        <v>991</v>
      </c>
      <c r="J119" t="s">
        <v>992</v>
      </c>
      <c r="L119" t="s">
        <v>123</v>
      </c>
      <c r="N119" t="s">
        <v>993</v>
      </c>
      <c r="Q119" t="s">
        <v>16</v>
      </c>
    </row>
    <row r="120" spans="1:17" x14ac:dyDescent="0.35">
      <c r="A120" t="s">
        <v>994</v>
      </c>
      <c r="B120" t="s">
        <v>995</v>
      </c>
      <c r="C120" t="s">
        <v>996</v>
      </c>
      <c r="D120" t="s">
        <v>997</v>
      </c>
      <c r="E120" t="s">
        <v>998</v>
      </c>
      <c r="G120" t="s">
        <v>198</v>
      </c>
      <c r="I120" t="s">
        <v>999</v>
      </c>
      <c r="J120" t="s">
        <v>897</v>
      </c>
      <c r="L120" t="s">
        <v>1000</v>
      </c>
      <c r="N120" t="s">
        <v>1001</v>
      </c>
      <c r="Q120" t="s">
        <v>16</v>
      </c>
    </row>
    <row r="121" spans="1:17" x14ac:dyDescent="0.35">
      <c r="A121" t="s">
        <v>1002</v>
      </c>
      <c r="B121" t="s">
        <v>1003</v>
      </c>
      <c r="D121" t="s">
        <v>1004</v>
      </c>
      <c r="E121" t="s">
        <v>1005</v>
      </c>
      <c r="G121" t="s">
        <v>453</v>
      </c>
      <c r="H121" t="s">
        <v>454</v>
      </c>
      <c r="I121" t="s">
        <v>1006</v>
      </c>
      <c r="J121" t="s">
        <v>915</v>
      </c>
      <c r="K121" t="s">
        <v>19</v>
      </c>
      <c r="L121" t="s">
        <v>1007</v>
      </c>
      <c r="N121" t="s">
        <v>1008</v>
      </c>
      <c r="P121" t="s">
        <v>49</v>
      </c>
      <c r="Q121" t="s">
        <v>16</v>
      </c>
    </row>
    <row r="122" spans="1:17" x14ac:dyDescent="0.35">
      <c r="A122" t="s">
        <v>1009</v>
      </c>
      <c r="B122" t="s">
        <v>1010</v>
      </c>
      <c r="C122" t="s">
        <v>1011</v>
      </c>
      <c r="D122" t="s">
        <v>1012</v>
      </c>
      <c r="E122" t="s">
        <v>1013</v>
      </c>
      <c r="G122" t="s">
        <v>844</v>
      </c>
      <c r="I122" t="s">
        <v>1014</v>
      </c>
      <c r="J122" t="s">
        <v>897</v>
      </c>
      <c r="L122" t="s">
        <v>1015</v>
      </c>
      <c r="N122" t="s">
        <v>1016</v>
      </c>
      <c r="Q122" t="s">
        <v>16</v>
      </c>
    </row>
    <row r="123" spans="1:17" x14ac:dyDescent="0.35">
      <c r="A123" t="s">
        <v>1017</v>
      </c>
      <c r="B123" t="s">
        <v>1018</v>
      </c>
      <c r="E123" t="s">
        <v>1019</v>
      </c>
      <c r="H123" t="s">
        <v>1020</v>
      </c>
      <c r="I123" t="s">
        <v>1021</v>
      </c>
      <c r="J123" t="s">
        <v>860</v>
      </c>
      <c r="L123" t="s">
        <v>1022</v>
      </c>
      <c r="N123" t="s">
        <v>1020</v>
      </c>
      <c r="Q123" t="s">
        <v>16</v>
      </c>
    </row>
    <row r="124" spans="1:17" x14ac:dyDescent="0.35">
      <c r="A124" t="s">
        <v>1023</v>
      </c>
      <c r="B124" t="s">
        <v>1024</v>
      </c>
      <c r="C124" t="s">
        <v>1025</v>
      </c>
      <c r="D124" t="s">
        <v>1026</v>
      </c>
      <c r="E124" t="s">
        <v>1027</v>
      </c>
      <c r="G124" t="s">
        <v>1028</v>
      </c>
      <c r="I124" t="s">
        <v>1029</v>
      </c>
      <c r="J124" t="s">
        <v>906</v>
      </c>
      <c r="L124" t="s">
        <v>181</v>
      </c>
      <c r="N124" t="s">
        <v>1030</v>
      </c>
      <c r="Q124" t="s">
        <v>16</v>
      </c>
    </row>
    <row r="125" spans="1:17" x14ac:dyDescent="0.35">
      <c r="A125" t="s">
        <v>1031</v>
      </c>
      <c r="B125" t="s">
        <v>1032</v>
      </c>
      <c r="C125" t="s">
        <v>1033</v>
      </c>
      <c r="D125" t="s">
        <v>1034</v>
      </c>
      <c r="E125" t="s">
        <v>1035</v>
      </c>
      <c r="I125" t="s">
        <v>1036</v>
      </c>
      <c r="J125" t="s">
        <v>915</v>
      </c>
      <c r="L125" t="s">
        <v>1037</v>
      </c>
      <c r="N125" t="s">
        <v>1038</v>
      </c>
      <c r="Q125" t="s">
        <v>16</v>
      </c>
    </row>
    <row r="126" spans="1:17" x14ac:dyDescent="0.35">
      <c r="A126" t="s">
        <v>1039</v>
      </c>
      <c r="B126" t="s">
        <v>562</v>
      </c>
      <c r="C126" t="s">
        <v>1040</v>
      </c>
      <c r="D126" t="s">
        <v>1041</v>
      </c>
      <c r="E126" t="s">
        <v>1042</v>
      </c>
      <c r="G126" t="s">
        <v>353</v>
      </c>
      <c r="I126" t="s">
        <v>1043</v>
      </c>
      <c r="J126" t="s">
        <v>860</v>
      </c>
      <c r="L126" t="s">
        <v>447</v>
      </c>
      <c r="N126" t="s">
        <v>1044</v>
      </c>
      <c r="Q126" t="s">
        <v>16</v>
      </c>
    </row>
    <row r="127" spans="1:17" x14ac:dyDescent="0.35">
      <c r="A127" t="s">
        <v>1045</v>
      </c>
      <c r="B127" t="s">
        <v>1046</v>
      </c>
      <c r="C127" t="s">
        <v>1040</v>
      </c>
      <c r="D127" t="s">
        <v>1047</v>
      </c>
      <c r="E127" t="s">
        <v>1048</v>
      </c>
      <c r="G127" t="s">
        <v>353</v>
      </c>
      <c r="I127" t="s">
        <v>1049</v>
      </c>
      <c r="J127" t="s">
        <v>860</v>
      </c>
      <c r="L127" t="s">
        <v>181</v>
      </c>
      <c r="N127" t="s">
        <v>1050</v>
      </c>
      <c r="Q127" t="s">
        <v>16</v>
      </c>
    </row>
    <row r="128" spans="1:17" x14ac:dyDescent="0.35">
      <c r="A128" t="s">
        <v>1051</v>
      </c>
      <c r="B128" t="s">
        <v>1052</v>
      </c>
      <c r="C128" t="s">
        <v>1040</v>
      </c>
      <c r="D128" t="s">
        <v>1053</v>
      </c>
      <c r="E128" t="s">
        <v>1054</v>
      </c>
      <c r="G128" t="s">
        <v>353</v>
      </c>
      <c r="I128" t="s">
        <v>1055</v>
      </c>
      <c r="J128" t="s">
        <v>860</v>
      </c>
      <c r="L128" t="s">
        <v>181</v>
      </c>
      <c r="N128" t="s">
        <v>1056</v>
      </c>
      <c r="Q128" t="s">
        <v>16</v>
      </c>
    </row>
    <row r="129" spans="1:17" x14ac:dyDescent="0.35">
      <c r="A129" t="s">
        <v>1057</v>
      </c>
      <c r="B129" t="s">
        <v>1058</v>
      </c>
      <c r="C129" t="s">
        <v>1040</v>
      </c>
      <c r="D129" t="s">
        <v>1059</v>
      </c>
      <c r="E129" t="s">
        <v>1060</v>
      </c>
      <c r="G129" t="s">
        <v>353</v>
      </c>
      <c r="I129" t="s">
        <v>1061</v>
      </c>
      <c r="J129" t="s">
        <v>860</v>
      </c>
      <c r="L129" t="s">
        <v>355</v>
      </c>
      <c r="N129" t="s">
        <v>1062</v>
      </c>
      <c r="Q129" t="s">
        <v>16</v>
      </c>
    </row>
    <row r="130" spans="1:17" x14ac:dyDescent="0.35">
      <c r="A130" t="s">
        <v>1063</v>
      </c>
      <c r="B130" t="s">
        <v>1064</v>
      </c>
      <c r="C130" t="s">
        <v>1040</v>
      </c>
      <c r="D130" t="s">
        <v>1065</v>
      </c>
      <c r="E130" t="s">
        <v>1066</v>
      </c>
      <c r="G130" t="s">
        <v>353</v>
      </c>
      <c r="I130" t="s">
        <v>1067</v>
      </c>
      <c r="J130" t="s">
        <v>860</v>
      </c>
      <c r="L130" t="s">
        <v>181</v>
      </c>
      <c r="N130" t="s">
        <v>1068</v>
      </c>
      <c r="Q130" t="s">
        <v>16</v>
      </c>
    </row>
    <row r="131" spans="1:17" x14ac:dyDescent="0.35">
      <c r="A131" t="s">
        <v>1069</v>
      </c>
      <c r="B131" t="s">
        <v>1070</v>
      </c>
      <c r="D131" t="s">
        <v>1071</v>
      </c>
      <c r="E131" t="s">
        <v>1072</v>
      </c>
      <c r="G131" t="s">
        <v>453</v>
      </c>
      <c r="H131" t="s">
        <v>454</v>
      </c>
      <c r="I131" t="s">
        <v>1073</v>
      </c>
      <c r="J131" t="s">
        <v>1074</v>
      </c>
      <c r="K131" t="s">
        <v>17</v>
      </c>
      <c r="L131" t="s">
        <v>1075</v>
      </c>
      <c r="N131" t="s">
        <v>1076</v>
      </c>
      <c r="P131" t="s">
        <v>1077</v>
      </c>
      <c r="Q131" t="s">
        <v>24</v>
      </c>
    </row>
    <row r="132" spans="1:17" x14ac:dyDescent="0.35">
      <c r="A132" t="s">
        <v>1078</v>
      </c>
      <c r="B132" t="s">
        <v>1079</v>
      </c>
      <c r="D132" t="s">
        <v>1080</v>
      </c>
      <c r="E132" t="s">
        <v>1081</v>
      </c>
      <c r="G132" t="s">
        <v>1082</v>
      </c>
      <c r="H132" t="s">
        <v>1083</v>
      </c>
      <c r="I132" t="s">
        <v>1084</v>
      </c>
      <c r="L132" t="s">
        <v>1085</v>
      </c>
      <c r="N132" t="s">
        <v>1086</v>
      </c>
      <c r="P132" t="s">
        <v>1087</v>
      </c>
      <c r="Q132" t="s">
        <v>24</v>
      </c>
    </row>
    <row r="133" spans="1:17" x14ac:dyDescent="0.35">
      <c r="A133" t="s">
        <v>1088</v>
      </c>
      <c r="B133" t="s">
        <v>1089</v>
      </c>
      <c r="C133" t="s">
        <v>1090</v>
      </c>
      <c r="D133" t="s">
        <v>1091</v>
      </c>
      <c r="E133" t="s">
        <v>1092</v>
      </c>
      <c r="G133" t="s">
        <v>1093</v>
      </c>
      <c r="I133" t="s">
        <v>1094</v>
      </c>
      <c r="J133" t="s">
        <v>1095</v>
      </c>
      <c r="L133" t="s">
        <v>1096</v>
      </c>
      <c r="N133" t="s">
        <v>1097</v>
      </c>
      <c r="Q133" t="s">
        <v>24</v>
      </c>
    </row>
    <row r="134" spans="1:17" x14ac:dyDescent="0.35">
      <c r="A134" t="s">
        <v>1098</v>
      </c>
      <c r="B134" t="s">
        <v>1099</v>
      </c>
      <c r="C134" t="s">
        <v>1100</v>
      </c>
      <c r="D134" t="s">
        <v>1101</v>
      </c>
      <c r="E134" t="s">
        <v>1102</v>
      </c>
      <c r="I134" t="s">
        <v>1103</v>
      </c>
      <c r="J134" t="s">
        <v>1095</v>
      </c>
      <c r="L134" t="s">
        <v>1104</v>
      </c>
      <c r="N134" t="s">
        <v>1105</v>
      </c>
      <c r="Q134" t="s">
        <v>24</v>
      </c>
    </row>
    <row r="135" spans="1:17" x14ac:dyDescent="0.35">
      <c r="A135" t="s">
        <v>1106</v>
      </c>
      <c r="B135" t="s">
        <v>1107</v>
      </c>
      <c r="C135" t="s">
        <v>1108</v>
      </c>
      <c r="D135" t="s">
        <v>1109</v>
      </c>
      <c r="E135" t="s">
        <v>1110</v>
      </c>
      <c r="I135" t="s">
        <v>1111</v>
      </c>
      <c r="J135" t="s">
        <v>1095</v>
      </c>
      <c r="L135" t="s">
        <v>94</v>
      </c>
      <c r="N135" t="s">
        <v>1112</v>
      </c>
      <c r="Q135" t="s">
        <v>24</v>
      </c>
    </row>
    <row r="136" spans="1:17" x14ac:dyDescent="0.35">
      <c r="A136" t="s">
        <v>1113</v>
      </c>
      <c r="B136" t="s">
        <v>1114</v>
      </c>
      <c r="C136" t="s">
        <v>1115</v>
      </c>
      <c r="D136" t="s">
        <v>1116</v>
      </c>
      <c r="E136" t="s">
        <v>1117</v>
      </c>
      <c r="G136" t="s">
        <v>101</v>
      </c>
      <c r="I136" t="s">
        <v>1118</v>
      </c>
      <c r="J136" t="s">
        <v>952</v>
      </c>
      <c r="L136" t="s">
        <v>962</v>
      </c>
      <c r="N136" t="s">
        <v>1119</v>
      </c>
      <c r="Q136" t="s">
        <v>24</v>
      </c>
    </row>
    <row r="137" spans="1:17" x14ac:dyDescent="0.35">
      <c r="A137" t="s">
        <v>1120</v>
      </c>
      <c r="B137" t="s">
        <v>1121</v>
      </c>
      <c r="C137" t="s">
        <v>1122</v>
      </c>
      <c r="D137" t="s">
        <v>1123</v>
      </c>
      <c r="E137" t="s">
        <v>1124</v>
      </c>
      <c r="I137" t="s">
        <v>1125</v>
      </c>
      <c r="J137" t="s">
        <v>1126</v>
      </c>
      <c r="L137" t="s">
        <v>1127</v>
      </c>
      <c r="N137" t="s">
        <v>1128</v>
      </c>
      <c r="Q137" t="s">
        <v>24</v>
      </c>
    </row>
    <row r="138" spans="1:17" x14ac:dyDescent="0.35">
      <c r="A138" t="s">
        <v>1129</v>
      </c>
      <c r="B138" t="s">
        <v>1130</v>
      </c>
      <c r="C138" t="s">
        <v>1131</v>
      </c>
      <c r="D138" t="s">
        <v>1132</v>
      </c>
      <c r="E138" t="s">
        <v>1133</v>
      </c>
      <c r="I138" t="s">
        <v>1134</v>
      </c>
      <c r="J138" t="s">
        <v>961</v>
      </c>
      <c r="L138" t="s">
        <v>1135</v>
      </c>
      <c r="N138" t="s">
        <v>1136</v>
      </c>
      <c r="Q138" t="s">
        <v>24</v>
      </c>
    </row>
    <row r="139" spans="1:17" x14ac:dyDescent="0.35">
      <c r="A139" t="s">
        <v>1137</v>
      </c>
      <c r="B139" t="s">
        <v>1138</v>
      </c>
      <c r="C139" t="s">
        <v>1139</v>
      </c>
      <c r="D139" t="s">
        <v>1140</v>
      </c>
      <c r="E139" t="s">
        <v>1141</v>
      </c>
      <c r="I139" t="s">
        <v>1142</v>
      </c>
      <c r="J139" t="s">
        <v>952</v>
      </c>
      <c r="L139" t="s">
        <v>1143</v>
      </c>
      <c r="N139" t="s">
        <v>1144</v>
      </c>
      <c r="Q139" t="s">
        <v>24</v>
      </c>
    </row>
    <row r="140" spans="1:17" x14ac:dyDescent="0.35">
      <c r="A140" t="s">
        <v>1145</v>
      </c>
      <c r="B140" t="s">
        <v>1146</v>
      </c>
      <c r="C140" t="s">
        <v>1147</v>
      </c>
      <c r="D140" t="s">
        <v>1148</v>
      </c>
      <c r="E140" t="s">
        <v>1149</v>
      </c>
      <c r="I140" t="s">
        <v>1150</v>
      </c>
      <c r="J140" t="s">
        <v>952</v>
      </c>
      <c r="L140" t="s">
        <v>1151</v>
      </c>
      <c r="N140" t="s">
        <v>1152</v>
      </c>
      <c r="Q140" t="s">
        <v>24</v>
      </c>
    </row>
    <row r="141" spans="1:17" x14ac:dyDescent="0.35">
      <c r="A141" t="s">
        <v>1153</v>
      </c>
      <c r="B141" t="s">
        <v>1154</v>
      </c>
      <c r="C141" t="s">
        <v>1147</v>
      </c>
      <c r="D141" t="s">
        <v>1155</v>
      </c>
      <c r="E141" t="s">
        <v>1156</v>
      </c>
      <c r="I141" t="s">
        <v>1157</v>
      </c>
      <c r="J141" t="s">
        <v>952</v>
      </c>
      <c r="L141" t="s">
        <v>1158</v>
      </c>
      <c r="N141" t="s">
        <v>1159</v>
      </c>
      <c r="Q141" t="s">
        <v>24</v>
      </c>
    </row>
    <row r="142" spans="1:17" x14ac:dyDescent="0.35">
      <c r="A142" t="s">
        <v>1160</v>
      </c>
      <c r="B142" t="s">
        <v>1161</v>
      </c>
      <c r="C142" t="s">
        <v>1147</v>
      </c>
      <c r="D142" t="s">
        <v>1162</v>
      </c>
      <c r="E142" t="s">
        <v>1163</v>
      </c>
      <c r="I142" t="s">
        <v>1164</v>
      </c>
      <c r="J142" t="s">
        <v>952</v>
      </c>
      <c r="L142" t="s">
        <v>1165</v>
      </c>
      <c r="N142" t="s">
        <v>1166</v>
      </c>
      <c r="Q142" t="s">
        <v>24</v>
      </c>
    </row>
    <row r="143" spans="1:17" x14ac:dyDescent="0.35">
      <c r="A143" t="s">
        <v>1167</v>
      </c>
      <c r="B143" t="s">
        <v>1168</v>
      </c>
      <c r="C143" t="s">
        <v>1147</v>
      </c>
      <c r="D143" t="s">
        <v>1169</v>
      </c>
      <c r="E143" t="s">
        <v>1170</v>
      </c>
      <c r="I143" t="s">
        <v>1171</v>
      </c>
      <c r="J143" t="s">
        <v>952</v>
      </c>
      <c r="L143" t="s">
        <v>1172</v>
      </c>
      <c r="N143" t="s">
        <v>1173</v>
      </c>
      <c r="Q143" t="s">
        <v>24</v>
      </c>
    </row>
    <row r="144" spans="1:17" x14ac:dyDescent="0.35">
      <c r="A144" t="s">
        <v>1174</v>
      </c>
      <c r="B144" t="s">
        <v>1175</v>
      </c>
      <c r="C144" t="s">
        <v>1147</v>
      </c>
      <c r="D144" t="s">
        <v>1176</v>
      </c>
      <c r="E144" t="s">
        <v>1177</v>
      </c>
      <c r="I144" t="s">
        <v>1178</v>
      </c>
      <c r="J144" t="s">
        <v>952</v>
      </c>
      <c r="L144" t="s">
        <v>1179</v>
      </c>
      <c r="N144" t="s">
        <v>1180</v>
      </c>
      <c r="Q144" t="s">
        <v>24</v>
      </c>
    </row>
    <row r="145" spans="1:17" x14ac:dyDescent="0.35">
      <c r="A145" t="s">
        <v>1181</v>
      </c>
      <c r="B145" t="s">
        <v>1182</v>
      </c>
      <c r="C145" t="s">
        <v>1183</v>
      </c>
      <c r="D145" t="s">
        <v>1184</v>
      </c>
      <c r="E145" t="s">
        <v>1185</v>
      </c>
      <c r="I145" t="s">
        <v>1186</v>
      </c>
      <c r="J145" t="s">
        <v>961</v>
      </c>
      <c r="L145" t="s">
        <v>1187</v>
      </c>
      <c r="N145" t="s">
        <v>1188</v>
      </c>
      <c r="Q145" t="s">
        <v>24</v>
      </c>
    </row>
    <row r="146" spans="1:17" x14ac:dyDescent="0.35">
      <c r="A146" t="s">
        <v>1189</v>
      </c>
      <c r="B146" t="s">
        <v>1190</v>
      </c>
      <c r="C146" t="s">
        <v>1191</v>
      </c>
      <c r="D146" t="s">
        <v>1192</v>
      </c>
      <c r="E146" t="s">
        <v>1193</v>
      </c>
      <c r="I146" t="s">
        <v>1194</v>
      </c>
      <c r="J146" t="s">
        <v>976</v>
      </c>
      <c r="L146" t="s">
        <v>1195</v>
      </c>
      <c r="N146" t="s">
        <v>1196</v>
      </c>
      <c r="Q146" t="s">
        <v>24</v>
      </c>
    </row>
    <row r="147" spans="1:17" x14ac:dyDescent="0.35">
      <c r="A147" t="s">
        <v>1197</v>
      </c>
      <c r="B147" t="s">
        <v>1198</v>
      </c>
      <c r="C147" t="s">
        <v>1199</v>
      </c>
      <c r="D147" t="s">
        <v>1200</v>
      </c>
      <c r="E147" t="s">
        <v>1201</v>
      </c>
      <c r="I147" t="s">
        <v>1202</v>
      </c>
      <c r="J147" t="s">
        <v>961</v>
      </c>
      <c r="L147" t="s">
        <v>1203</v>
      </c>
      <c r="N147" t="s">
        <v>1204</v>
      </c>
      <c r="Q147" t="s">
        <v>24</v>
      </c>
    </row>
    <row r="148" spans="1:17" x14ac:dyDescent="0.35">
      <c r="A148" t="s">
        <v>1205</v>
      </c>
      <c r="B148" t="s">
        <v>1206</v>
      </c>
      <c r="C148" t="s">
        <v>1207</v>
      </c>
      <c r="D148" t="s">
        <v>1208</v>
      </c>
      <c r="E148" t="s">
        <v>1209</v>
      </c>
      <c r="G148" t="s">
        <v>1210</v>
      </c>
      <c r="I148" t="s">
        <v>1211</v>
      </c>
      <c r="J148" t="s">
        <v>976</v>
      </c>
      <c r="L148" t="s">
        <v>1212</v>
      </c>
      <c r="N148" t="s">
        <v>1213</v>
      </c>
      <c r="Q148" t="s">
        <v>24</v>
      </c>
    </row>
    <row r="149" spans="1:17" x14ac:dyDescent="0.35">
      <c r="A149" t="s">
        <v>1214</v>
      </c>
      <c r="B149" t="s">
        <v>1215</v>
      </c>
      <c r="C149" t="s">
        <v>1216</v>
      </c>
      <c r="D149" t="s">
        <v>1217</v>
      </c>
      <c r="E149" t="s">
        <v>1218</v>
      </c>
      <c r="G149" t="s">
        <v>1219</v>
      </c>
      <c r="I149" t="s">
        <v>1220</v>
      </c>
      <c r="J149" t="s">
        <v>1095</v>
      </c>
      <c r="L149" t="s">
        <v>181</v>
      </c>
      <c r="N149" t="s">
        <v>1221</v>
      </c>
      <c r="Q149" t="s">
        <v>24</v>
      </c>
    </row>
    <row r="150" spans="1:17" x14ac:dyDescent="0.35">
      <c r="A150" t="s">
        <v>1222</v>
      </c>
      <c r="B150" t="s">
        <v>1223</v>
      </c>
      <c r="C150" t="s">
        <v>1216</v>
      </c>
      <c r="D150" t="s">
        <v>1224</v>
      </c>
      <c r="E150" t="s">
        <v>1225</v>
      </c>
      <c r="G150" t="s">
        <v>1219</v>
      </c>
      <c r="I150" t="s">
        <v>1226</v>
      </c>
      <c r="J150" t="s">
        <v>1095</v>
      </c>
      <c r="L150" t="s">
        <v>123</v>
      </c>
      <c r="N150" t="s">
        <v>1227</v>
      </c>
      <c r="Q150" t="s">
        <v>24</v>
      </c>
    </row>
    <row r="151" spans="1:17" x14ac:dyDescent="0.35">
      <c r="A151" t="s">
        <v>1228</v>
      </c>
      <c r="B151" t="s">
        <v>1229</v>
      </c>
      <c r="C151" t="s">
        <v>1230</v>
      </c>
      <c r="D151" t="s">
        <v>1231</v>
      </c>
      <c r="E151" t="s">
        <v>1232</v>
      </c>
      <c r="I151" t="s">
        <v>1233</v>
      </c>
      <c r="J151" t="s">
        <v>961</v>
      </c>
      <c r="L151" t="s">
        <v>1234</v>
      </c>
      <c r="N151" t="s">
        <v>1235</v>
      </c>
      <c r="Q151" t="s">
        <v>24</v>
      </c>
    </row>
    <row r="152" spans="1:17" x14ac:dyDescent="0.35">
      <c r="A152" t="s">
        <v>1236</v>
      </c>
      <c r="B152" t="s">
        <v>1237</v>
      </c>
      <c r="C152" t="s">
        <v>1238</v>
      </c>
      <c r="D152" t="s">
        <v>1239</v>
      </c>
      <c r="E152" t="s">
        <v>1240</v>
      </c>
      <c r="I152" t="s">
        <v>1241</v>
      </c>
      <c r="J152" t="s">
        <v>897</v>
      </c>
      <c r="L152" t="s">
        <v>94</v>
      </c>
      <c r="N152" t="s">
        <v>1242</v>
      </c>
      <c r="Q152" t="s">
        <v>24</v>
      </c>
    </row>
    <row r="153" spans="1:17" x14ac:dyDescent="0.35">
      <c r="A153" t="s">
        <v>1243</v>
      </c>
      <c r="B153" t="s">
        <v>1244</v>
      </c>
      <c r="C153" t="s">
        <v>1245</v>
      </c>
      <c r="D153" t="s">
        <v>1246</v>
      </c>
      <c r="E153" t="s">
        <v>1247</v>
      </c>
      <c r="I153" t="s">
        <v>1248</v>
      </c>
      <c r="J153" t="s">
        <v>976</v>
      </c>
      <c r="L153" t="s">
        <v>181</v>
      </c>
      <c r="N153" t="s">
        <v>1249</v>
      </c>
      <c r="Q153" t="s">
        <v>24</v>
      </c>
    </row>
    <row r="154" spans="1:17" x14ac:dyDescent="0.35">
      <c r="A154" t="s">
        <v>1250</v>
      </c>
      <c r="B154" t="s">
        <v>1251</v>
      </c>
      <c r="C154" t="s">
        <v>1245</v>
      </c>
      <c r="D154" t="s">
        <v>1252</v>
      </c>
      <c r="E154" t="s">
        <v>1253</v>
      </c>
      <c r="I154" t="s">
        <v>1254</v>
      </c>
      <c r="J154" t="s">
        <v>976</v>
      </c>
      <c r="L154" t="s">
        <v>1255</v>
      </c>
      <c r="N154" t="s">
        <v>1256</v>
      </c>
      <c r="Q154" t="s">
        <v>24</v>
      </c>
    </row>
    <row r="155" spans="1:17" x14ac:dyDescent="0.35">
      <c r="A155" t="s">
        <v>1257</v>
      </c>
      <c r="B155" t="s">
        <v>1258</v>
      </c>
      <c r="C155" t="s">
        <v>1245</v>
      </c>
      <c r="D155" t="s">
        <v>1259</v>
      </c>
      <c r="E155" t="s">
        <v>1260</v>
      </c>
      <c r="I155" t="s">
        <v>1261</v>
      </c>
      <c r="J155" t="s">
        <v>976</v>
      </c>
      <c r="L155" t="s">
        <v>1262</v>
      </c>
      <c r="N155" t="s">
        <v>1263</v>
      </c>
      <c r="Q155" t="s">
        <v>24</v>
      </c>
    </row>
    <row r="156" spans="1:17" x14ac:dyDescent="0.35">
      <c r="A156" t="s">
        <v>1264</v>
      </c>
      <c r="B156" t="s">
        <v>1265</v>
      </c>
      <c r="C156" t="s">
        <v>1266</v>
      </c>
      <c r="D156" t="s">
        <v>1267</v>
      </c>
      <c r="E156" t="s">
        <v>1268</v>
      </c>
      <c r="G156" t="s">
        <v>1269</v>
      </c>
      <c r="I156" t="s">
        <v>1270</v>
      </c>
      <c r="J156" t="s">
        <v>897</v>
      </c>
      <c r="L156" t="s">
        <v>1271</v>
      </c>
      <c r="N156" t="s">
        <v>1272</v>
      </c>
      <c r="Q156" t="s">
        <v>24</v>
      </c>
    </row>
    <row r="157" spans="1:17" x14ac:dyDescent="0.35">
      <c r="A157" t="s">
        <v>1273</v>
      </c>
      <c r="C157" t="s">
        <v>285</v>
      </c>
      <c r="D157" t="s">
        <v>1274</v>
      </c>
      <c r="E157" t="s">
        <v>1275</v>
      </c>
      <c r="G157" t="s">
        <v>288</v>
      </c>
      <c r="J157" t="s">
        <v>952</v>
      </c>
      <c r="L157" t="s">
        <v>1276</v>
      </c>
      <c r="N157" t="s">
        <v>1277</v>
      </c>
      <c r="Q157" t="s">
        <v>33</v>
      </c>
    </row>
    <row r="158" spans="1:17" x14ac:dyDescent="0.35">
      <c r="A158" t="s">
        <v>1273</v>
      </c>
      <c r="C158" t="s">
        <v>443</v>
      </c>
      <c r="D158" t="s">
        <v>1278</v>
      </c>
      <c r="E158" t="s">
        <v>1279</v>
      </c>
      <c r="J158" t="s">
        <v>860</v>
      </c>
      <c r="L158" t="s">
        <v>355</v>
      </c>
      <c r="N158" t="s">
        <v>1280</v>
      </c>
      <c r="Q158" t="s">
        <v>31</v>
      </c>
    </row>
    <row r="159" spans="1:17" x14ac:dyDescent="0.35">
      <c r="A159" t="s">
        <v>1281</v>
      </c>
      <c r="C159" t="s">
        <v>443</v>
      </c>
      <c r="D159" t="s">
        <v>1282</v>
      </c>
      <c r="E159" t="s">
        <v>1283</v>
      </c>
      <c r="J159" t="s">
        <v>860</v>
      </c>
      <c r="L159" t="s">
        <v>962</v>
      </c>
      <c r="N159" t="s">
        <v>1284</v>
      </c>
      <c r="Q159" t="s">
        <v>31</v>
      </c>
    </row>
    <row r="160" spans="1:17" x14ac:dyDescent="0.35">
      <c r="A160" t="s">
        <v>1285</v>
      </c>
      <c r="C160" t="s">
        <v>443</v>
      </c>
      <c r="D160" t="s">
        <v>1286</v>
      </c>
      <c r="E160" t="s">
        <v>1287</v>
      </c>
      <c r="J160" t="s">
        <v>860</v>
      </c>
      <c r="L160" t="s">
        <v>1288</v>
      </c>
      <c r="N160" t="s">
        <v>1289</v>
      </c>
      <c r="Q160" t="s">
        <v>31</v>
      </c>
    </row>
    <row r="161" spans="1:17" x14ac:dyDescent="0.35">
      <c r="A161" t="s">
        <v>1290</v>
      </c>
      <c r="C161" t="s">
        <v>655</v>
      </c>
      <c r="D161" t="s">
        <v>1291</v>
      </c>
      <c r="E161" t="s">
        <v>1292</v>
      </c>
      <c r="J161" t="s">
        <v>868</v>
      </c>
      <c r="L161" t="s">
        <v>1293</v>
      </c>
      <c r="N161" t="s">
        <v>1294</v>
      </c>
      <c r="Q161" t="s">
        <v>27</v>
      </c>
    </row>
    <row r="162" spans="1:17" x14ac:dyDescent="0.35">
      <c r="C162" t="s">
        <v>695</v>
      </c>
      <c r="D162" t="s">
        <v>1295</v>
      </c>
      <c r="E162" t="s">
        <v>1296</v>
      </c>
      <c r="G162" t="s">
        <v>223</v>
      </c>
      <c r="J162" t="s">
        <v>915</v>
      </c>
      <c r="L162" t="s">
        <v>1297</v>
      </c>
      <c r="N162" t="s">
        <v>1298</v>
      </c>
      <c r="Q162" t="s">
        <v>27</v>
      </c>
    </row>
    <row r="163" spans="1:17" x14ac:dyDescent="0.35">
      <c r="C163" t="s">
        <v>741</v>
      </c>
      <c r="D163" t="s">
        <v>1299</v>
      </c>
      <c r="E163" t="s">
        <v>1300</v>
      </c>
      <c r="J163" t="s">
        <v>1095</v>
      </c>
      <c r="L163" t="s">
        <v>1301</v>
      </c>
      <c r="N163" t="s">
        <v>1298</v>
      </c>
      <c r="Q163" t="s">
        <v>20</v>
      </c>
    </row>
    <row r="164" spans="1:17" x14ac:dyDescent="0.35">
      <c r="C164" t="s">
        <v>1147</v>
      </c>
      <c r="D164" t="s">
        <v>1302</v>
      </c>
      <c r="E164" t="s">
        <v>1303</v>
      </c>
      <c r="J164" t="s">
        <v>952</v>
      </c>
      <c r="L164" t="s">
        <v>1304</v>
      </c>
      <c r="N164" t="s">
        <v>1305</v>
      </c>
      <c r="Q164" t="s">
        <v>24</v>
      </c>
    </row>
    <row r="165" spans="1:17" x14ac:dyDescent="0.35">
      <c r="C165" t="s">
        <v>1266</v>
      </c>
      <c r="D165" t="s">
        <v>1306</v>
      </c>
      <c r="E165" t="s">
        <v>1307</v>
      </c>
      <c r="G165" t="s">
        <v>1269</v>
      </c>
      <c r="J165" t="s">
        <v>897</v>
      </c>
      <c r="L165" t="s">
        <v>1308</v>
      </c>
      <c r="N165" t="s">
        <v>1309</v>
      </c>
      <c r="Q165" t="s">
        <v>24</v>
      </c>
    </row>
  </sheetData>
  <hyperlinks>
    <hyperlink ref="O30" r:id="rId1" xr:uid="{00000000-0004-0000-0300-000000000000}"/>
    <hyperlink ref="O111" r:id="rId2" xr:uid="{00000000-0004-0000-0300-00000100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30"/>
  <sheetViews>
    <sheetView tabSelected="1" workbookViewId="0"/>
  </sheetViews>
  <sheetFormatPr defaultRowHeight="14.5" x14ac:dyDescent="0.35"/>
  <cols>
    <col min="1" max="1" width="8.7265625" customWidth="1"/>
  </cols>
  <sheetData>
    <row r="1" spans="1:20" x14ac:dyDescent="0.35">
      <c r="A1" s="1" t="s">
        <v>56</v>
      </c>
      <c r="B1" s="1" t="s">
        <v>0</v>
      </c>
      <c r="C1" s="1" t="s">
        <v>1</v>
      </c>
      <c r="D1" s="1" t="s">
        <v>2</v>
      </c>
      <c r="E1" s="1" t="s">
        <v>4</v>
      </c>
      <c r="F1" s="1" t="s">
        <v>3</v>
      </c>
      <c r="G1" s="1" t="s">
        <v>12</v>
      </c>
      <c r="H1" s="1" t="s">
        <v>13</v>
      </c>
      <c r="I1" s="1" t="s">
        <v>9</v>
      </c>
      <c r="J1" s="1" t="s">
        <v>5</v>
      </c>
      <c r="K1" s="1" t="s">
        <v>6</v>
      </c>
      <c r="L1" s="1" t="s">
        <v>7</v>
      </c>
      <c r="M1" s="1" t="s">
        <v>8</v>
      </c>
      <c r="N1" s="1" t="s">
        <v>14</v>
      </c>
      <c r="O1" s="1" t="s">
        <v>11</v>
      </c>
      <c r="P1" s="1" t="s">
        <v>10</v>
      </c>
      <c r="Q1" s="1" t="s">
        <v>1310</v>
      </c>
      <c r="R1" s="1" t="s">
        <v>57</v>
      </c>
      <c r="S1" s="2" t="s">
        <v>55</v>
      </c>
      <c r="T1" s="2"/>
    </row>
    <row r="2" spans="1:20" x14ac:dyDescent="0.35">
      <c r="A2" t="s">
        <v>1311</v>
      </c>
      <c r="B2" t="s">
        <v>1312</v>
      </c>
      <c r="C2" t="s">
        <v>1313</v>
      </c>
      <c r="D2" t="s">
        <v>26</v>
      </c>
      <c r="F2" t="s">
        <v>1314</v>
      </c>
      <c r="I2" t="s">
        <v>1315</v>
      </c>
      <c r="K2" t="s">
        <v>1316</v>
      </c>
      <c r="M2" t="s">
        <v>1317</v>
      </c>
      <c r="N2" t="s">
        <v>1318</v>
      </c>
      <c r="O2" t="s">
        <v>101</v>
      </c>
      <c r="R2" t="s">
        <v>147</v>
      </c>
      <c r="S2" t="e">
        <f t="array" ref="S2:S127">VLOOKUP(B2:B127,IEEE_intervention!N2:N165,1,FALSE)</f>
        <v>#N/A</v>
      </c>
    </row>
    <row r="3" spans="1:20" x14ac:dyDescent="0.35">
      <c r="A3" t="s">
        <v>1319</v>
      </c>
      <c r="B3" t="s">
        <v>1320</v>
      </c>
      <c r="C3" t="s">
        <v>1321</v>
      </c>
      <c r="D3" t="s">
        <v>26</v>
      </c>
      <c r="F3" t="s">
        <v>1322</v>
      </c>
      <c r="I3" t="s">
        <v>173</v>
      </c>
      <c r="K3" t="s">
        <v>1323</v>
      </c>
      <c r="M3" t="s">
        <v>1324</v>
      </c>
      <c r="N3" t="s">
        <v>1325</v>
      </c>
      <c r="O3" t="s">
        <v>353</v>
      </c>
      <c r="R3" t="s">
        <v>113</v>
      </c>
      <c r="S3" t="e">
        <v>#N/A</v>
      </c>
    </row>
    <row r="4" spans="1:20" x14ac:dyDescent="0.35">
      <c r="A4" t="s">
        <v>1326</v>
      </c>
      <c r="B4" t="s">
        <v>1327</v>
      </c>
      <c r="C4" t="s">
        <v>1328</v>
      </c>
      <c r="D4" t="s">
        <v>47</v>
      </c>
      <c r="F4" t="s">
        <v>119</v>
      </c>
      <c r="I4" t="s">
        <v>123</v>
      </c>
      <c r="K4" t="s">
        <v>1329</v>
      </c>
      <c r="M4" t="s">
        <v>1330</v>
      </c>
      <c r="N4" t="s">
        <v>1331</v>
      </c>
      <c r="R4" t="s">
        <v>113</v>
      </c>
      <c r="S4" t="e">
        <v>#N/A</v>
      </c>
    </row>
    <row r="5" spans="1:20" x14ac:dyDescent="0.35">
      <c r="A5" t="s">
        <v>1332</v>
      </c>
      <c r="B5" t="s">
        <v>1333</v>
      </c>
      <c r="C5" t="s">
        <v>1334</v>
      </c>
      <c r="D5" t="s">
        <v>47</v>
      </c>
      <c r="F5" t="s">
        <v>1335</v>
      </c>
      <c r="I5" t="s">
        <v>1336</v>
      </c>
      <c r="K5" t="s">
        <v>1337</v>
      </c>
      <c r="M5" t="s">
        <v>1338</v>
      </c>
      <c r="N5" t="s">
        <v>1339</v>
      </c>
      <c r="R5" t="s">
        <v>113</v>
      </c>
      <c r="S5" t="e">
        <v>#N/A</v>
      </c>
    </row>
    <row r="6" spans="1:20" x14ac:dyDescent="0.35">
      <c r="A6" t="s">
        <v>1340</v>
      </c>
      <c r="B6" t="s">
        <v>1341</v>
      </c>
      <c r="C6" t="s">
        <v>1342</v>
      </c>
      <c r="D6" t="s">
        <v>35</v>
      </c>
      <c r="F6" t="s">
        <v>1343</v>
      </c>
      <c r="I6" t="s">
        <v>447</v>
      </c>
      <c r="K6" t="s">
        <v>1344</v>
      </c>
      <c r="M6" t="s">
        <v>1345</v>
      </c>
      <c r="N6" t="s">
        <v>1346</v>
      </c>
      <c r="R6" t="s">
        <v>113</v>
      </c>
      <c r="S6" t="e">
        <v>#N/A</v>
      </c>
    </row>
    <row r="7" spans="1:20" x14ac:dyDescent="0.35">
      <c r="A7" t="s">
        <v>1347</v>
      </c>
      <c r="B7" t="s">
        <v>1348</v>
      </c>
      <c r="C7" t="s">
        <v>1349</v>
      </c>
      <c r="D7" t="s">
        <v>41</v>
      </c>
      <c r="E7" t="s">
        <v>1350</v>
      </c>
      <c r="G7" t="s">
        <v>50</v>
      </c>
      <c r="H7" t="s">
        <v>39</v>
      </c>
      <c r="I7" t="s">
        <v>1351</v>
      </c>
      <c r="K7" t="s">
        <v>1352</v>
      </c>
      <c r="M7" t="s">
        <v>1353</v>
      </c>
      <c r="N7" t="s">
        <v>1354</v>
      </c>
      <c r="O7" t="s">
        <v>1355</v>
      </c>
      <c r="R7" t="s">
        <v>103</v>
      </c>
      <c r="S7" t="e">
        <v>#N/A</v>
      </c>
    </row>
    <row r="8" spans="1:20" x14ac:dyDescent="0.35">
      <c r="A8" t="s">
        <v>1356</v>
      </c>
      <c r="B8" t="s">
        <v>1357</v>
      </c>
      <c r="C8" t="s">
        <v>1358</v>
      </c>
      <c r="D8" t="s">
        <v>41</v>
      </c>
      <c r="F8" t="s">
        <v>205</v>
      </c>
      <c r="I8" t="s">
        <v>1359</v>
      </c>
      <c r="K8" t="s">
        <v>1360</v>
      </c>
      <c r="M8" t="s">
        <v>1361</v>
      </c>
      <c r="N8" t="s">
        <v>1362</v>
      </c>
      <c r="R8" t="s">
        <v>113</v>
      </c>
      <c r="S8" t="e">
        <v>#N/A</v>
      </c>
    </row>
    <row r="9" spans="1:20" x14ac:dyDescent="0.35">
      <c r="A9" t="s">
        <v>1363</v>
      </c>
      <c r="B9" t="s">
        <v>1364</v>
      </c>
      <c r="C9" t="s">
        <v>1365</v>
      </c>
      <c r="D9" t="s">
        <v>41</v>
      </c>
      <c r="F9" t="s">
        <v>213</v>
      </c>
      <c r="I9" t="s">
        <v>123</v>
      </c>
      <c r="K9" t="s">
        <v>1366</v>
      </c>
      <c r="M9" t="s">
        <v>1367</v>
      </c>
      <c r="N9" t="s">
        <v>1368</v>
      </c>
      <c r="R9" t="s">
        <v>113</v>
      </c>
      <c r="S9" t="e">
        <v>#N/A</v>
      </c>
    </row>
    <row r="10" spans="1:20" x14ac:dyDescent="0.35">
      <c r="A10" t="s">
        <v>1369</v>
      </c>
      <c r="B10" t="s">
        <v>1370</v>
      </c>
      <c r="C10" t="s">
        <v>1371</v>
      </c>
      <c r="D10" t="s">
        <v>41</v>
      </c>
      <c r="F10" t="s">
        <v>213</v>
      </c>
      <c r="I10" t="s">
        <v>447</v>
      </c>
      <c r="K10" t="s">
        <v>1372</v>
      </c>
      <c r="M10" t="s">
        <v>1373</v>
      </c>
      <c r="N10" t="s">
        <v>1374</v>
      </c>
      <c r="R10" t="s">
        <v>113</v>
      </c>
      <c r="S10" t="e">
        <v>#N/A</v>
      </c>
    </row>
    <row r="11" spans="1:20" x14ac:dyDescent="0.35">
      <c r="A11" t="s">
        <v>222</v>
      </c>
      <c r="B11" t="s">
        <v>227</v>
      </c>
      <c r="C11" t="s">
        <v>219</v>
      </c>
      <c r="D11" t="s">
        <v>41</v>
      </c>
      <c r="F11" t="s">
        <v>220</v>
      </c>
      <c r="I11" t="s">
        <v>226</v>
      </c>
      <c r="K11" t="s">
        <v>221</v>
      </c>
      <c r="M11" t="s">
        <v>218</v>
      </c>
      <c r="N11" t="s">
        <v>224</v>
      </c>
      <c r="O11" t="s">
        <v>223</v>
      </c>
      <c r="R11" t="s">
        <v>225</v>
      </c>
      <c r="S11" t="str">
        <v>Integrating computational thinking into english dialogue learning through graphical programming tool</v>
      </c>
    </row>
    <row r="12" spans="1:20" x14ac:dyDescent="0.35">
      <c r="A12" t="s">
        <v>1375</v>
      </c>
      <c r="B12" t="s">
        <v>1376</v>
      </c>
      <c r="C12" t="s">
        <v>1377</v>
      </c>
      <c r="D12" t="s">
        <v>41</v>
      </c>
      <c r="F12" t="s">
        <v>1378</v>
      </c>
      <c r="I12" t="s">
        <v>181</v>
      </c>
      <c r="K12" t="s">
        <v>1379</v>
      </c>
      <c r="M12" t="s">
        <v>1380</v>
      </c>
      <c r="N12" t="s">
        <v>1381</v>
      </c>
      <c r="R12" t="s">
        <v>113</v>
      </c>
      <c r="S12" t="e">
        <v>#N/A</v>
      </c>
    </row>
    <row r="13" spans="1:20" x14ac:dyDescent="0.35">
      <c r="A13" t="s">
        <v>1382</v>
      </c>
      <c r="B13" t="s">
        <v>1383</v>
      </c>
      <c r="C13" t="s">
        <v>1384</v>
      </c>
      <c r="D13" t="s">
        <v>41</v>
      </c>
      <c r="F13" t="s">
        <v>1385</v>
      </c>
      <c r="I13" t="s">
        <v>1386</v>
      </c>
      <c r="K13" t="s">
        <v>1387</v>
      </c>
      <c r="M13" t="s">
        <v>1388</v>
      </c>
      <c r="N13" t="s">
        <v>1389</v>
      </c>
      <c r="R13" t="s">
        <v>93</v>
      </c>
      <c r="S13" t="e">
        <v>#N/A</v>
      </c>
    </row>
    <row r="14" spans="1:20" x14ac:dyDescent="0.35">
      <c r="A14" t="s">
        <v>1390</v>
      </c>
      <c r="B14" t="s">
        <v>1391</v>
      </c>
      <c r="C14" t="s">
        <v>1392</v>
      </c>
      <c r="D14" t="s">
        <v>33</v>
      </c>
      <c r="E14" t="s">
        <v>821</v>
      </c>
      <c r="G14" t="s">
        <v>30</v>
      </c>
      <c r="H14" t="s">
        <v>17</v>
      </c>
      <c r="I14" t="s">
        <v>1393</v>
      </c>
      <c r="K14" t="s">
        <v>1394</v>
      </c>
      <c r="M14" t="s">
        <v>1395</v>
      </c>
      <c r="N14" t="s">
        <v>1396</v>
      </c>
      <c r="O14" t="s">
        <v>820</v>
      </c>
      <c r="R14" t="s">
        <v>172</v>
      </c>
      <c r="S14" t="e">
        <v>#N/A</v>
      </c>
    </row>
    <row r="15" spans="1:20" x14ac:dyDescent="0.35">
      <c r="A15" t="s">
        <v>1397</v>
      </c>
      <c r="B15" t="s">
        <v>1398</v>
      </c>
      <c r="C15" t="s">
        <v>1399</v>
      </c>
      <c r="D15" t="s">
        <v>33</v>
      </c>
      <c r="F15" t="s">
        <v>1400</v>
      </c>
      <c r="I15" t="s">
        <v>181</v>
      </c>
      <c r="K15" t="s">
        <v>1401</v>
      </c>
      <c r="M15" t="s">
        <v>1402</v>
      </c>
      <c r="N15" t="s">
        <v>1403</v>
      </c>
      <c r="O15" t="s">
        <v>1269</v>
      </c>
      <c r="R15" t="s">
        <v>546</v>
      </c>
      <c r="S15" t="e">
        <v>#N/A</v>
      </c>
    </row>
    <row r="16" spans="1:20" x14ac:dyDescent="0.35">
      <c r="A16" t="s">
        <v>1404</v>
      </c>
      <c r="B16" t="s">
        <v>1405</v>
      </c>
      <c r="C16" t="s">
        <v>1406</v>
      </c>
      <c r="D16" t="s">
        <v>33</v>
      </c>
      <c r="F16" t="s">
        <v>1407</v>
      </c>
      <c r="I16" t="s">
        <v>94</v>
      </c>
      <c r="K16" t="s">
        <v>1408</v>
      </c>
      <c r="M16" t="s">
        <v>1409</v>
      </c>
      <c r="N16" t="s">
        <v>1410</v>
      </c>
      <c r="R16" t="s">
        <v>200</v>
      </c>
      <c r="S16" t="e">
        <v>#N/A</v>
      </c>
    </row>
    <row r="17" spans="1:19" x14ac:dyDescent="0.35">
      <c r="A17" t="s">
        <v>1411</v>
      </c>
      <c r="B17" t="s">
        <v>1412</v>
      </c>
      <c r="C17" t="s">
        <v>1406</v>
      </c>
      <c r="D17" t="s">
        <v>33</v>
      </c>
      <c r="F17" t="s">
        <v>1407</v>
      </c>
      <c r="I17" t="s">
        <v>94</v>
      </c>
      <c r="K17" t="s">
        <v>1413</v>
      </c>
      <c r="M17" t="s">
        <v>1414</v>
      </c>
      <c r="N17" t="s">
        <v>1415</v>
      </c>
      <c r="R17" t="s">
        <v>200</v>
      </c>
      <c r="S17" t="e">
        <v>#N/A</v>
      </c>
    </row>
    <row r="18" spans="1:19" x14ac:dyDescent="0.35">
      <c r="A18" t="s">
        <v>271</v>
      </c>
      <c r="B18" t="s">
        <v>274</v>
      </c>
      <c r="C18" t="s">
        <v>268</v>
      </c>
      <c r="D18" t="s">
        <v>33</v>
      </c>
      <c r="F18" t="s">
        <v>269</v>
      </c>
      <c r="I18" t="s">
        <v>273</v>
      </c>
      <c r="K18" t="s">
        <v>270</v>
      </c>
      <c r="M18" t="s">
        <v>267</v>
      </c>
      <c r="N18" t="s">
        <v>272</v>
      </c>
      <c r="O18" t="s">
        <v>223</v>
      </c>
      <c r="R18" t="s">
        <v>225</v>
      </c>
      <c r="S18" t="str">
        <v>Computational Thinking Education for Children: Algorithmic Thinking and Debugging</v>
      </c>
    </row>
    <row r="19" spans="1:19" x14ac:dyDescent="0.35">
      <c r="A19" t="s">
        <v>1416</v>
      </c>
      <c r="B19" t="s">
        <v>1417</v>
      </c>
      <c r="C19" t="s">
        <v>1418</v>
      </c>
      <c r="D19" t="s">
        <v>33</v>
      </c>
      <c r="F19" t="s">
        <v>1419</v>
      </c>
      <c r="I19" t="s">
        <v>181</v>
      </c>
      <c r="K19" t="s">
        <v>1420</v>
      </c>
      <c r="M19" t="s">
        <v>1421</v>
      </c>
      <c r="N19" t="s">
        <v>1422</v>
      </c>
      <c r="O19" t="s">
        <v>353</v>
      </c>
      <c r="R19" t="s">
        <v>113</v>
      </c>
      <c r="S19" t="e">
        <v>#N/A</v>
      </c>
    </row>
    <row r="20" spans="1:19" x14ac:dyDescent="0.35">
      <c r="A20" t="s">
        <v>1423</v>
      </c>
      <c r="B20" t="s">
        <v>1424</v>
      </c>
      <c r="C20" t="s">
        <v>1425</v>
      </c>
      <c r="D20" t="s">
        <v>33</v>
      </c>
      <c r="F20" t="s">
        <v>1426</v>
      </c>
      <c r="I20" t="s">
        <v>1427</v>
      </c>
      <c r="K20" t="s">
        <v>1428</v>
      </c>
      <c r="M20" t="s">
        <v>1429</v>
      </c>
      <c r="N20" t="s">
        <v>1430</v>
      </c>
      <c r="R20" t="s">
        <v>200</v>
      </c>
      <c r="S20" t="e">
        <v>#N/A</v>
      </c>
    </row>
    <row r="21" spans="1:19" x14ac:dyDescent="0.35">
      <c r="A21" t="s">
        <v>1431</v>
      </c>
      <c r="B21" t="s">
        <v>1432</v>
      </c>
      <c r="C21" t="s">
        <v>1433</v>
      </c>
      <c r="D21" t="s">
        <v>18</v>
      </c>
      <c r="F21" t="s">
        <v>1434</v>
      </c>
      <c r="I21" t="s">
        <v>355</v>
      </c>
      <c r="K21" t="s">
        <v>1435</v>
      </c>
      <c r="M21" t="s">
        <v>1436</v>
      </c>
      <c r="N21" t="s">
        <v>1437</v>
      </c>
      <c r="R21" t="s">
        <v>84</v>
      </c>
      <c r="S21" t="e">
        <v>#N/A</v>
      </c>
    </row>
    <row r="22" spans="1:19" x14ac:dyDescent="0.35">
      <c r="A22" t="s">
        <v>1438</v>
      </c>
      <c r="B22" t="s">
        <v>1439</v>
      </c>
      <c r="C22" t="s">
        <v>1440</v>
      </c>
      <c r="D22" t="s">
        <v>18</v>
      </c>
      <c r="F22" t="s">
        <v>1441</v>
      </c>
      <c r="I22" t="s">
        <v>123</v>
      </c>
      <c r="K22" t="s">
        <v>1442</v>
      </c>
      <c r="M22" t="s">
        <v>1443</v>
      </c>
      <c r="N22" t="s">
        <v>1444</v>
      </c>
      <c r="O22" t="s">
        <v>1445</v>
      </c>
      <c r="R22" t="s">
        <v>64</v>
      </c>
      <c r="S22" t="e">
        <v>#N/A</v>
      </c>
    </row>
    <row r="23" spans="1:19" x14ac:dyDescent="0.35">
      <c r="A23" t="s">
        <v>1446</v>
      </c>
      <c r="B23" t="s">
        <v>1447</v>
      </c>
      <c r="C23" t="s">
        <v>1448</v>
      </c>
      <c r="D23" t="s">
        <v>18</v>
      </c>
      <c r="F23" t="s">
        <v>1449</v>
      </c>
      <c r="I23" t="s">
        <v>94</v>
      </c>
      <c r="K23" t="s">
        <v>1450</v>
      </c>
      <c r="M23" t="s">
        <v>1451</v>
      </c>
      <c r="N23" t="s">
        <v>1452</v>
      </c>
      <c r="R23" t="s">
        <v>93</v>
      </c>
      <c r="S23" t="e">
        <v>#N/A</v>
      </c>
    </row>
    <row r="24" spans="1:19" x14ac:dyDescent="0.35">
      <c r="A24" t="s">
        <v>1453</v>
      </c>
      <c r="B24" t="s">
        <v>1454</v>
      </c>
      <c r="C24" t="s">
        <v>1455</v>
      </c>
      <c r="D24" t="s">
        <v>18</v>
      </c>
      <c r="F24" t="s">
        <v>1456</v>
      </c>
      <c r="I24" t="s">
        <v>1457</v>
      </c>
      <c r="K24" t="s">
        <v>1458</v>
      </c>
      <c r="M24" t="s">
        <v>1459</v>
      </c>
      <c r="N24" t="s">
        <v>1460</v>
      </c>
      <c r="R24" t="s">
        <v>200</v>
      </c>
      <c r="S24" t="e">
        <v>#N/A</v>
      </c>
    </row>
    <row r="25" spans="1:19" x14ac:dyDescent="0.35">
      <c r="A25" t="s">
        <v>1461</v>
      </c>
      <c r="B25" t="s">
        <v>1462</v>
      </c>
      <c r="C25" t="s">
        <v>1463</v>
      </c>
      <c r="D25" t="s">
        <v>18</v>
      </c>
      <c r="F25" t="s">
        <v>1464</v>
      </c>
      <c r="I25" t="s">
        <v>1465</v>
      </c>
      <c r="K25" t="s">
        <v>1466</v>
      </c>
      <c r="M25" t="s">
        <v>1467</v>
      </c>
      <c r="N25" t="s">
        <v>1468</v>
      </c>
      <c r="R25" t="s">
        <v>225</v>
      </c>
      <c r="S25" t="e">
        <v>#N/A</v>
      </c>
    </row>
    <row r="26" spans="1:19" x14ac:dyDescent="0.35">
      <c r="A26" t="s">
        <v>1469</v>
      </c>
      <c r="B26" t="s">
        <v>1470</v>
      </c>
      <c r="C26" t="s">
        <v>1471</v>
      </c>
      <c r="D26" t="s">
        <v>18</v>
      </c>
      <c r="F26" t="s">
        <v>1472</v>
      </c>
      <c r="I26" t="s">
        <v>1473</v>
      </c>
      <c r="K26" t="s">
        <v>1474</v>
      </c>
      <c r="M26" t="s">
        <v>1475</v>
      </c>
      <c r="N26" t="s">
        <v>1476</v>
      </c>
      <c r="R26" t="s">
        <v>93</v>
      </c>
      <c r="S26" t="e">
        <v>#N/A</v>
      </c>
    </row>
    <row r="27" spans="1:19" x14ac:dyDescent="0.35">
      <c r="A27" t="s">
        <v>1477</v>
      </c>
      <c r="B27" t="s">
        <v>1478</v>
      </c>
      <c r="C27" t="s">
        <v>1479</v>
      </c>
      <c r="D27" t="s">
        <v>18</v>
      </c>
      <c r="F27" t="s">
        <v>1480</v>
      </c>
      <c r="I27" t="s">
        <v>1481</v>
      </c>
      <c r="K27" t="s">
        <v>1482</v>
      </c>
      <c r="M27" t="s">
        <v>1483</v>
      </c>
      <c r="N27" t="s">
        <v>1484</v>
      </c>
      <c r="O27" t="s">
        <v>1485</v>
      </c>
      <c r="R27" t="s">
        <v>200</v>
      </c>
      <c r="S27" t="e">
        <v>#N/A</v>
      </c>
    </row>
    <row r="28" spans="1:19" x14ac:dyDescent="0.35">
      <c r="A28" t="s">
        <v>1486</v>
      </c>
      <c r="B28" t="s">
        <v>1487</v>
      </c>
      <c r="C28" t="s">
        <v>1488</v>
      </c>
      <c r="D28" t="s">
        <v>18</v>
      </c>
      <c r="F28" t="s">
        <v>1489</v>
      </c>
      <c r="I28" t="s">
        <v>94</v>
      </c>
      <c r="K28" t="s">
        <v>1490</v>
      </c>
      <c r="M28" t="s">
        <v>1491</v>
      </c>
      <c r="N28" t="s">
        <v>1492</v>
      </c>
      <c r="O28" t="s">
        <v>1493</v>
      </c>
      <c r="R28" t="s">
        <v>225</v>
      </c>
      <c r="S28" t="e">
        <v>#N/A</v>
      </c>
    </row>
    <row r="29" spans="1:19" x14ac:dyDescent="0.35">
      <c r="A29" t="s">
        <v>370</v>
      </c>
      <c r="B29" t="s">
        <v>374</v>
      </c>
      <c r="C29" t="s">
        <v>367</v>
      </c>
      <c r="D29" t="s">
        <v>18</v>
      </c>
      <c r="F29" t="s">
        <v>368</v>
      </c>
      <c r="I29" t="s">
        <v>373</v>
      </c>
      <c r="K29" t="s">
        <v>369</v>
      </c>
      <c r="M29" t="s">
        <v>366</v>
      </c>
      <c r="N29" t="s">
        <v>372</v>
      </c>
      <c r="O29" t="s">
        <v>371</v>
      </c>
      <c r="R29" t="s">
        <v>93</v>
      </c>
      <c r="S29" t="str">
        <v>A Formative Assessment Tool to Support Computational Thinking in the Classroom</v>
      </c>
    </row>
    <row r="30" spans="1:19" x14ac:dyDescent="0.35">
      <c r="A30" t="s">
        <v>1494</v>
      </c>
      <c r="B30" t="s">
        <v>1495</v>
      </c>
      <c r="C30" t="s">
        <v>1496</v>
      </c>
      <c r="D30" t="s">
        <v>31</v>
      </c>
      <c r="E30" t="s">
        <v>454</v>
      </c>
      <c r="G30" t="s">
        <v>1497</v>
      </c>
      <c r="H30" t="s">
        <v>39</v>
      </c>
      <c r="I30" t="s">
        <v>1498</v>
      </c>
      <c r="K30" t="s">
        <v>1499</v>
      </c>
      <c r="M30" t="s">
        <v>1500</v>
      </c>
      <c r="N30" t="s">
        <v>1501</v>
      </c>
      <c r="O30" t="s">
        <v>453</v>
      </c>
      <c r="R30" t="s">
        <v>84</v>
      </c>
      <c r="S30" t="e">
        <v>#N/A</v>
      </c>
    </row>
    <row r="31" spans="1:19" x14ac:dyDescent="0.35">
      <c r="A31" t="s">
        <v>1502</v>
      </c>
      <c r="B31" t="s">
        <v>1503</v>
      </c>
      <c r="C31" t="s">
        <v>1504</v>
      </c>
      <c r="D31" t="s">
        <v>31</v>
      </c>
      <c r="F31" t="s">
        <v>386</v>
      </c>
      <c r="I31" t="s">
        <v>1505</v>
      </c>
      <c r="K31" t="s">
        <v>1506</v>
      </c>
      <c r="M31" t="s">
        <v>1507</v>
      </c>
      <c r="N31" t="s">
        <v>1508</v>
      </c>
      <c r="O31" t="s">
        <v>101</v>
      </c>
      <c r="R31" t="s">
        <v>147</v>
      </c>
      <c r="S31" t="e">
        <v>#N/A</v>
      </c>
    </row>
    <row r="32" spans="1:19" x14ac:dyDescent="0.35">
      <c r="A32" t="s">
        <v>1509</v>
      </c>
      <c r="B32" t="s">
        <v>1510</v>
      </c>
      <c r="C32" t="s">
        <v>1511</v>
      </c>
      <c r="D32" t="s">
        <v>31</v>
      </c>
      <c r="F32" t="s">
        <v>386</v>
      </c>
      <c r="I32" t="s">
        <v>1512</v>
      </c>
      <c r="K32" t="s">
        <v>1513</v>
      </c>
      <c r="M32" t="s">
        <v>1514</v>
      </c>
      <c r="N32" t="s">
        <v>1515</v>
      </c>
      <c r="O32" t="s">
        <v>101</v>
      </c>
      <c r="R32" t="s">
        <v>147</v>
      </c>
      <c r="S32" t="e">
        <v>#N/A</v>
      </c>
    </row>
    <row r="33" spans="1:19" x14ac:dyDescent="0.35">
      <c r="A33" t="s">
        <v>1516</v>
      </c>
      <c r="B33" t="s">
        <v>1517</v>
      </c>
      <c r="C33" t="s">
        <v>1518</v>
      </c>
      <c r="D33" t="s">
        <v>31</v>
      </c>
      <c r="F33" t="s">
        <v>1519</v>
      </c>
      <c r="I33" t="s">
        <v>1520</v>
      </c>
      <c r="K33" t="s">
        <v>1521</v>
      </c>
      <c r="M33" t="s">
        <v>1522</v>
      </c>
      <c r="N33" t="s">
        <v>1523</v>
      </c>
      <c r="O33" t="s">
        <v>1524</v>
      </c>
      <c r="R33" t="s">
        <v>791</v>
      </c>
      <c r="S33" t="e">
        <v>#N/A</v>
      </c>
    </row>
    <row r="34" spans="1:19" x14ac:dyDescent="0.35">
      <c r="A34" t="s">
        <v>1525</v>
      </c>
      <c r="B34" t="s">
        <v>1526</v>
      </c>
      <c r="C34" t="s">
        <v>53</v>
      </c>
      <c r="D34" t="s">
        <v>31</v>
      </c>
      <c r="F34" t="s">
        <v>1527</v>
      </c>
      <c r="I34" t="s">
        <v>1528</v>
      </c>
      <c r="K34" t="s">
        <v>1529</v>
      </c>
      <c r="M34" t="s">
        <v>1530</v>
      </c>
      <c r="N34" t="s">
        <v>1531</v>
      </c>
      <c r="R34" t="s">
        <v>791</v>
      </c>
      <c r="S34" t="e">
        <v>#N/A</v>
      </c>
    </row>
    <row r="35" spans="1:19" x14ac:dyDescent="0.35">
      <c r="A35" t="s">
        <v>403</v>
      </c>
      <c r="B35" t="s">
        <v>405</v>
      </c>
      <c r="C35" t="s">
        <v>400</v>
      </c>
      <c r="D35" t="s">
        <v>31</v>
      </c>
      <c r="F35" t="s">
        <v>401</v>
      </c>
      <c r="I35" t="s">
        <v>355</v>
      </c>
      <c r="K35" t="s">
        <v>402</v>
      </c>
      <c r="M35" t="s">
        <v>399</v>
      </c>
      <c r="N35" t="s">
        <v>404</v>
      </c>
      <c r="R35" t="s">
        <v>64</v>
      </c>
      <c r="S35" t="str">
        <v>Computational thinking in school education in South America: Systematic review of the literature</v>
      </c>
    </row>
    <row r="36" spans="1:19" x14ac:dyDescent="0.35">
      <c r="A36" t="s">
        <v>1532</v>
      </c>
      <c r="B36" t="s">
        <v>1533</v>
      </c>
      <c r="C36" t="s">
        <v>1534</v>
      </c>
      <c r="D36" t="s">
        <v>31</v>
      </c>
      <c r="E36" t="s">
        <v>511</v>
      </c>
      <c r="G36" t="s">
        <v>30</v>
      </c>
      <c r="H36" t="s">
        <v>43</v>
      </c>
      <c r="I36" t="s">
        <v>1535</v>
      </c>
      <c r="K36" t="s">
        <v>1536</v>
      </c>
      <c r="M36" t="s">
        <v>1537</v>
      </c>
      <c r="N36" t="s">
        <v>1538</v>
      </c>
      <c r="O36" t="s">
        <v>510</v>
      </c>
      <c r="R36" t="s">
        <v>113</v>
      </c>
      <c r="S36" t="e">
        <v>#N/A</v>
      </c>
    </row>
    <row r="37" spans="1:19" x14ac:dyDescent="0.35">
      <c r="A37" t="s">
        <v>1539</v>
      </c>
      <c r="B37" t="s">
        <v>1540</v>
      </c>
      <c r="C37" t="s">
        <v>1541</v>
      </c>
      <c r="D37" t="s">
        <v>31</v>
      </c>
      <c r="F37" t="s">
        <v>408</v>
      </c>
      <c r="I37" t="s">
        <v>173</v>
      </c>
      <c r="K37" t="s">
        <v>1542</v>
      </c>
      <c r="M37" t="s">
        <v>1543</v>
      </c>
      <c r="N37" t="s">
        <v>1544</v>
      </c>
      <c r="O37" t="s">
        <v>353</v>
      </c>
      <c r="R37" t="s">
        <v>113</v>
      </c>
      <c r="S37" t="e">
        <v>#N/A</v>
      </c>
    </row>
    <row r="38" spans="1:19" x14ac:dyDescent="0.35">
      <c r="A38" t="s">
        <v>416</v>
      </c>
      <c r="B38" t="s">
        <v>418</v>
      </c>
      <c r="C38" t="s">
        <v>414</v>
      </c>
      <c r="D38" t="s">
        <v>31</v>
      </c>
      <c r="F38" t="s">
        <v>408</v>
      </c>
      <c r="I38" t="s">
        <v>173</v>
      </c>
      <c r="K38" t="s">
        <v>415</v>
      </c>
      <c r="M38" t="s">
        <v>413</v>
      </c>
      <c r="N38" t="s">
        <v>417</v>
      </c>
      <c r="O38" t="s">
        <v>353</v>
      </c>
      <c r="R38" t="s">
        <v>113</v>
      </c>
      <c r="S38" t="str">
        <v>Computational Thinking Growth During a First-Year Engineering Course</v>
      </c>
    </row>
    <row r="39" spans="1:19" x14ac:dyDescent="0.35">
      <c r="A39" t="s">
        <v>1545</v>
      </c>
      <c r="B39" t="s">
        <v>1546</v>
      </c>
      <c r="C39" t="s">
        <v>1547</v>
      </c>
      <c r="D39" t="s">
        <v>31</v>
      </c>
      <c r="F39" t="s">
        <v>434</v>
      </c>
      <c r="I39" t="s">
        <v>1548</v>
      </c>
      <c r="K39" t="s">
        <v>1549</v>
      </c>
      <c r="M39" t="s">
        <v>1550</v>
      </c>
      <c r="N39" t="s">
        <v>1551</v>
      </c>
      <c r="O39" t="s">
        <v>437</v>
      </c>
      <c r="R39" t="s">
        <v>225</v>
      </c>
      <c r="S39" t="e">
        <v>#N/A</v>
      </c>
    </row>
    <row r="40" spans="1:19" x14ac:dyDescent="0.35">
      <c r="A40" t="s">
        <v>436</v>
      </c>
      <c r="B40" t="s">
        <v>440</v>
      </c>
      <c r="C40" t="s">
        <v>433</v>
      </c>
      <c r="D40" t="s">
        <v>31</v>
      </c>
      <c r="F40" t="s">
        <v>434</v>
      </c>
      <c r="I40" t="s">
        <v>439</v>
      </c>
      <c r="K40" t="s">
        <v>435</v>
      </c>
      <c r="M40" t="s">
        <v>432</v>
      </c>
      <c r="N40" t="s">
        <v>438</v>
      </c>
      <c r="O40" t="s">
        <v>437</v>
      </c>
      <c r="R40" t="s">
        <v>225</v>
      </c>
      <c r="S40" t="str">
        <v>Promoting Teaching Self-efficacy in Computational Thinking of School Teachers</v>
      </c>
    </row>
    <row r="41" spans="1:19" x14ac:dyDescent="0.35">
      <c r="A41" t="s">
        <v>1552</v>
      </c>
      <c r="B41" t="s">
        <v>1553</v>
      </c>
      <c r="C41" t="s">
        <v>1554</v>
      </c>
      <c r="D41" t="s">
        <v>31</v>
      </c>
      <c r="F41" t="s">
        <v>1555</v>
      </c>
      <c r="I41" t="s">
        <v>1556</v>
      </c>
      <c r="K41" t="s">
        <v>1557</v>
      </c>
      <c r="M41" t="s">
        <v>1558</v>
      </c>
      <c r="N41" t="s">
        <v>1559</v>
      </c>
      <c r="R41" t="s">
        <v>93</v>
      </c>
      <c r="S41" t="e">
        <v>#N/A</v>
      </c>
    </row>
    <row r="42" spans="1:19" x14ac:dyDescent="0.35">
      <c r="A42" t="s">
        <v>1560</v>
      </c>
      <c r="B42" t="s">
        <v>1561</v>
      </c>
      <c r="C42" t="s">
        <v>1562</v>
      </c>
      <c r="D42" t="s">
        <v>29</v>
      </c>
      <c r="F42" t="s">
        <v>1563</v>
      </c>
      <c r="I42" t="s">
        <v>1564</v>
      </c>
      <c r="K42" t="s">
        <v>1565</v>
      </c>
      <c r="M42" t="s">
        <v>1566</v>
      </c>
      <c r="N42" t="s">
        <v>1567</v>
      </c>
      <c r="O42" t="s">
        <v>101</v>
      </c>
      <c r="R42" t="s">
        <v>147</v>
      </c>
      <c r="S42" t="e">
        <v>#N/A</v>
      </c>
    </row>
    <row r="43" spans="1:19" x14ac:dyDescent="0.35">
      <c r="A43" t="s">
        <v>1568</v>
      </c>
      <c r="B43" t="s">
        <v>1569</v>
      </c>
      <c r="C43" t="s">
        <v>1570</v>
      </c>
      <c r="D43" t="s">
        <v>29</v>
      </c>
      <c r="F43" t="s">
        <v>1563</v>
      </c>
      <c r="I43" t="s">
        <v>1571</v>
      </c>
      <c r="K43" t="s">
        <v>1572</v>
      </c>
      <c r="M43" t="s">
        <v>1573</v>
      </c>
      <c r="N43" t="s">
        <v>1574</v>
      </c>
      <c r="O43" t="s">
        <v>101</v>
      </c>
      <c r="R43" t="s">
        <v>147</v>
      </c>
      <c r="S43" t="e">
        <v>#N/A</v>
      </c>
    </row>
    <row r="44" spans="1:19" x14ac:dyDescent="0.35">
      <c r="A44" t="s">
        <v>1575</v>
      </c>
      <c r="B44" t="s">
        <v>1576</v>
      </c>
      <c r="C44" t="s">
        <v>1577</v>
      </c>
      <c r="D44" t="s">
        <v>29</v>
      </c>
      <c r="F44" t="s">
        <v>1563</v>
      </c>
      <c r="I44" t="s">
        <v>1578</v>
      </c>
      <c r="K44" t="s">
        <v>1579</v>
      </c>
      <c r="M44" t="s">
        <v>1580</v>
      </c>
      <c r="N44" t="s">
        <v>1581</v>
      </c>
      <c r="O44" t="s">
        <v>101</v>
      </c>
      <c r="R44" t="s">
        <v>147</v>
      </c>
      <c r="S44" t="e">
        <v>#N/A</v>
      </c>
    </row>
    <row r="45" spans="1:19" x14ac:dyDescent="0.35">
      <c r="A45" t="s">
        <v>1582</v>
      </c>
      <c r="B45" t="s">
        <v>1583</v>
      </c>
      <c r="C45" t="s">
        <v>1584</v>
      </c>
      <c r="D45" t="s">
        <v>29</v>
      </c>
      <c r="F45" t="s">
        <v>1585</v>
      </c>
      <c r="I45" t="s">
        <v>1586</v>
      </c>
      <c r="K45" t="s">
        <v>1587</v>
      </c>
      <c r="M45" t="s">
        <v>1588</v>
      </c>
      <c r="N45" t="s">
        <v>1589</v>
      </c>
      <c r="R45" t="s">
        <v>791</v>
      </c>
      <c r="S45" t="e">
        <v>#N/A</v>
      </c>
    </row>
    <row r="46" spans="1:19" x14ac:dyDescent="0.35">
      <c r="A46" t="s">
        <v>1590</v>
      </c>
      <c r="B46" t="s">
        <v>1591</v>
      </c>
      <c r="C46" t="s">
        <v>1592</v>
      </c>
      <c r="D46" t="s">
        <v>29</v>
      </c>
      <c r="F46" t="s">
        <v>1593</v>
      </c>
      <c r="I46" t="s">
        <v>123</v>
      </c>
      <c r="K46" t="s">
        <v>1594</v>
      </c>
      <c r="M46" t="s">
        <v>1595</v>
      </c>
      <c r="N46" t="s">
        <v>1596</v>
      </c>
      <c r="R46" t="s">
        <v>200</v>
      </c>
      <c r="S46" t="e">
        <v>#N/A</v>
      </c>
    </row>
    <row r="47" spans="1:19" x14ac:dyDescent="0.35">
      <c r="A47" t="s">
        <v>509</v>
      </c>
      <c r="B47" t="s">
        <v>514</v>
      </c>
      <c r="C47" t="s">
        <v>507</v>
      </c>
      <c r="D47" t="s">
        <v>29</v>
      </c>
      <c r="E47" t="s">
        <v>511</v>
      </c>
      <c r="G47" t="s">
        <v>28</v>
      </c>
      <c r="H47" t="s">
        <v>25</v>
      </c>
      <c r="I47" t="s">
        <v>513</v>
      </c>
      <c r="K47" t="s">
        <v>508</v>
      </c>
      <c r="M47" t="s">
        <v>506</v>
      </c>
      <c r="N47" t="s">
        <v>512</v>
      </c>
      <c r="O47" t="s">
        <v>510</v>
      </c>
      <c r="R47" t="s">
        <v>113</v>
      </c>
      <c r="S47" t="str">
        <v>Collaborative Game-Based Environment and Assessment Tool for Learning Computational Thinking in Primary School: A Case Study</v>
      </c>
    </row>
    <row r="48" spans="1:19" x14ac:dyDescent="0.35">
      <c r="A48" t="s">
        <v>1597</v>
      </c>
      <c r="B48" t="s">
        <v>1598</v>
      </c>
      <c r="C48" t="s">
        <v>1599</v>
      </c>
      <c r="D48" t="s">
        <v>29</v>
      </c>
      <c r="F48" t="s">
        <v>1600</v>
      </c>
      <c r="I48" t="s">
        <v>1601</v>
      </c>
      <c r="K48" t="s">
        <v>1602</v>
      </c>
      <c r="M48" t="s">
        <v>1603</v>
      </c>
      <c r="N48" t="s">
        <v>1604</v>
      </c>
      <c r="R48" t="s">
        <v>791</v>
      </c>
      <c r="S48" t="e">
        <v>#N/A</v>
      </c>
    </row>
    <row r="49" spans="1:19" x14ac:dyDescent="0.35">
      <c r="A49" t="s">
        <v>1605</v>
      </c>
      <c r="B49" t="s">
        <v>1606</v>
      </c>
      <c r="C49" t="s">
        <v>1607</v>
      </c>
      <c r="D49" t="s">
        <v>29</v>
      </c>
      <c r="F49" t="s">
        <v>1608</v>
      </c>
      <c r="I49" t="s">
        <v>1609</v>
      </c>
      <c r="K49" t="s">
        <v>1610</v>
      </c>
      <c r="M49" t="s">
        <v>1611</v>
      </c>
      <c r="N49" t="s">
        <v>1612</v>
      </c>
      <c r="O49" t="s">
        <v>322</v>
      </c>
      <c r="R49" t="s">
        <v>84</v>
      </c>
      <c r="S49" t="e">
        <v>#N/A</v>
      </c>
    </row>
    <row r="50" spans="1:19" x14ac:dyDescent="0.35">
      <c r="A50" t="s">
        <v>1613</v>
      </c>
      <c r="B50" t="s">
        <v>1614</v>
      </c>
      <c r="C50" t="s">
        <v>1615</v>
      </c>
      <c r="D50" t="s">
        <v>29</v>
      </c>
      <c r="F50" t="s">
        <v>1616</v>
      </c>
      <c r="I50" t="s">
        <v>355</v>
      </c>
      <c r="K50" t="s">
        <v>1617</v>
      </c>
      <c r="M50" t="s">
        <v>1618</v>
      </c>
      <c r="N50" t="s">
        <v>1619</v>
      </c>
      <c r="R50" t="s">
        <v>64</v>
      </c>
      <c r="S50" t="e">
        <v>#N/A</v>
      </c>
    </row>
    <row r="51" spans="1:19" x14ac:dyDescent="0.35">
      <c r="A51" t="s">
        <v>1620</v>
      </c>
      <c r="B51" t="s">
        <v>1621</v>
      </c>
      <c r="C51" t="s">
        <v>1622</v>
      </c>
      <c r="D51" t="s">
        <v>29</v>
      </c>
      <c r="F51" t="s">
        <v>1623</v>
      </c>
      <c r="I51" t="s">
        <v>1624</v>
      </c>
      <c r="K51" t="s">
        <v>1625</v>
      </c>
      <c r="M51" t="s">
        <v>1626</v>
      </c>
      <c r="N51" t="s">
        <v>1627</v>
      </c>
      <c r="R51" t="s">
        <v>113</v>
      </c>
      <c r="S51" t="e">
        <v>#N/A</v>
      </c>
    </row>
    <row r="52" spans="1:19" x14ac:dyDescent="0.35">
      <c r="A52" t="s">
        <v>1628</v>
      </c>
      <c r="B52" t="s">
        <v>1629</v>
      </c>
      <c r="C52" t="s">
        <v>1630</v>
      </c>
      <c r="D52" t="s">
        <v>29</v>
      </c>
      <c r="F52" t="s">
        <v>556</v>
      </c>
      <c r="I52" t="s">
        <v>94</v>
      </c>
      <c r="K52" t="s">
        <v>1631</v>
      </c>
      <c r="M52" t="s">
        <v>1632</v>
      </c>
      <c r="N52" t="s">
        <v>1633</v>
      </c>
      <c r="O52" t="s">
        <v>353</v>
      </c>
      <c r="R52" t="s">
        <v>113</v>
      </c>
      <c r="S52" t="e">
        <v>#N/A</v>
      </c>
    </row>
    <row r="53" spans="1:19" x14ac:dyDescent="0.35">
      <c r="A53" t="s">
        <v>1634</v>
      </c>
      <c r="B53" t="s">
        <v>1635</v>
      </c>
      <c r="C53" t="s">
        <v>1636</v>
      </c>
      <c r="D53" t="s">
        <v>29</v>
      </c>
      <c r="F53" t="s">
        <v>556</v>
      </c>
      <c r="I53" t="s">
        <v>123</v>
      </c>
      <c r="K53" t="s">
        <v>1637</v>
      </c>
      <c r="M53" t="s">
        <v>1638</v>
      </c>
      <c r="N53" t="s">
        <v>1639</v>
      </c>
      <c r="O53" t="s">
        <v>353</v>
      </c>
      <c r="R53" t="s">
        <v>113</v>
      </c>
      <c r="S53" t="e">
        <v>#N/A</v>
      </c>
    </row>
    <row r="54" spans="1:19" x14ac:dyDescent="0.35">
      <c r="A54" t="s">
        <v>564</v>
      </c>
      <c r="B54" t="s">
        <v>566</v>
      </c>
      <c r="C54" t="s">
        <v>562</v>
      </c>
      <c r="D54" t="s">
        <v>29</v>
      </c>
      <c r="F54" t="s">
        <v>556</v>
      </c>
      <c r="I54" t="s">
        <v>123</v>
      </c>
      <c r="K54" t="s">
        <v>563</v>
      </c>
      <c r="M54" t="s">
        <v>561</v>
      </c>
      <c r="N54" t="s">
        <v>565</v>
      </c>
      <c r="O54" t="s">
        <v>353</v>
      </c>
      <c r="R54" t="s">
        <v>113</v>
      </c>
      <c r="S54" t="str">
        <v>Educational Robotics Applied to Computational Thinking Development: A Systematic Mapping Study</v>
      </c>
    </row>
    <row r="55" spans="1:19" x14ac:dyDescent="0.35">
      <c r="A55" t="s">
        <v>1640</v>
      </c>
      <c r="B55" t="s">
        <v>1641</v>
      </c>
      <c r="C55" t="s">
        <v>1642</v>
      </c>
      <c r="D55" t="s">
        <v>29</v>
      </c>
      <c r="F55" t="s">
        <v>1643</v>
      </c>
      <c r="I55" t="s">
        <v>1644</v>
      </c>
      <c r="K55" t="s">
        <v>1645</v>
      </c>
      <c r="M55" t="s">
        <v>1646</v>
      </c>
      <c r="N55" t="s">
        <v>1647</v>
      </c>
      <c r="R55" t="s">
        <v>93</v>
      </c>
      <c r="S55" t="e">
        <v>#N/A</v>
      </c>
    </row>
    <row r="56" spans="1:19" x14ac:dyDescent="0.35">
      <c r="A56" t="s">
        <v>1648</v>
      </c>
      <c r="B56" t="s">
        <v>1649</v>
      </c>
      <c r="C56" t="s">
        <v>1650</v>
      </c>
      <c r="D56" t="s">
        <v>29</v>
      </c>
      <c r="F56" t="s">
        <v>1651</v>
      </c>
      <c r="I56" t="s">
        <v>1652</v>
      </c>
      <c r="K56" t="s">
        <v>1653</v>
      </c>
      <c r="M56" t="s">
        <v>1654</v>
      </c>
      <c r="N56" t="s">
        <v>1655</v>
      </c>
      <c r="O56" t="s">
        <v>223</v>
      </c>
      <c r="R56" t="s">
        <v>225</v>
      </c>
      <c r="S56" t="e">
        <v>#N/A</v>
      </c>
    </row>
    <row r="57" spans="1:19" x14ac:dyDescent="0.35">
      <c r="A57" t="s">
        <v>1656</v>
      </c>
      <c r="B57" t="s">
        <v>1657</v>
      </c>
      <c r="C57" t="s">
        <v>1658</v>
      </c>
      <c r="D57" t="s">
        <v>29</v>
      </c>
      <c r="F57" t="s">
        <v>1659</v>
      </c>
      <c r="I57" t="s">
        <v>1660</v>
      </c>
      <c r="J57" t="s">
        <v>932</v>
      </c>
      <c r="L57" s="3" t="s">
        <v>1661</v>
      </c>
      <c r="N57" t="s">
        <v>1662</v>
      </c>
      <c r="P57" t="s">
        <v>1663</v>
      </c>
      <c r="S57" t="e">
        <v>#N/A</v>
      </c>
    </row>
    <row r="58" spans="1:19" x14ac:dyDescent="0.35">
      <c r="A58" t="s">
        <v>1664</v>
      </c>
      <c r="B58" t="s">
        <v>1665</v>
      </c>
      <c r="C58" t="s">
        <v>1666</v>
      </c>
      <c r="D58" t="s">
        <v>27</v>
      </c>
      <c r="E58" t="s">
        <v>380</v>
      </c>
      <c r="G58" t="s">
        <v>32</v>
      </c>
      <c r="H58" t="s">
        <v>21</v>
      </c>
      <c r="I58" t="s">
        <v>1667</v>
      </c>
      <c r="K58" t="s">
        <v>1668</v>
      </c>
      <c r="M58" t="s">
        <v>1669</v>
      </c>
      <c r="N58" t="s">
        <v>1670</v>
      </c>
      <c r="O58" t="s">
        <v>379</v>
      </c>
      <c r="R58" t="s">
        <v>147</v>
      </c>
      <c r="S58" t="e">
        <v>#N/A</v>
      </c>
    </row>
    <row r="59" spans="1:19" x14ac:dyDescent="0.35">
      <c r="A59" t="s">
        <v>601</v>
      </c>
      <c r="B59" t="s">
        <v>604</v>
      </c>
      <c r="C59" t="s">
        <v>599</v>
      </c>
      <c r="D59" t="s">
        <v>27</v>
      </c>
      <c r="E59" t="s">
        <v>454</v>
      </c>
      <c r="G59" t="s">
        <v>51</v>
      </c>
      <c r="H59" t="s">
        <v>21</v>
      </c>
      <c r="I59" t="s">
        <v>603</v>
      </c>
      <c r="K59" t="s">
        <v>600</v>
      </c>
      <c r="M59" t="s">
        <v>598</v>
      </c>
      <c r="N59" t="s">
        <v>602</v>
      </c>
      <c r="O59" t="s">
        <v>453</v>
      </c>
      <c r="R59" t="s">
        <v>546</v>
      </c>
      <c r="S59" t="str">
        <v>Using Structural Equation Modeling to Examine the Relationship Between Preservice Teachers’ Computational Thinking Attitudes and Skills</v>
      </c>
    </row>
    <row r="60" spans="1:19" x14ac:dyDescent="0.35">
      <c r="A60" t="s">
        <v>1671</v>
      </c>
      <c r="B60" t="s">
        <v>1672</v>
      </c>
      <c r="C60" t="s">
        <v>1673</v>
      </c>
      <c r="D60" t="s">
        <v>27</v>
      </c>
      <c r="E60" t="s">
        <v>1674</v>
      </c>
      <c r="G60" t="s">
        <v>1675</v>
      </c>
      <c r="H60" t="s">
        <v>21</v>
      </c>
      <c r="I60" t="s">
        <v>1676</v>
      </c>
      <c r="K60" t="s">
        <v>1677</v>
      </c>
      <c r="M60" t="s">
        <v>1678</v>
      </c>
      <c r="N60" t="s">
        <v>1679</v>
      </c>
      <c r="O60" t="s">
        <v>1680</v>
      </c>
      <c r="R60" t="s">
        <v>172</v>
      </c>
      <c r="S60" t="e">
        <v>#N/A</v>
      </c>
    </row>
    <row r="61" spans="1:19" x14ac:dyDescent="0.35">
      <c r="A61" t="s">
        <v>1681</v>
      </c>
      <c r="B61" t="s">
        <v>1682</v>
      </c>
      <c r="C61" t="s">
        <v>1683</v>
      </c>
      <c r="D61" t="s">
        <v>27</v>
      </c>
      <c r="F61" t="s">
        <v>1684</v>
      </c>
      <c r="I61" t="s">
        <v>94</v>
      </c>
      <c r="K61" t="s">
        <v>1685</v>
      </c>
      <c r="M61" t="s">
        <v>1686</v>
      </c>
      <c r="N61" t="s">
        <v>1687</v>
      </c>
      <c r="O61" t="s">
        <v>1688</v>
      </c>
      <c r="R61" t="s">
        <v>103</v>
      </c>
      <c r="S61" t="e">
        <v>#N/A</v>
      </c>
    </row>
    <row r="62" spans="1:19" x14ac:dyDescent="0.35">
      <c r="A62" t="s">
        <v>1689</v>
      </c>
      <c r="B62" t="s">
        <v>1690</v>
      </c>
      <c r="C62" t="s">
        <v>1691</v>
      </c>
      <c r="D62" t="s">
        <v>27</v>
      </c>
      <c r="F62" t="s">
        <v>1692</v>
      </c>
      <c r="I62" t="s">
        <v>1693</v>
      </c>
      <c r="K62" t="s">
        <v>1694</v>
      </c>
      <c r="M62" t="s">
        <v>1695</v>
      </c>
      <c r="N62" t="s">
        <v>1696</v>
      </c>
      <c r="O62" t="s">
        <v>101</v>
      </c>
      <c r="R62" t="s">
        <v>103</v>
      </c>
      <c r="S62" t="e">
        <v>#N/A</v>
      </c>
    </row>
    <row r="63" spans="1:19" x14ac:dyDescent="0.35">
      <c r="A63" t="s">
        <v>1697</v>
      </c>
      <c r="B63" t="s">
        <v>1698</v>
      </c>
      <c r="C63" t="s">
        <v>1699</v>
      </c>
      <c r="D63" t="s">
        <v>27</v>
      </c>
      <c r="F63" t="s">
        <v>1692</v>
      </c>
      <c r="I63" t="s">
        <v>1700</v>
      </c>
      <c r="K63" t="s">
        <v>1701</v>
      </c>
      <c r="M63" t="s">
        <v>1702</v>
      </c>
      <c r="N63" t="s">
        <v>1703</v>
      </c>
      <c r="O63" t="s">
        <v>101</v>
      </c>
      <c r="R63" t="s">
        <v>103</v>
      </c>
      <c r="S63" t="e">
        <v>#N/A</v>
      </c>
    </row>
    <row r="64" spans="1:19" x14ac:dyDescent="0.35">
      <c r="A64" t="s">
        <v>1704</v>
      </c>
      <c r="B64" t="s">
        <v>1705</v>
      </c>
      <c r="C64" t="s">
        <v>1706</v>
      </c>
      <c r="D64" t="s">
        <v>27</v>
      </c>
      <c r="F64" t="s">
        <v>1692</v>
      </c>
      <c r="I64" t="s">
        <v>1707</v>
      </c>
      <c r="K64" t="s">
        <v>1708</v>
      </c>
      <c r="M64" t="s">
        <v>1709</v>
      </c>
      <c r="N64" t="s">
        <v>1710</v>
      </c>
      <c r="O64" t="s">
        <v>101</v>
      </c>
      <c r="R64" t="s">
        <v>103</v>
      </c>
      <c r="S64" t="e">
        <v>#N/A</v>
      </c>
    </row>
    <row r="65" spans="1:19" x14ac:dyDescent="0.35">
      <c r="A65" t="s">
        <v>1711</v>
      </c>
      <c r="B65" t="s">
        <v>1712</v>
      </c>
      <c r="C65" t="s">
        <v>1713</v>
      </c>
      <c r="D65" t="s">
        <v>27</v>
      </c>
      <c r="F65" t="s">
        <v>1714</v>
      </c>
      <c r="I65" t="s">
        <v>1715</v>
      </c>
      <c r="K65" t="s">
        <v>1716</v>
      </c>
      <c r="M65" t="s">
        <v>1717</v>
      </c>
      <c r="N65" t="s">
        <v>1718</v>
      </c>
      <c r="R65" t="s">
        <v>147</v>
      </c>
      <c r="S65" t="e">
        <v>#N/A</v>
      </c>
    </row>
    <row r="66" spans="1:19" x14ac:dyDescent="0.35">
      <c r="A66" t="s">
        <v>1719</v>
      </c>
      <c r="B66" t="s">
        <v>1720</v>
      </c>
      <c r="C66" t="s">
        <v>1721</v>
      </c>
      <c r="D66" t="s">
        <v>27</v>
      </c>
      <c r="F66" t="s">
        <v>1722</v>
      </c>
      <c r="I66" t="s">
        <v>1723</v>
      </c>
      <c r="K66" t="s">
        <v>1724</v>
      </c>
      <c r="M66" t="s">
        <v>1725</v>
      </c>
      <c r="N66" t="s">
        <v>1726</v>
      </c>
      <c r="O66" t="s">
        <v>198</v>
      </c>
      <c r="R66" t="s">
        <v>200</v>
      </c>
      <c r="S66" t="e">
        <v>#N/A</v>
      </c>
    </row>
    <row r="67" spans="1:19" x14ac:dyDescent="0.35">
      <c r="A67" t="s">
        <v>1727</v>
      </c>
      <c r="B67" t="s">
        <v>1728</v>
      </c>
      <c r="C67" t="s">
        <v>1729</v>
      </c>
      <c r="D67" t="s">
        <v>27</v>
      </c>
      <c r="F67" t="s">
        <v>1730</v>
      </c>
      <c r="I67" t="s">
        <v>94</v>
      </c>
      <c r="K67" t="s">
        <v>1731</v>
      </c>
      <c r="M67" t="s">
        <v>1732</v>
      </c>
      <c r="N67" t="s">
        <v>1733</v>
      </c>
      <c r="R67" t="s">
        <v>200</v>
      </c>
      <c r="S67" t="e">
        <v>#N/A</v>
      </c>
    </row>
    <row r="68" spans="1:19" x14ac:dyDescent="0.35">
      <c r="A68" t="s">
        <v>1734</v>
      </c>
      <c r="B68" t="s">
        <v>1735</v>
      </c>
      <c r="C68" t="s">
        <v>1736</v>
      </c>
      <c r="D68" t="s">
        <v>27</v>
      </c>
      <c r="F68" t="s">
        <v>1737</v>
      </c>
      <c r="I68" t="s">
        <v>355</v>
      </c>
      <c r="K68" t="s">
        <v>1738</v>
      </c>
      <c r="M68" t="s">
        <v>1739</v>
      </c>
      <c r="N68" t="s">
        <v>1740</v>
      </c>
      <c r="R68" t="s">
        <v>200</v>
      </c>
      <c r="S68" t="e">
        <v>#N/A</v>
      </c>
    </row>
    <row r="69" spans="1:19" x14ac:dyDescent="0.35">
      <c r="A69" t="s">
        <v>650</v>
      </c>
      <c r="B69" t="s">
        <v>652</v>
      </c>
      <c r="C69" t="s">
        <v>647</v>
      </c>
      <c r="D69" t="s">
        <v>27</v>
      </c>
      <c r="F69" t="s">
        <v>648</v>
      </c>
      <c r="I69" t="s">
        <v>94</v>
      </c>
      <c r="K69" t="s">
        <v>649</v>
      </c>
      <c r="M69" t="s">
        <v>646</v>
      </c>
      <c r="N69" t="s">
        <v>651</v>
      </c>
      <c r="R69" t="s">
        <v>93</v>
      </c>
      <c r="S69" t="str">
        <v>A Framework to Assess Melodic Effectiveness in Training Computational Thinking to Visually Impaired People</v>
      </c>
    </row>
    <row r="70" spans="1:19" x14ac:dyDescent="0.35">
      <c r="A70" t="s">
        <v>672</v>
      </c>
      <c r="B70" t="s">
        <v>675</v>
      </c>
      <c r="C70" t="s">
        <v>669</v>
      </c>
      <c r="D70" t="s">
        <v>27</v>
      </c>
      <c r="F70" t="s">
        <v>670</v>
      </c>
      <c r="I70" t="s">
        <v>674</v>
      </c>
      <c r="K70" t="s">
        <v>671</v>
      </c>
      <c r="M70" t="s">
        <v>668</v>
      </c>
      <c r="N70" t="s">
        <v>673</v>
      </c>
      <c r="R70" t="s">
        <v>225</v>
      </c>
      <c r="S70" t="str">
        <v>Computational Thinking Integration into Archival Educators’ Networked Instruction</v>
      </c>
    </row>
    <row r="71" spans="1:19" x14ac:dyDescent="0.35">
      <c r="A71" t="s">
        <v>1741</v>
      </c>
      <c r="B71" t="s">
        <v>1742</v>
      </c>
      <c r="C71" t="s">
        <v>1743</v>
      </c>
      <c r="D71" t="s">
        <v>27</v>
      </c>
      <c r="F71" t="s">
        <v>1744</v>
      </c>
      <c r="I71" t="s">
        <v>1745</v>
      </c>
      <c r="K71" t="s">
        <v>1746</v>
      </c>
      <c r="M71" t="s">
        <v>1747</v>
      </c>
      <c r="N71" t="s">
        <v>1748</v>
      </c>
      <c r="R71" t="s">
        <v>113</v>
      </c>
      <c r="S71" t="e">
        <v>#N/A</v>
      </c>
    </row>
    <row r="72" spans="1:19" x14ac:dyDescent="0.35">
      <c r="A72" t="s">
        <v>1749</v>
      </c>
      <c r="B72" t="s">
        <v>1750</v>
      </c>
      <c r="C72" t="s">
        <v>1751</v>
      </c>
      <c r="D72" t="s">
        <v>27</v>
      </c>
      <c r="F72" t="s">
        <v>1752</v>
      </c>
      <c r="I72" t="s">
        <v>1753</v>
      </c>
      <c r="K72" t="s">
        <v>1754</v>
      </c>
      <c r="M72" t="s">
        <v>1755</v>
      </c>
      <c r="N72" t="s">
        <v>1756</v>
      </c>
      <c r="O72" t="s">
        <v>1757</v>
      </c>
      <c r="R72" t="s">
        <v>93</v>
      </c>
      <c r="S72" t="e">
        <v>#N/A</v>
      </c>
    </row>
    <row r="73" spans="1:19" x14ac:dyDescent="0.35">
      <c r="A73" t="s">
        <v>697</v>
      </c>
      <c r="B73" t="s">
        <v>700</v>
      </c>
      <c r="C73" t="s">
        <v>694</v>
      </c>
      <c r="D73" t="s">
        <v>27</v>
      </c>
      <c r="F73" t="s">
        <v>695</v>
      </c>
      <c r="I73" t="s">
        <v>699</v>
      </c>
      <c r="K73" t="s">
        <v>696</v>
      </c>
      <c r="M73" t="s">
        <v>693</v>
      </c>
      <c r="N73" t="s">
        <v>698</v>
      </c>
      <c r="O73" t="s">
        <v>223</v>
      </c>
      <c r="R73" t="s">
        <v>225</v>
      </c>
      <c r="S73" t="str">
        <v>The Future Nexus of Computational Thinking Education: A Preliminary Systematic Review of Reviews</v>
      </c>
    </row>
    <row r="74" spans="1:19" x14ac:dyDescent="0.35">
      <c r="A74" t="s">
        <v>1758</v>
      </c>
      <c r="B74" t="s">
        <v>1759</v>
      </c>
      <c r="C74" t="s">
        <v>1760</v>
      </c>
      <c r="D74" t="s">
        <v>20</v>
      </c>
      <c r="E74" t="s">
        <v>1761</v>
      </c>
      <c r="G74" t="s">
        <v>34</v>
      </c>
      <c r="H74" t="s">
        <v>17</v>
      </c>
      <c r="I74" t="s">
        <v>1762</v>
      </c>
      <c r="K74" t="s">
        <v>1763</v>
      </c>
      <c r="M74" t="s">
        <v>1764</v>
      </c>
      <c r="N74" t="s">
        <v>1765</v>
      </c>
      <c r="O74" t="s">
        <v>1766</v>
      </c>
      <c r="R74" t="s">
        <v>103</v>
      </c>
      <c r="S74" t="e">
        <v>#N/A</v>
      </c>
    </row>
    <row r="75" spans="1:19" x14ac:dyDescent="0.35">
      <c r="A75" t="s">
        <v>1767</v>
      </c>
      <c r="B75" t="s">
        <v>1768</v>
      </c>
      <c r="C75" t="s">
        <v>1769</v>
      </c>
      <c r="D75" t="s">
        <v>20</v>
      </c>
      <c r="F75" t="s">
        <v>741</v>
      </c>
      <c r="I75" t="s">
        <v>1770</v>
      </c>
      <c r="K75" t="s">
        <v>1771</v>
      </c>
      <c r="M75" t="s">
        <v>1772</v>
      </c>
      <c r="N75" t="s">
        <v>1773</v>
      </c>
      <c r="R75" t="s">
        <v>103</v>
      </c>
      <c r="S75" t="e">
        <v>#N/A</v>
      </c>
    </row>
    <row r="76" spans="1:19" x14ac:dyDescent="0.35">
      <c r="A76" t="s">
        <v>1774</v>
      </c>
      <c r="B76" t="s">
        <v>1775</v>
      </c>
      <c r="C76" t="s">
        <v>1776</v>
      </c>
      <c r="D76" t="s">
        <v>20</v>
      </c>
      <c r="F76" t="s">
        <v>749</v>
      </c>
      <c r="I76" t="s">
        <v>447</v>
      </c>
      <c r="K76" t="s">
        <v>1777</v>
      </c>
      <c r="M76" t="s">
        <v>1778</v>
      </c>
      <c r="N76" t="s">
        <v>1779</v>
      </c>
      <c r="O76" t="s">
        <v>101</v>
      </c>
      <c r="R76" t="s">
        <v>546</v>
      </c>
      <c r="S76" t="e">
        <v>#N/A</v>
      </c>
    </row>
    <row r="77" spans="1:19" x14ac:dyDescent="0.35">
      <c r="A77" t="s">
        <v>819</v>
      </c>
      <c r="B77" t="s">
        <v>824</v>
      </c>
      <c r="C77" t="s">
        <v>817</v>
      </c>
      <c r="D77" t="s">
        <v>20</v>
      </c>
      <c r="E77" t="s">
        <v>821</v>
      </c>
      <c r="G77" t="s">
        <v>42</v>
      </c>
      <c r="H77" t="s">
        <v>43</v>
      </c>
      <c r="I77" t="s">
        <v>823</v>
      </c>
      <c r="K77" t="s">
        <v>818</v>
      </c>
      <c r="M77" t="s">
        <v>816</v>
      </c>
      <c r="N77" t="s">
        <v>822</v>
      </c>
      <c r="O77" t="s">
        <v>820</v>
      </c>
      <c r="R77" t="s">
        <v>93</v>
      </c>
      <c r="S77" t="str">
        <v>Assessment of Computational Thinking Skills: A Systematic Review of the Literature</v>
      </c>
    </row>
    <row r="78" spans="1:19" x14ac:dyDescent="0.35">
      <c r="A78" t="s">
        <v>1780</v>
      </c>
      <c r="B78" t="s">
        <v>1781</v>
      </c>
      <c r="C78" t="s">
        <v>1782</v>
      </c>
      <c r="D78" t="s">
        <v>20</v>
      </c>
      <c r="F78" t="s">
        <v>1783</v>
      </c>
      <c r="I78" t="s">
        <v>1784</v>
      </c>
      <c r="K78" t="s">
        <v>1785</v>
      </c>
      <c r="M78" t="s">
        <v>1786</v>
      </c>
      <c r="N78" t="s">
        <v>1787</v>
      </c>
      <c r="R78" t="s">
        <v>64</v>
      </c>
      <c r="S78" t="e">
        <v>#N/A</v>
      </c>
    </row>
    <row r="79" spans="1:19" x14ac:dyDescent="0.35">
      <c r="A79" t="s">
        <v>828</v>
      </c>
      <c r="B79" t="s">
        <v>831</v>
      </c>
      <c r="C79" t="s">
        <v>826</v>
      </c>
      <c r="D79" t="s">
        <v>20</v>
      </c>
      <c r="E79" t="s">
        <v>262</v>
      </c>
      <c r="G79" t="s">
        <v>23</v>
      </c>
      <c r="I79" t="s">
        <v>830</v>
      </c>
      <c r="K79" t="s">
        <v>827</v>
      </c>
      <c r="M79" t="s">
        <v>825</v>
      </c>
      <c r="N79" t="s">
        <v>829</v>
      </c>
      <c r="O79" t="s">
        <v>261</v>
      </c>
      <c r="R79" t="s">
        <v>264</v>
      </c>
      <c r="S79" t="str">
        <v>Development and Validation of the Engineering Computational Thinking Diagnostic for Undergraduate Students</v>
      </c>
    </row>
    <row r="80" spans="1:19" x14ac:dyDescent="0.35">
      <c r="A80" t="s">
        <v>858</v>
      </c>
      <c r="B80" t="s">
        <v>861</v>
      </c>
      <c r="C80" t="s">
        <v>856</v>
      </c>
      <c r="D80" t="s">
        <v>20</v>
      </c>
      <c r="F80" t="s">
        <v>850</v>
      </c>
      <c r="I80" t="s">
        <v>447</v>
      </c>
      <c r="K80" t="s">
        <v>857</v>
      </c>
      <c r="M80" t="s">
        <v>855</v>
      </c>
      <c r="N80" t="s">
        <v>859</v>
      </c>
      <c r="O80" t="s">
        <v>353</v>
      </c>
      <c r="R80" t="s">
        <v>113</v>
      </c>
      <c r="S80" t="str">
        <v>Math+CS: Comparing Teaching Candidates in a Methods Course and Pre-Service Teachers in a Math and Technology Course</v>
      </c>
    </row>
    <row r="81" spans="1:19" x14ac:dyDescent="0.35">
      <c r="A81" t="s">
        <v>1788</v>
      </c>
      <c r="B81" t="s">
        <v>1789</v>
      </c>
      <c r="C81" t="s">
        <v>1790</v>
      </c>
      <c r="D81" t="s">
        <v>20</v>
      </c>
      <c r="F81" t="s">
        <v>1791</v>
      </c>
      <c r="I81" t="s">
        <v>1792</v>
      </c>
      <c r="K81" t="s">
        <v>1793</v>
      </c>
      <c r="M81" t="s">
        <v>1794</v>
      </c>
      <c r="N81" t="s">
        <v>1795</v>
      </c>
      <c r="O81" t="s">
        <v>1219</v>
      </c>
      <c r="R81" t="s">
        <v>103</v>
      </c>
      <c r="S81" t="e">
        <v>#N/A</v>
      </c>
    </row>
    <row r="82" spans="1:19" x14ac:dyDescent="0.35">
      <c r="A82" t="s">
        <v>1796</v>
      </c>
      <c r="B82" t="s">
        <v>1797</v>
      </c>
      <c r="C82" t="s">
        <v>1798</v>
      </c>
      <c r="D82" t="s">
        <v>20</v>
      </c>
      <c r="F82" t="s">
        <v>864</v>
      </c>
      <c r="I82" t="s">
        <v>173</v>
      </c>
      <c r="K82" t="s">
        <v>1799</v>
      </c>
      <c r="M82" t="s">
        <v>1800</v>
      </c>
      <c r="N82" t="s">
        <v>1801</v>
      </c>
      <c r="R82" t="s">
        <v>93</v>
      </c>
      <c r="S82" t="e">
        <v>#N/A</v>
      </c>
    </row>
    <row r="83" spans="1:19" x14ac:dyDescent="0.35">
      <c r="A83" t="s">
        <v>881</v>
      </c>
      <c r="B83" t="s">
        <v>883</v>
      </c>
      <c r="C83" t="s">
        <v>879</v>
      </c>
      <c r="D83" t="s">
        <v>20</v>
      </c>
      <c r="F83" t="s">
        <v>872</v>
      </c>
      <c r="I83" t="s">
        <v>181</v>
      </c>
      <c r="K83" t="s">
        <v>880</v>
      </c>
      <c r="M83" t="s">
        <v>878</v>
      </c>
      <c r="N83" t="s">
        <v>882</v>
      </c>
      <c r="O83" t="s">
        <v>875</v>
      </c>
      <c r="R83" t="s">
        <v>93</v>
      </c>
      <c r="S83" t="str">
        <v>GeoGebra applet to learn programming and debugging in mathematics lessons</v>
      </c>
    </row>
    <row r="84" spans="1:19" x14ac:dyDescent="0.35">
      <c r="A84" t="s">
        <v>1802</v>
      </c>
      <c r="B84" t="s">
        <v>1803</v>
      </c>
      <c r="C84" t="s">
        <v>1804</v>
      </c>
      <c r="D84" t="s">
        <v>20</v>
      </c>
      <c r="F84" t="s">
        <v>1805</v>
      </c>
      <c r="I84" t="s">
        <v>181</v>
      </c>
      <c r="K84" t="s">
        <v>1806</v>
      </c>
      <c r="M84" t="s">
        <v>1807</v>
      </c>
      <c r="N84" t="s">
        <v>1808</v>
      </c>
      <c r="R84" t="s">
        <v>225</v>
      </c>
      <c r="S84" t="e">
        <v>#N/A</v>
      </c>
    </row>
    <row r="85" spans="1:19" x14ac:dyDescent="0.35">
      <c r="A85" t="s">
        <v>1809</v>
      </c>
      <c r="B85" t="s">
        <v>1810</v>
      </c>
      <c r="C85" t="s">
        <v>1811</v>
      </c>
      <c r="D85" t="s">
        <v>20</v>
      </c>
      <c r="F85" t="s">
        <v>902</v>
      </c>
      <c r="I85" t="s">
        <v>1812</v>
      </c>
      <c r="K85" t="s">
        <v>1813</v>
      </c>
      <c r="M85" t="s">
        <v>1814</v>
      </c>
      <c r="N85" t="s">
        <v>1815</v>
      </c>
      <c r="R85" t="s">
        <v>64</v>
      </c>
      <c r="S85" t="e">
        <v>#N/A</v>
      </c>
    </row>
    <row r="86" spans="1:19" x14ac:dyDescent="0.35">
      <c r="A86" t="s">
        <v>1816</v>
      </c>
      <c r="B86" t="s">
        <v>1817</v>
      </c>
      <c r="C86" t="s">
        <v>1818</v>
      </c>
      <c r="D86" t="s">
        <v>20</v>
      </c>
      <c r="F86" t="s">
        <v>1819</v>
      </c>
      <c r="I86" t="s">
        <v>1820</v>
      </c>
      <c r="K86" t="s">
        <v>1821</v>
      </c>
      <c r="M86" t="s">
        <v>1822</v>
      </c>
      <c r="N86" t="s">
        <v>1823</v>
      </c>
      <c r="O86" t="s">
        <v>1757</v>
      </c>
      <c r="R86" t="s">
        <v>93</v>
      </c>
      <c r="S86" t="e">
        <v>#N/A</v>
      </c>
    </row>
    <row r="87" spans="1:19" x14ac:dyDescent="0.35">
      <c r="A87" t="s">
        <v>913</v>
      </c>
      <c r="B87" t="s">
        <v>917</v>
      </c>
      <c r="C87" t="s">
        <v>910</v>
      </c>
      <c r="D87" t="s">
        <v>20</v>
      </c>
      <c r="F87" t="s">
        <v>911</v>
      </c>
      <c r="I87" t="s">
        <v>916</v>
      </c>
      <c r="K87" t="s">
        <v>912</v>
      </c>
      <c r="M87" t="s">
        <v>909</v>
      </c>
      <c r="N87" t="s">
        <v>914</v>
      </c>
      <c r="O87" t="s">
        <v>437</v>
      </c>
      <c r="R87" t="s">
        <v>225</v>
      </c>
      <c r="S87" t="str">
        <v>Design and Application of a Game Activity-Based Unplugged Programming Curriculum for Elementary Schools</v>
      </c>
    </row>
    <row r="88" spans="1:19" x14ac:dyDescent="0.35">
      <c r="A88" t="s">
        <v>1824</v>
      </c>
      <c r="B88" t="s">
        <v>1825</v>
      </c>
      <c r="C88" t="s">
        <v>1826</v>
      </c>
      <c r="D88" t="s">
        <v>16</v>
      </c>
      <c r="E88" t="s">
        <v>1350</v>
      </c>
      <c r="G88" t="s">
        <v>52</v>
      </c>
      <c r="H88" t="s">
        <v>32</v>
      </c>
      <c r="I88" t="s">
        <v>1827</v>
      </c>
      <c r="K88" t="s">
        <v>1828</v>
      </c>
      <c r="M88" t="s">
        <v>1829</v>
      </c>
      <c r="N88" t="s">
        <v>1830</v>
      </c>
      <c r="O88" t="s">
        <v>1355</v>
      </c>
      <c r="R88" t="s">
        <v>113</v>
      </c>
      <c r="S88" t="e">
        <v>#N/A</v>
      </c>
    </row>
    <row r="89" spans="1:19" x14ac:dyDescent="0.35">
      <c r="A89" t="s">
        <v>1831</v>
      </c>
      <c r="B89" t="s">
        <v>1832</v>
      </c>
      <c r="C89" t="s">
        <v>1833</v>
      </c>
      <c r="D89" t="s">
        <v>16</v>
      </c>
      <c r="E89" t="s">
        <v>1834</v>
      </c>
      <c r="G89" t="s">
        <v>46</v>
      </c>
      <c r="H89" t="s">
        <v>21</v>
      </c>
      <c r="I89" t="s">
        <v>1835</v>
      </c>
      <c r="K89" t="s">
        <v>1836</v>
      </c>
      <c r="M89" t="s">
        <v>1837</v>
      </c>
      <c r="N89" t="s">
        <v>1838</v>
      </c>
      <c r="O89" t="s">
        <v>1839</v>
      </c>
      <c r="R89" t="s">
        <v>147</v>
      </c>
      <c r="S89" t="e">
        <v>#N/A</v>
      </c>
    </row>
    <row r="90" spans="1:19" x14ac:dyDescent="0.35">
      <c r="A90" t="s">
        <v>950</v>
      </c>
      <c r="B90" t="s">
        <v>954</v>
      </c>
      <c r="C90" t="s">
        <v>948</v>
      </c>
      <c r="D90" t="s">
        <v>16</v>
      </c>
      <c r="E90" t="s">
        <v>454</v>
      </c>
      <c r="G90" t="s">
        <v>49</v>
      </c>
      <c r="H90" t="s">
        <v>21</v>
      </c>
      <c r="I90" t="s">
        <v>953</v>
      </c>
      <c r="K90" t="s">
        <v>949</v>
      </c>
      <c r="M90" t="s">
        <v>947</v>
      </c>
      <c r="N90" t="s">
        <v>951</v>
      </c>
      <c r="O90" t="s">
        <v>453</v>
      </c>
      <c r="R90" t="s">
        <v>147</v>
      </c>
      <c r="S90" t="str">
        <v>Inequalities in Computational Thinking Among Incoming Students in an STEM Chilean University</v>
      </c>
    </row>
    <row r="91" spans="1:19" x14ac:dyDescent="0.35">
      <c r="A91" t="s">
        <v>1840</v>
      </c>
      <c r="B91" t="s">
        <v>1841</v>
      </c>
      <c r="C91" t="s">
        <v>1842</v>
      </c>
      <c r="D91" t="s">
        <v>16</v>
      </c>
      <c r="F91" t="s">
        <v>1843</v>
      </c>
      <c r="I91" t="s">
        <v>1844</v>
      </c>
      <c r="J91" t="s">
        <v>1845</v>
      </c>
      <c r="K91" t="s">
        <v>1846</v>
      </c>
      <c r="L91" s="3" t="s">
        <v>1847</v>
      </c>
      <c r="M91" t="s">
        <v>1848</v>
      </c>
      <c r="N91" t="s">
        <v>1849</v>
      </c>
      <c r="P91" t="s">
        <v>1850</v>
      </c>
      <c r="Q91" t="s">
        <v>1851</v>
      </c>
      <c r="S91" t="e">
        <v>#N/A</v>
      </c>
    </row>
    <row r="92" spans="1:19" x14ac:dyDescent="0.35">
      <c r="A92" t="s">
        <v>1852</v>
      </c>
      <c r="B92" t="s">
        <v>1853</v>
      </c>
      <c r="C92" t="s">
        <v>1854</v>
      </c>
      <c r="D92" t="s">
        <v>16</v>
      </c>
      <c r="E92" t="s">
        <v>262</v>
      </c>
      <c r="G92" t="s">
        <v>37</v>
      </c>
      <c r="I92" t="s">
        <v>1855</v>
      </c>
      <c r="K92" t="s">
        <v>1856</v>
      </c>
      <c r="M92" t="s">
        <v>1857</v>
      </c>
      <c r="N92" t="s">
        <v>1858</v>
      </c>
      <c r="O92" t="s">
        <v>261</v>
      </c>
      <c r="R92" t="s">
        <v>264</v>
      </c>
      <c r="S92" t="e">
        <v>#N/A</v>
      </c>
    </row>
    <row r="93" spans="1:19" x14ac:dyDescent="0.35">
      <c r="A93" t="s">
        <v>1859</v>
      </c>
      <c r="B93" t="s">
        <v>1860</v>
      </c>
      <c r="C93" t="s">
        <v>36</v>
      </c>
      <c r="D93" t="s">
        <v>16</v>
      </c>
      <c r="F93" t="s">
        <v>1861</v>
      </c>
      <c r="I93" t="s">
        <v>94</v>
      </c>
      <c r="K93" t="s">
        <v>1862</v>
      </c>
      <c r="M93" t="s">
        <v>1863</v>
      </c>
      <c r="N93" t="s">
        <v>1864</v>
      </c>
      <c r="R93" t="s">
        <v>103</v>
      </c>
      <c r="S93" t="e">
        <v>#N/A</v>
      </c>
    </row>
    <row r="94" spans="1:19" x14ac:dyDescent="0.35">
      <c r="A94" t="s">
        <v>1865</v>
      </c>
      <c r="B94" t="s">
        <v>1866</v>
      </c>
      <c r="C94" t="s">
        <v>1867</v>
      </c>
      <c r="D94" t="s">
        <v>16</v>
      </c>
      <c r="E94" t="s">
        <v>511</v>
      </c>
      <c r="G94" t="s">
        <v>40</v>
      </c>
      <c r="I94" t="s">
        <v>1868</v>
      </c>
      <c r="K94" t="s">
        <v>1869</v>
      </c>
      <c r="M94" t="s">
        <v>1870</v>
      </c>
      <c r="N94" t="s">
        <v>1871</v>
      </c>
      <c r="O94" t="s">
        <v>510</v>
      </c>
      <c r="R94" t="s">
        <v>264</v>
      </c>
      <c r="S94" t="e">
        <v>#N/A</v>
      </c>
    </row>
    <row r="95" spans="1:19" x14ac:dyDescent="0.35">
      <c r="A95" t="s">
        <v>1872</v>
      </c>
      <c r="B95" t="s">
        <v>1873</v>
      </c>
      <c r="C95" t="s">
        <v>1874</v>
      </c>
      <c r="D95" t="s">
        <v>16</v>
      </c>
      <c r="E95" t="s">
        <v>262</v>
      </c>
      <c r="G95" t="s">
        <v>37</v>
      </c>
      <c r="I95" t="s">
        <v>1875</v>
      </c>
      <c r="K95" t="s">
        <v>1876</v>
      </c>
      <c r="M95" t="s">
        <v>1877</v>
      </c>
      <c r="N95" t="s">
        <v>1878</v>
      </c>
      <c r="O95" t="s">
        <v>261</v>
      </c>
      <c r="R95" t="s">
        <v>264</v>
      </c>
      <c r="S95" t="e">
        <v>#N/A</v>
      </c>
    </row>
    <row r="96" spans="1:19" x14ac:dyDescent="0.35">
      <c r="A96" t="s">
        <v>1879</v>
      </c>
      <c r="B96" t="s">
        <v>1880</v>
      </c>
      <c r="C96" t="s">
        <v>1881</v>
      </c>
      <c r="D96" t="s">
        <v>16</v>
      </c>
      <c r="F96" t="s">
        <v>957</v>
      </c>
      <c r="I96" t="s">
        <v>962</v>
      </c>
      <c r="K96" t="s">
        <v>1882</v>
      </c>
      <c r="M96" t="s">
        <v>1883</v>
      </c>
      <c r="N96" t="s">
        <v>1884</v>
      </c>
      <c r="O96" t="s">
        <v>101</v>
      </c>
      <c r="R96" t="s">
        <v>546</v>
      </c>
      <c r="S96" t="e">
        <v>#N/A</v>
      </c>
    </row>
    <row r="97" spans="1:19" x14ac:dyDescent="0.35">
      <c r="A97" t="s">
        <v>1885</v>
      </c>
      <c r="B97" t="s">
        <v>1886</v>
      </c>
      <c r="C97" t="s">
        <v>1887</v>
      </c>
      <c r="D97" t="s">
        <v>16</v>
      </c>
      <c r="F97" t="s">
        <v>957</v>
      </c>
      <c r="I97" t="s">
        <v>123</v>
      </c>
      <c r="K97" t="s">
        <v>1888</v>
      </c>
      <c r="M97" t="s">
        <v>1889</v>
      </c>
      <c r="N97" t="s">
        <v>1890</v>
      </c>
      <c r="O97" t="s">
        <v>101</v>
      </c>
      <c r="R97" t="s">
        <v>546</v>
      </c>
      <c r="S97" t="e">
        <v>#N/A</v>
      </c>
    </row>
    <row r="98" spans="1:19" x14ac:dyDescent="0.35">
      <c r="A98" t="s">
        <v>967</v>
      </c>
      <c r="B98" t="s">
        <v>969</v>
      </c>
      <c r="C98" t="s">
        <v>965</v>
      </c>
      <c r="D98" t="s">
        <v>16</v>
      </c>
      <c r="F98" t="s">
        <v>957</v>
      </c>
      <c r="I98" t="s">
        <v>447</v>
      </c>
      <c r="K98" t="s">
        <v>966</v>
      </c>
      <c r="M98" t="s">
        <v>964</v>
      </c>
      <c r="N98" t="s">
        <v>968</v>
      </c>
      <c r="O98" t="s">
        <v>101</v>
      </c>
      <c r="R98" t="s">
        <v>546</v>
      </c>
      <c r="S98" t="str">
        <v>Teachers' Intention to Integrate Computational Thinking Skills in Higher Education: A Survey Study in the Netherlands</v>
      </c>
    </row>
    <row r="99" spans="1:19" x14ac:dyDescent="0.35">
      <c r="A99" t="s">
        <v>1891</v>
      </c>
      <c r="B99" t="s">
        <v>1892</v>
      </c>
      <c r="C99" t="s">
        <v>1893</v>
      </c>
      <c r="D99" t="s">
        <v>16</v>
      </c>
      <c r="F99" t="s">
        <v>1894</v>
      </c>
      <c r="I99" t="s">
        <v>1895</v>
      </c>
      <c r="K99" t="s">
        <v>1896</v>
      </c>
      <c r="M99" t="s">
        <v>1897</v>
      </c>
      <c r="N99" t="s">
        <v>1898</v>
      </c>
      <c r="O99" t="s">
        <v>1899</v>
      </c>
      <c r="R99" t="s">
        <v>84</v>
      </c>
      <c r="S99" t="e">
        <v>#N/A</v>
      </c>
    </row>
    <row r="100" spans="1:19" x14ac:dyDescent="0.35">
      <c r="A100" t="s">
        <v>1005</v>
      </c>
      <c r="B100" t="s">
        <v>1008</v>
      </c>
      <c r="C100" t="s">
        <v>1003</v>
      </c>
      <c r="D100" t="s">
        <v>16</v>
      </c>
      <c r="E100" t="s">
        <v>454</v>
      </c>
      <c r="G100" t="s">
        <v>49</v>
      </c>
      <c r="H100" t="s">
        <v>19</v>
      </c>
      <c r="I100" t="s">
        <v>1007</v>
      </c>
      <c r="K100" t="s">
        <v>1004</v>
      </c>
      <c r="M100" t="s">
        <v>1002</v>
      </c>
      <c r="N100" t="s">
        <v>1006</v>
      </c>
      <c r="O100" t="s">
        <v>453</v>
      </c>
      <c r="R100" t="s">
        <v>225</v>
      </c>
      <c r="S100" t="str">
        <v>Constructing a Computational Thinking Evaluation Framework for Pupils</v>
      </c>
    </row>
    <row r="101" spans="1:19" x14ac:dyDescent="0.35">
      <c r="A101" t="s">
        <v>1900</v>
      </c>
      <c r="B101" t="s">
        <v>1901</v>
      </c>
      <c r="C101" t="s">
        <v>44</v>
      </c>
      <c r="D101" t="s">
        <v>16</v>
      </c>
      <c r="F101" t="s">
        <v>1902</v>
      </c>
      <c r="I101" t="s">
        <v>1903</v>
      </c>
      <c r="K101" t="s">
        <v>1904</v>
      </c>
      <c r="M101" t="s">
        <v>1905</v>
      </c>
      <c r="N101" t="s">
        <v>1906</v>
      </c>
      <c r="O101" t="s">
        <v>1219</v>
      </c>
      <c r="R101" t="s">
        <v>103</v>
      </c>
      <c r="S101" t="e">
        <v>#N/A</v>
      </c>
    </row>
    <row r="102" spans="1:19" x14ac:dyDescent="0.35">
      <c r="A102" t="s">
        <v>1907</v>
      </c>
      <c r="B102" t="s">
        <v>1908</v>
      </c>
      <c r="C102" t="s">
        <v>1909</v>
      </c>
      <c r="D102" t="s">
        <v>16</v>
      </c>
      <c r="E102" t="s">
        <v>262</v>
      </c>
      <c r="G102" t="s">
        <v>37</v>
      </c>
      <c r="I102" t="s">
        <v>1910</v>
      </c>
      <c r="K102" t="s">
        <v>1911</v>
      </c>
      <c r="M102" t="s">
        <v>1912</v>
      </c>
      <c r="N102" t="s">
        <v>1913</v>
      </c>
      <c r="O102" t="s">
        <v>261</v>
      </c>
      <c r="R102" t="s">
        <v>264</v>
      </c>
      <c r="S102" t="e">
        <v>#N/A</v>
      </c>
    </row>
    <row r="103" spans="1:19" x14ac:dyDescent="0.35">
      <c r="A103" t="s">
        <v>1914</v>
      </c>
      <c r="B103" t="s">
        <v>1915</v>
      </c>
      <c r="C103" t="s">
        <v>1916</v>
      </c>
      <c r="D103" t="s">
        <v>16</v>
      </c>
      <c r="F103" t="s">
        <v>1011</v>
      </c>
      <c r="I103" t="s">
        <v>1917</v>
      </c>
      <c r="K103" t="s">
        <v>1918</v>
      </c>
      <c r="M103" t="s">
        <v>1919</v>
      </c>
      <c r="N103" t="s">
        <v>1920</v>
      </c>
      <c r="O103" t="s">
        <v>844</v>
      </c>
      <c r="R103" t="s">
        <v>200</v>
      </c>
      <c r="S103" t="e">
        <v>#N/A</v>
      </c>
    </row>
    <row r="104" spans="1:19" x14ac:dyDescent="0.35">
      <c r="A104" t="s">
        <v>1921</v>
      </c>
      <c r="B104" t="s">
        <v>1922</v>
      </c>
      <c r="C104" t="s">
        <v>1923</v>
      </c>
      <c r="D104" t="s">
        <v>16</v>
      </c>
      <c r="F104" t="s">
        <v>1924</v>
      </c>
      <c r="I104" t="s">
        <v>1925</v>
      </c>
      <c r="K104" t="s">
        <v>1926</v>
      </c>
      <c r="M104" t="s">
        <v>1927</v>
      </c>
      <c r="N104" t="s">
        <v>1928</v>
      </c>
      <c r="O104" t="s">
        <v>1929</v>
      </c>
      <c r="R104" t="s">
        <v>200</v>
      </c>
      <c r="S104" t="e">
        <v>#N/A</v>
      </c>
    </row>
    <row r="105" spans="1:19" x14ac:dyDescent="0.35">
      <c r="A105" t="s">
        <v>1930</v>
      </c>
      <c r="B105" t="s">
        <v>1931</v>
      </c>
      <c r="C105" t="s">
        <v>1932</v>
      </c>
      <c r="D105" t="s">
        <v>16</v>
      </c>
      <c r="E105" t="s">
        <v>262</v>
      </c>
      <c r="G105" t="s">
        <v>37</v>
      </c>
      <c r="I105" t="s">
        <v>1933</v>
      </c>
      <c r="K105" t="s">
        <v>1934</v>
      </c>
      <c r="M105" t="s">
        <v>1935</v>
      </c>
      <c r="N105" t="s">
        <v>1936</v>
      </c>
      <c r="O105" t="s">
        <v>261</v>
      </c>
      <c r="R105" t="s">
        <v>264</v>
      </c>
      <c r="S105" t="e">
        <v>#N/A</v>
      </c>
    </row>
    <row r="106" spans="1:19" x14ac:dyDescent="0.35">
      <c r="A106" t="s">
        <v>1937</v>
      </c>
      <c r="B106" t="s">
        <v>1938</v>
      </c>
      <c r="C106" t="s">
        <v>1939</v>
      </c>
      <c r="D106" t="s">
        <v>16</v>
      </c>
      <c r="F106" t="s">
        <v>1940</v>
      </c>
      <c r="I106" t="s">
        <v>355</v>
      </c>
      <c r="K106" t="s">
        <v>1941</v>
      </c>
      <c r="M106" t="s">
        <v>1942</v>
      </c>
      <c r="N106" t="s">
        <v>1943</v>
      </c>
      <c r="O106" t="s">
        <v>1944</v>
      </c>
      <c r="R106" t="s">
        <v>93</v>
      </c>
      <c r="S106" t="e">
        <v>#N/A</v>
      </c>
    </row>
    <row r="107" spans="1:19" x14ac:dyDescent="0.35">
      <c r="A107" t="s">
        <v>1945</v>
      </c>
      <c r="B107" t="s">
        <v>1946</v>
      </c>
      <c r="C107" t="s">
        <v>1947</v>
      </c>
      <c r="D107" t="s">
        <v>16</v>
      </c>
      <c r="F107" t="s">
        <v>1948</v>
      </c>
      <c r="I107" t="s">
        <v>1949</v>
      </c>
      <c r="K107" t="s">
        <v>1950</v>
      </c>
      <c r="M107" t="s">
        <v>1951</v>
      </c>
      <c r="N107" t="s">
        <v>1952</v>
      </c>
      <c r="O107" t="s">
        <v>1953</v>
      </c>
      <c r="R107" t="s">
        <v>225</v>
      </c>
      <c r="S107" t="e">
        <v>#N/A</v>
      </c>
    </row>
    <row r="108" spans="1:19" x14ac:dyDescent="0.35">
      <c r="A108" t="s">
        <v>1954</v>
      </c>
      <c r="B108" t="s">
        <v>1955</v>
      </c>
      <c r="C108" t="s">
        <v>1956</v>
      </c>
      <c r="D108" t="s">
        <v>16</v>
      </c>
      <c r="F108" t="s">
        <v>1957</v>
      </c>
      <c r="I108" t="s">
        <v>1958</v>
      </c>
      <c r="J108" t="s">
        <v>932</v>
      </c>
      <c r="L108" s="3" t="s">
        <v>1959</v>
      </c>
      <c r="M108" t="s">
        <v>1960</v>
      </c>
      <c r="N108" t="s">
        <v>1961</v>
      </c>
      <c r="P108" t="s">
        <v>1962</v>
      </c>
      <c r="S108" t="e">
        <v>#N/A</v>
      </c>
    </row>
    <row r="109" spans="1:19" x14ac:dyDescent="0.35">
      <c r="A109" t="s">
        <v>1963</v>
      </c>
      <c r="B109" t="s">
        <v>1964</v>
      </c>
      <c r="C109" t="s">
        <v>1965</v>
      </c>
      <c r="D109" t="s">
        <v>16</v>
      </c>
      <c r="F109" t="s">
        <v>1957</v>
      </c>
      <c r="I109" t="s">
        <v>1966</v>
      </c>
      <c r="J109" t="s">
        <v>932</v>
      </c>
      <c r="L109" s="3" t="s">
        <v>1967</v>
      </c>
      <c r="M109" t="s">
        <v>1968</v>
      </c>
      <c r="N109" t="s">
        <v>1969</v>
      </c>
      <c r="P109" t="s">
        <v>1962</v>
      </c>
      <c r="S109" t="e">
        <v>#N/A</v>
      </c>
    </row>
    <row r="110" spans="1:19" x14ac:dyDescent="0.35">
      <c r="A110" t="s">
        <v>1035</v>
      </c>
      <c r="B110" t="s">
        <v>1038</v>
      </c>
      <c r="C110" t="s">
        <v>1032</v>
      </c>
      <c r="D110" t="s">
        <v>16</v>
      </c>
      <c r="F110" t="s">
        <v>1033</v>
      </c>
      <c r="I110" t="s">
        <v>1037</v>
      </c>
      <c r="K110" t="s">
        <v>1034</v>
      </c>
      <c r="M110" t="s">
        <v>1031</v>
      </c>
      <c r="N110" t="s">
        <v>1036</v>
      </c>
      <c r="R110" t="s">
        <v>225</v>
      </c>
      <c r="S110" t="str">
        <v>Integrating Computational Thinking Skills in Secondary Education: a Feasibility Study</v>
      </c>
    </row>
    <row r="111" spans="1:19" x14ac:dyDescent="0.35">
      <c r="A111" t="s">
        <v>1970</v>
      </c>
      <c r="B111" t="s">
        <v>1971</v>
      </c>
      <c r="C111" t="s">
        <v>44</v>
      </c>
      <c r="D111" t="s">
        <v>16</v>
      </c>
      <c r="F111" t="s">
        <v>1972</v>
      </c>
      <c r="I111" t="s">
        <v>1973</v>
      </c>
      <c r="K111" t="s">
        <v>1974</v>
      </c>
      <c r="M111" t="s">
        <v>1975</v>
      </c>
      <c r="N111" t="s">
        <v>1976</v>
      </c>
      <c r="R111" t="s">
        <v>64</v>
      </c>
      <c r="S111" t="e">
        <v>#N/A</v>
      </c>
    </row>
    <row r="112" spans="1:19" x14ac:dyDescent="0.35">
      <c r="A112" t="s">
        <v>1977</v>
      </c>
      <c r="B112" t="s">
        <v>1978</v>
      </c>
      <c r="C112" t="s">
        <v>1979</v>
      </c>
      <c r="D112" t="s">
        <v>16</v>
      </c>
      <c r="F112" t="s">
        <v>1040</v>
      </c>
      <c r="I112" t="s">
        <v>181</v>
      </c>
      <c r="K112" t="s">
        <v>1980</v>
      </c>
      <c r="M112" t="s">
        <v>1981</v>
      </c>
      <c r="N112" t="s">
        <v>1982</v>
      </c>
      <c r="O112" t="s">
        <v>353</v>
      </c>
      <c r="R112" t="s">
        <v>113</v>
      </c>
      <c r="S112" t="e">
        <v>#N/A</v>
      </c>
    </row>
    <row r="113" spans="1:19" x14ac:dyDescent="0.35">
      <c r="A113" t="s">
        <v>1060</v>
      </c>
      <c r="B113" t="s">
        <v>1062</v>
      </c>
      <c r="C113" t="s">
        <v>1058</v>
      </c>
      <c r="D113" t="s">
        <v>16</v>
      </c>
      <c r="F113" t="s">
        <v>1040</v>
      </c>
      <c r="I113" t="s">
        <v>355</v>
      </c>
      <c r="K113" t="s">
        <v>1059</v>
      </c>
      <c r="M113" t="s">
        <v>1057</v>
      </c>
      <c r="N113" t="s">
        <v>1061</v>
      </c>
      <c r="O113" t="s">
        <v>353</v>
      </c>
      <c r="R113" t="s">
        <v>113</v>
      </c>
      <c r="S113" t="str">
        <v>Integrating Computational Thinking Into the Curricula to Bridge the Skill Gap in Engineering Education</v>
      </c>
    </row>
    <row r="114" spans="1:19" x14ac:dyDescent="0.35">
      <c r="A114" t="s">
        <v>1983</v>
      </c>
      <c r="B114" t="s">
        <v>1984</v>
      </c>
      <c r="C114" t="s">
        <v>1985</v>
      </c>
      <c r="D114" t="s">
        <v>16</v>
      </c>
      <c r="F114" t="s">
        <v>1040</v>
      </c>
      <c r="I114" t="s">
        <v>123</v>
      </c>
      <c r="K114" t="s">
        <v>1986</v>
      </c>
      <c r="M114" t="s">
        <v>1987</v>
      </c>
      <c r="N114" t="s">
        <v>1988</v>
      </c>
      <c r="O114" t="s">
        <v>353</v>
      </c>
      <c r="R114" t="s">
        <v>113</v>
      </c>
      <c r="S114" t="e">
        <v>#N/A</v>
      </c>
    </row>
    <row r="115" spans="1:19" x14ac:dyDescent="0.35">
      <c r="A115" t="s">
        <v>1989</v>
      </c>
      <c r="B115" t="s">
        <v>1990</v>
      </c>
      <c r="C115" t="s">
        <v>1991</v>
      </c>
      <c r="D115" t="s">
        <v>16</v>
      </c>
      <c r="F115" t="s">
        <v>1992</v>
      </c>
      <c r="I115" t="s">
        <v>1993</v>
      </c>
      <c r="K115" t="s">
        <v>1994</v>
      </c>
      <c r="M115" t="s">
        <v>1995</v>
      </c>
      <c r="N115" t="s">
        <v>1996</v>
      </c>
      <c r="O115" t="s">
        <v>1997</v>
      </c>
      <c r="R115" t="s">
        <v>225</v>
      </c>
      <c r="S115" t="e">
        <v>#N/A</v>
      </c>
    </row>
    <row r="116" spans="1:19" x14ac:dyDescent="0.35">
      <c r="A116" t="s">
        <v>1102</v>
      </c>
      <c r="B116" t="s">
        <v>1105</v>
      </c>
      <c r="C116" t="s">
        <v>1099</v>
      </c>
      <c r="D116" t="s">
        <v>24</v>
      </c>
      <c r="F116" t="s">
        <v>1100</v>
      </c>
      <c r="I116" t="s">
        <v>1104</v>
      </c>
      <c r="K116" t="s">
        <v>1101</v>
      </c>
      <c r="M116" t="s">
        <v>1098</v>
      </c>
      <c r="N116" t="s">
        <v>1103</v>
      </c>
      <c r="R116" t="s">
        <v>103</v>
      </c>
      <c r="S116" t="str">
        <v>Design and Performance Validation of a Computational Thinking Gamified Intelligent Tutoring System Focusing on Thinking Process</v>
      </c>
    </row>
    <row r="117" spans="1:19" x14ac:dyDescent="0.35">
      <c r="A117" t="s">
        <v>1998</v>
      </c>
      <c r="B117" t="s">
        <v>1999</v>
      </c>
      <c r="C117" t="s">
        <v>15</v>
      </c>
      <c r="D117" t="s">
        <v>24</v>
      </c>
      <c r="F117" t="s">
        <v>1108</v>
      </c>
      <c r="I117" t="s">
        <v>355</v>
      </c>
      <c r="K117" t="s">
        <v>2000</v>
      </c>
      <c r="M117" t="s">
        <v>2001</v>
      </c>
      <c r="N117" t="s">
        <v>2002</v>
      </c>
      <c r="R117" t="s">
        <v>103</v>
      </c>
      <c r="S117" t="e">
        <v>#N/A</v>
      </c>
    </row>
    <row r="118" spans="1:19" x14ac:dyDescent="0.35">
      <c r="A118" t="s">
        <v>1110</v>
      </c>
      <c r="B118" t="s">
        <v>1112</v>
      </c>
      <c r="C118" t="s">
        <v>1107</v>
      </c>
      <c r="D118" t="s">
        <v>24</v>
      </c>
      <c r="F118" t="s">
        <v>1108</v>
      </c>
      <c r="I118" t="s">
        <v>94</v>
      </c>
      <c r="K118" t="s">
        <v>1109</v>
      </c>
      <c r="M118" t="s">
        <v>1106</v>
      </c>
      <c r="N118" t="s">
        <v>1111</v>
      </c>
      <c r="R118" t="s">
        <v>103</v>
      </c>
      <c r="S118" t="str">
        <v>Pattern recognition in programming to support the evaluation of Computational Thinking</v>
      </c>
    </row>
    <row r="119" spans="1:19" x14ac:dyDescent="0.35">
      <c r="A119" t="s">
        <v>2003</v>
      </c>
      <c r="B119" t="s">
        <v>2004</v>
      </c>
      <c r="C119" t="s">
        <v>2005</v>
      </c>
      <c r="D119" t="s">
        <v>24</v>
      </c>
      <c r="E119" t="s">
        <v>262</v>
      </c>
      <c r="G119" t="s">
        <v>30</v>
      </c>
      <c r="I119" t="s">
        <v>2006</v>
      </c>
      <c r="K119" t="s">
        <v>2007</v>
      </c>
      <c r="M119" t="s">
        <v>2008</v>
      </c>
      <c r="N119" t="s">
        <v>2009</v>
      </c>
      <c r="O119" t="s">
        <v>261</v>
      </c>
      <c r="R119" t="s">
        <v>264</v>
      </c>
      <c r="S119" t="e">
        <v>#N/A</v>
      </c>
    </row>
    <row r="120" spans="1:19" x14ac:dyDescent="0.35">
      <c r="A120" t="s">
        <v>1117</v>
      </c>
      <c r="B120" t="s">
        <v>1119</v>
      </c>
      <c r="C120" t="s">
        <v>1114</v>
      </c>
      <c r="D120" t="s">
        <v>24</v>
      </c>
      <c r="F120" t="s">
        <v>1115</v>
      </c>
      <c r="I120" t="s">
        <v>962</v>
      </c>
      <c r="K120" t="s">
        <v>1116</v>
      </c>
      <c r="M120" t="s">
        <v>1113</v>
      </c>
      <c r="N120" t="s">
        <v>1118</v>
      </c>
      <c r="O120" t="s">
        <v>101</v>
      </c>
      <c r="R120" t="s">
        <v>147</v>
      </c>
      <c r="S120" t="str">
        <v>Theoretical Evaluation of a Computation Thinking Instrument for Primary School Graduates</v>
      </c>
    </row>
    <row r="121" spans="1:19" x14ac:dyDescent="0.35">
      <c r="A121" t="s">
        <v>1163</v>
      </c>
      <c r="B121" t="s">
        <v>1166</v>
      </c>
      <c r="C121" t="s">
        <v>1161</v>
      </c>
      <c r="D121" t="s">
        <v>24</v>
      </c>
      <c r="F121" t="s">
        <v>1147</v>
      </c>
      <c r="I121" t="s">
        <v>1165</v>
      </c>
      <c r="K121" t="s">
        <v>1162</v>
      </c>
      <c r="M121" t="s">
        <v>2010</v>
      </c>
      <c r="N121" t="s">
        <v>1164</v>
      </c>
      <c r="R121" t="s">
        <v>147</v>
      </c>
      <c r="S121" t="str">
        <v>Development and Validation Study of Computational Thinking Test for Elementary and Middle School Students in Artificial Intelligence Contexts</v>
      </c>
    </row>
    <row r="122" spans="1:19" x14ac:dyDescent="0.35">
      <c r="A122" t="s">
        <v>2011</v>
      </c>
      <c r="B122" t="s">
        <v>2012</v>
      </c>
      <c r="C122" t="s">
        <v>2013</v>
      </c>
      <c r="D122" t="s">
        <v>24</v>
      </c>
      <c r="F122" t="s">
        <v>2014</v>
      </c>
      <c r="I122" t="s">
        <v>2015</v>
      </c>
      <c r="K122" t="s">
        <v>2016</v>
      </c>
      <c r="M122" t="s">
        <v>2017</v>
      </c>
      <c r="N122" t="s">
        <v>2018</v>
      </c>
      <c r="O122" t="s">
        <v>2019</v>
      </c>
      <c r="R122" t="s">
        <v>200</v>
      </c>
      <c r="S122" t="e">
        <v>#N/A</v>
      </c>
    </row>
    <row r="123" spans="1:19" x14ac:dyDescent="0.35">
      <c r="A123" t="s">
        <v>1225</v>
      </c>
      <c r="B123" t="s">
        <v>1227</v>
      </c>
      <c r="C123" t="s">
        <v>1223</v>
      </c>
      <c r="D123" t="s">
        <v>24</v>
      </c>
      <c r="F123" t="s">
        <v>1216</v>
      </c>
      <c r="I123" t="s">
        <v>123</v>
      </c>
      <c r="K123" t="s">
        <v>1224</v>
      </c>
      <c r="M123" t="s">
        <v>1222</v>
      </c>
      <c r="N123" t="s">
        <v>1226</v>
      </c>
      <c r="O123" t="s">
        <v>1219</v>
      </c>
      <c r="R123" t="s">
        <v>103</v>
      </c>
      <c r="S123" t="str">
        <v>Enhancing A Holistic Approach Towards Computational Thinking Assessment in Education</v>
      </c>
    </row>
    <row r="124" spans="1:19" x14ac:dyDescent="0.35">
      <c r="A124" t="s">
        <v>2020</v>
      </c>
      <c r="B124" t="s">
        <v>2021</v>
      </c>
      <c r="C124" t="s">
        <v>2022</v>
      </c>
      <c r="D124" t="s">
        <v>24</v>
      </c>
      <c r="F124" t="s">
        <v>1230</v>
      </c>
      <c r="I124" t="s">
        <v>2023</v>
      </c>
      <c r="K124" t="s">
        <v>2024</v>
      </c>
      <c r="M124" t="s">
        <v>2025</v>
      </c>
      <c r="N124" t="s">
        <v>2026</v>
      </c>
      <c r="R124" t="s">
        <v>546</v>
      </c>
      <c r="S124" t="e">
        <v>#N/A</v>
      </c>
    </row>
    <row r="125" spans="1:19" x14ac:dyDescent="0.35">
      <c r="A125" t="s">
        <v>2027</v>
      </c>
      <c r="B125" t="s">
        <v>2028</v>
      </c>
      <c r="C125" t="s">
        <v>2029</v>
      </c>
      <c r="D125" t="s">
        <v>24</v>
      </c>
      <c r="F125" t="s">
        <v>1245</v>
      </c>
      <c r="I125" t="s">
        <v>2030</v>
      </c>
      <c r="K125" t="s">
        <v>2031</v>
      </c>
      <c r="M125" t="s">
        <v>2032</v>
      </c>
      <c r="N125" t="s">
        <v>2033</v>
      </c>
      <c r="R125" t="s">
        <v>791</v>
      </c>
      <c r="S125" t="e">
        <v>#N/A</v>
      </c>
    </row>
    <row r="126" spans="1:19" x14ac:dyDescent="0.35">
      <c r="A126" t="s">
        <v>2034</v>
      </c>
      <c r="B126" t="s">
        <v>2035</v>
      </c>
      <c r="C126" t="s">
        <v>2036</v>
      </c>
      <c r="D126" t="s">
        <v>24</v>
      </c>
      <c r="E126" t="s">
        <v>262</v>
      </c>
      <c r="G126" t="s">
        <v>30</v>
      </c>
      <c r="I126" t="s">
        <v>2037</v>
      </c>
      <c r="K126" t="s">
        <v>2038</v>
      </c>
      <c r="M126" t="s">
        <v>2039</v>
      </c>
      <c r="N126" t="s">
        <v>2040</v>
      </c>
      <c r="O126" t="s">
        <v>261</v>
      </c>
      <c r="R126" t="s">
        <v>264</v>
      </c>
      <c r="S126" t="e">
        <v>#N/A</v>
      </c>
    </row>
    <row r="127" spans="1:19" x14ac:dyDescent="0.35">
      <c r="A127" t="s">
        <v>2041</v>
      </c>
      <c r="B127" t="s">
        <v>2042</v>
      </c>
      <c r="C127" t="s">
        <v>2043</v>
      </c>
      <c r="D127" t="s">
        <v>24</v>
      </c>
      <c r="E127" t="s">
        <v>2044</v>
      </c>
      <c r="G127" t="s">
        <v>48</v>
      </c>
      <c r="H127" t="s">
        <v>32</v>
      </c>
      <c r="I127" t="s">
        <v>2045</v>
      </c>
      <c r="K127" t="s">
        <v>2046</v>
      </c>
      <c r="M127" t="s">
        <v>2047</v>
      </c>
      <c r="O127" t="s">
        <v>2048</v>
      </c>
      <c r="R127" t="s">
        <v>113</v>
      </c>
      <c r="S127" t="e">
        <v>#N/A</v>
      </c>
    </row>
    <row r="128" spans="1:19" x14ac:dyDescent="0.35">
      <c r="R128" t="s">
        <v>2049</v>
      </c>
      <c r="S128">
        <f t="array" ref="S128">COUNT(IF(ISNA(_xlfn.ANCHORARRAY(S2)), 1))</f>
        <v>99</v>
      </c>
    </row>
    <row r="129" spans="18:19" x14ac:dyDescent="0.35">
      <c r="R129" t="s">
        <v>54</v>
      </c>
      <c r="S129">
        <f t="array" ref="S129">COUNT(IF(NOT(ISNA(_xlfn.ANCHORARRAY(S2))), 1))</f>
        <v>27</v>
      </c>
    </row>
    <row r="130" spans="18:19" x14ac:dyDescent="0.35">
      <c r="S130">
        <f>SUM(S128:S129)</f>
        <v>126</v>
      </c>
    </row>
  </sheetData>
  <autoFilter ref="B1:S130" xr:uid="{00000000-0009-0000-0000-000004000000}"/>
  <hyperlinks>
    <hyperlink ref="L57" r:id="rId1" xr:uid="{00000000-0004-0000-0400-000000000000}"/>
    <hyperlink ref="L91" r:id="rId2" xr:uid="{00000000-0004-0000-0400-000001000000}"/>
    <hyperlink ref="L108" r:id="rId3" xr:uid="{00000000-0004-0000-0400-000002000000}"/>
    <hyperlink ref="L109" r:id="rId4" xr:uid="{00000000-0004-0000-0400-000003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IEEE_intervention</vt:lpstr>
      <vt:lpstr>IEEE_evaluation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2026-05-22T21:57:04Z</dcterms:modified>
</cp:coreProperties>
</file>