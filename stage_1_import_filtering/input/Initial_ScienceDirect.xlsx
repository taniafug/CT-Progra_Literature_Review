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tania\Desktop\programino\papers\Systematic LR\Authomatic initial analysis\"/>
    </mc:Choice>
  </mc:AlternateContent>
  <xr:revisionPtr revIDLastSave="0" documentId="13_ncr:1_{F7030F53-ED08-40F8-9928-862E21E8080B}" xr6:coauthVersionLast="47" xr6:coauthVersionMax="47" xr10:uidLastSave="{00000000-0000-0000-0000-000000000000}"/>
  <bookViews>
    <workbookView xWindow="-110" yWindow="-110" windowWidth="19420" windowHeight="10300" xr2:uid="{00000000-000D-0000-FFFF-FFFF00000000}"/>
  </bookViews>
  <sheets>
    <sheet name="DirectScience_evaluation" sheetId="16" r:id="rId1"/>
    <sheet name="DirectScience_intervention" sheetId="17" r:id="rId2"/>
  </sheets>
  <definedNames>
    <definedName name="_xlnm._FilterDatabase" localSheetId="1" hidden="1">DirectScience_intervention!$A$1:$V$39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18" i="17" l="1"/>
  <c r="V10" i="17"/>
  <c r="V2" i="17" a="1"/>
  <c r="V34" i="17" s="1"/>
  <c r="V26" i="17" l="1"/>
  <c r="V32" i="17"/>
  <c r="V24" i="17"/>
  <c r="V16" i="17"/>
  <c r="V8" i="17"/>
  <c r="V31" i="17"/>
  <c r="V23" i="17"/>
  <c r="V15" i="17"/>
  <c r="V7" i="17"/>
  <c r="V30" i="17"/>
  <c r="V22" i="17"/>
  <c r="V14" i="17"/>
  <c r="V6" i="17"/>
  <c r="V29" i="17"/>
  <c r="V21" i="17"/>
  <c r="V13" i="17"/>
  <c r="V5" i="17"/>
  <c r="V36" i="17"/>
  <c r="V28" i="17"/>
  <c r="V20" i="17"/>
  <c r="V12" i="17"/>
  <c r="V4" i="17"/>
  <c r="V35" i="17"/>
  <c r="V27" i="17"/>
  <c r="V19" i="17"/>
  <c r="V11" i="17"/>
  <c r="V3" i="17"/>
  <c r="V33" i="17"/>
  <c r="V25" i="17"/>
  <c r="V17" i="17"/>
  <c r="V9" i="17"/>
  <c r="V2" i="17"/>
  <c r="V38" i="17" l="1"/>
  <c r="V37" i="17"/>
  <c r="V39" i="17" l="1"/>
  <c r="X38" i="17"/>
</calcChain>
</file>

<file path=xl/sharedStrings.xml><?xml version="1.0" encoding="utf-8"?>
<sst xmlns="http://schemas.openxmlformats.org/spreadsheetml/2006/main" count="1143" uniqueCount="763">
  <si>
    <t>title</t>
  </si>
  <si>
    <t>author</t>
  </si>
  <si>
    <t>year</t>
  </si>
  <si>
    <t>booktitle</t>
  </si>
  <si>
    <t>journal</t>
  </si>
  <si>
    <t>publisher</t>
  </si>
  <si>
    <t>doi</t>
  </si>
  <si>
    <t>url</t>
  </si>
  <si>
    <t>abstract</t>
  </si>
  <si>
    <t>address</t>
  </si>
  <si>
    <t>pages</t>
  </si>
  <si>
    <t>isbn</t>
  </si>
  <si>
    <t>issn</t>
  </si>
  <si>
    <t>volume</t>
  </si>
  <si>
    <t>number</t>
  </si>
  <si>
    <t>note</t>
  </si>
  <si>
    <t>keywords</t>
  </si>
  <si>
    <t>2024</t>
  </si>
  <si>
    <t>19</t>
  </si>
  <si>
    <t>1</t>
  </si>
  <si>
    <t>2019</t>
  </si>
  <si>
    <t>6</t>
  </si>
  <si>
    <t>7</t>
  </si>
  <si>
    <t>2023</t>
  </si>
  <si>
    <t>2</t>
  </si>
  <si>
    <t>9</t>
  </si>
  <si>
    <t>11</t>
  </si>
  <si>
    <t>2025</t>
  </si>
  <si>
    <t>5</t>
  </si>
  <si>
    <t>2022</t>
  </si>
  <si>
    <t>21</t>
  </si>
  <si>
    <t>14</t>
  </si>
  <si>
    <t>2021</t>
  </si>
  <si>
    <t>13</t>
  </si>
  <si>
    <t>2020</t>
  </si>
  <si>
    <t>10</t>
  </si>
  <si>
    <t>2018</t>
  </si>
  <si>
    <t>8</t>
  </si>
  <si>
    <t>33</t>
  </si>
  <si>
    <t>3</t>
  </si>
  <si>
    <t>17</t>
  </si>
  <si>
    <t>2017</t>
  </si>
  <si>
    <t>4</t>
  </si>
  <si>
    <t>48</t>
  </si>
  <si>
    <t>29</t>
  </si>
  <si>
    <t>41</t>
  </si>
  <si>
    <t>32</t>
  </si>
  <si>
    <t>28</t>
  </si>
  <si>
    <t>65</t>
  </si>
  <si>
    <t>35</t>
  </si>
  <si>
    <t>106</t>
  </si>
  <si>
    <t>31</t>
  </si>
  <si>
    <t>42</t>
  </si>
  <si>
    <t>53</t>
  </si>
  <si>
    <t>44</t>
  </si>
  <si>
    <t>34</t>
  </si>
  <si>
    <t>2026</t>
  </si>
  <si>
    <t>72</t>
  </si>
  <si>
    <t>Using design-based implementation research approach to create computational thinking assessment tools for youth programs in public libraries</t>
  </si>
  <si>
    <t>45</t>
  </si>
  <si>
    <t>Children caring for robots: Expanding computational thinking frameworks to include a technological ethic of care</t>
  </si>
  <si>
    <t>International Journal of Child-Computer Interaction</t>
  </si>
  <si>
    <t>Exploring the development of mental rotation and computational skills in elementary students through educational robotics</t>
  </si>
  <si>
    <t>Cognitive abilities and computational thinking at age 5: Evidence for associations to sequencing and symbolic number comparison</t>
  </si>
  <si>
    <t>Computers and Education Open</t>
  </si>
  <si>
    <t>Learning to code and the acquisition of computational thinking by young children</t>
  </si>
  <si>
    <t>169</t>
  </si>
  <si>
    <t>Robotics</t>
  </si>
  <si>
    <t>120</t>
  </si>
  <si>
    <t>56</t>
  </si>
  <si>
    <t>Modeling system dynamics in computational thinking integration using causal loop diagrams</t>
  </si>
  <si>
    <t>Thinking Skills and Creativity</t>
  </si>
  <si>
    <t>59</t>
  </si>
  <si>
    <t>A review of computational thinking interventions in upper elementary education</t>
  </si>
  <si>
    <t>Computational thinking integrated in school subjects – A cross-case analysis of students’ experiences</t>
  </si>
  <si>
    <t>Does text-based programming improve K-12 students’ CT skills? Evidence from a meta-analysis and synthesis of qualitative data in educational contexts</t>
  </si>
  <si>
    <t>49</t>
  </si>
  <si>
    <t>Effects of a computational thinking intervention program on executive functions in children aged 10 to 11</t>
  </si>
  <si>
    <t>International Journal of Mobile and Blended Learning</t>
  </si>
  <si>
    <t>Formation of computational identity through computational thinking perspectives development in programming learning: A mediation analysis among primary school students</t>
  </si>
  <si>
    <t>Computers in Human Behavior</t>
  </si>
  <si>
    <t>Exploring the evolution of two girls’ conceptions and practices in computational thinking in science</t>
  </si>
  <si>
    <t>146</t>
  </si>
  <si>
    <t>105</t>
  </si>
  <si>
    <t>Total general</t>
  </si>
  <si>
    <t>Total</t>
  </si>
  <si>
    <t>https://doi.org/10.4018/IJMBL.2021010104</t>
  </si>
  <si>
    <t>entry_type</t>
  </si>
  <si>
    <t>entry_key</t>
  </si>
  <si>
    <t>editor</t>
  </si>
  <si>
    <t>edition</t>
  </si>
  <si>
    <t>100491</t>
  </si>
  <si>
    <t>2212-8689</t>
  </si>
  <si>
    <t>https://doi.org/10.1016/j.ijcci.2022.100491</t>
  </si>
  <si>
    <t>https://www.sciencedirect.com/science/article/pii/S2212868922000241</t>
  </si>
  <si>
    <t>Deborah Silvis and Jody Clarke-Midura and Jessica F. Shumway and Victor R. Lee and Selendra Mullen</t>
  </si>
  <si>
    <t>Educational robotics, Child–robot interaction, Ethic of care, Classroom learning, Relationships, Feminist theory</t>
  </si>
  <si>
    <t>Computational thinking (CT) is receiving growing attention in educational contexts, where robot coding toys are becoming a widely available means of teaching and learning early computing. As the field of child–computer interaction continues to define what it means for young children to think computationally, much is unknown about the affective dimensions of children’s interactions with computers, for example how children care for materials like coding robots and how they establish social responsibility in computational environments. This paper examines these questions in the context of an early childhood coding curriculum designed to support CT in Kindergarten. Children’s talk and interactions with robots provide insight into how they were learning to care for and maintain robots when they malfunctioned. Drawing together feminist perspectives on computing, constructionism, and care, we develop a notion of a technological ethic of care and locate this in children’s early coding experiences. Through critical discourse analysis, we present two cases where groups of children interacted with each other, their teachers, and a robot called Cubetto, establishing forms of responsibility for technology. We argue that an ethic of care must be part of computational discourses in an era of climate change, where caring for technologies and keeping them in working order is key to sustainable socio-ecological relations.</t>
  </si>
  <si>
    <t>article</t>
  </si>
  <si>
    <t>SILVIS2022100491</t>
  </si>
  <si>
    <t>CT for equity: situating computational thinking, computer science, and social justice in a math and science teacher education program</t>
  </si>
  <si>
    <t>312-320</t>
  </si>
  <si>
    <t>https://doi.org/10.1016/B978-0-12-818630-5.13007-6</t>
  </si>
  <si>
    <t>https://www.sciencedirect.com/science/article/pii/B9780128186305130076</t>
  </si>
  <si>
    <t>Leticia Perez and Heather F. Clark and Roxana Hadad and Imelda Nava and Maureen Giannotti</t>
  </si>
  <si>
    <t>Computational thinking, Computer science, Pre-service programs, Professional development, Mathematics education, Science education, STEM education</t>
  </si>
  <si>
    <t>Teacher preparation programs currently struggle to (a) address the challenges preparing students to use computing principles, and (b) do so in ways that apply a critical lens toward societal inequities. In this paper, we describe our (1) integrated STEM and computational thinking (CT) teacher preparation program; (2) response to barriers educators face in preparing students to critically use computing principles; and (3) examples of the pedagogical practices teacher candidates developed through the program. We contribute an approach to preparing and empowering educators to support students understanding and use of CT as a lens for advocating for social justice in their lives.</t>
  </si>
  <si>
    <t>incollection</t>
  </si>
  <si>
    <t>PEREZ2023312</t>
  </si>
  <si>
    <t>Robert J Tierney and Fazal Rizvi and Kadriye Ercikan</t>
  </si>
  <si>
    <t>International Encyclopedia of Education (Fourth Edition)</t>
  </si>
  <si>
    <t>Elsevier</t>
  </si>
  <si>
    <t>Fourth Edition</t>
  </si>
  <si>
    <t>Oxford</t>
  </si>
  <si>
    <t>978-0-12-818629-9</t>
  </si>
  <si>
    <t>What FabLearn talks about when talking about reflection — A systematic literature review</t>
  </si>
  <si>
    <t>100256</t>
  </si>
  <si>
    <t>https://doi.org/10.1016/j.ijcci.2021.100256</t>
  </si>
  <si>
    <t>https://www.sciencedirect.com/science/article/pii/S2212868921000052</t>
  </si>
  <si>
    <t>Gökçe Elif Baykal and Maarten {Van Mechelen</t>
  </si>
  <si>
    <t>Reflection, Reflective practice, Computing, Design, Making, FabLab, FabLearn, Digital fabrication, Learning, Teaching</t>
  </si>
  <si>
    <t>FabLearn is a venue for researchers and practitioners within computing, design and making in education where reflective practices are an integral part. This paper presents a systematic literature review on the use of the term reflection in FabLearn research. With this review, we provide an answer to the questions (1) what reflection means in FabLearn research, (2) how these reflections are stimulated and scaffolded in practice (i.e., teachers/facilitators and students/participants), and (3) what types of concerns or subject matters take place in reflective practices. The review is conducted in FabLearn US and Europe proceedings between 2014–2019, and resulted in 68 papers included in the analysis. The findings show that FabLearn research need to develop solid theoretical groundings and frameworks as guidelines to scaffold students’ reflection, and more in-depth understanding of reflection to investigate and carry out a more comprehensive conceptualization of the term.</t>
  </si>
  <si>
    <t>BAYKAL2021100256</t>
  </si>
  <si>
    <t>Programming attitudes predict computational thinking: Analysis of differences in gender and programming experience</t>
  </si>
  <si>
    <t>Computers &amp; Education</t>
  </si>
  <si>
    <t>181</t>
  </si>
  <si>
    <t>104457</t>
  </si>
  <si>
    <t>0360-1315</t>
  </si>
  <si>
    <t>https://doi.org/10.1016/j.compedu.2022.104457</t>
  </si>
  <si>
    <t>https://www.sciencedirect.com/science/article/pii/S0360131522000288</t>
  </si>
  <si>
    <t>Lihui Sun and Linlin Hu and Danhua Zhou</t>
  </si>
  <si>
    <t>Computational thinking, Programming attitudes, Programming experience, Gender, Students, Junior high school</t>
  </si>
  <si>
    <t>Programming attitude has received increasing attention in programming and computational thinking (CT) education. However, at present, analysis remains scant on the correlation between students' programming attitudes and their CT skills, and less attention is paid to the influencing effects of gender and programming experience. This study first validated a newly developed programming attitudes scale (χ2/df = 2.308, RMSEA = 0.073, CFI = 0.925, TLI = 0.912) among 1180 seventh-grade students (12–13 years old). It then analyzed the relationship between students' programming attitudes and CT skills considering gender differences. Students' programming attitudes significantly predicted their CT skills. Girls have higher CT skills than boys, but their more negative programming attitudes may affect their continued skill development. Third, the relationship among programming experience, programming attitudes, and CT skills was discussed among the sample (N = 175) with programming experience, revealing that programming attitudes played an intermediary role between programming experience and CT skills. Two specific factors of programming experience (first time learning programming and programming learning duration) had differing effects on students' programming attitudes and CT skills. For programming attitudes, the grade in which students got started with programming had no effect on their programming attitudes, but programming attitudes rose with increased programming learning time. For CT, students who learned programming starting in second grade possessed the highest CT level. In addition, there is an inverted U-shaped curve between students' programming learning duration and CT skills, peaked at the fourth year of programming learning career. Implications for promoting junior high school students’ CT skills and their positive attitudes toward programming are also discussed.</t>
  </si>
  <si>
    <t>SUN2022104457</t>
  </si>
  <si>
    <t>Library &amp; Information Science Research</t>
  </si>
  <si>
    <t>101240</t>
  </si>
  <si>
    <t>0740-8188</t>
  </si>
  <si>
    <t>https://doi.org/10.1016/j.lisr.2023.101240</t>
  </si>
  <si>
    <t>https://www.sciencedirect.com/science/article/pii/S0740818823000166</t>
  </si>
  <si>
    <t>Nitzan Koren and David Weintrop and Mega Subramaniam</t>
  </si>
  <si>
    <t>Design-based implementation research, Assessment, Computational thinking, Public libraries, Methods paper</t>
  </si>
  <si>
    <t>Methodological innovations across social sciences are opening new avenues for conducting research designed to address real-world challenges. The benefits of utilizing the Design-Based Implementation Research (DBIR) approach in public libraries to resolve a persistent problem of practice, a lack of assessment tools to evaluate youth Computational Thinking (CT) programs, is demonstrated. Findings from a three-year, three-phased study utilizing the DBIR approach to design and implement a suite of assessment tools to assess CT programming in public libraries are presented. Guided by the four principles of the DBIR approach, this research produced new knowledge, including identifying CT program outcomes, challenges, and recommendations for designing and implementing assessment tools to measure the impact of public libraries' CT programming. Findings underscore the DBIR approach as a strategy for engaging with practitioners and helping shift their perspectives by resolving practice problems and facilitating the design of sustainable solutions.</t>
  </si>
  <si>
    <t>KOREN2023101240</t>
  </si>
  <si>
    <t>Exploring the Determinants of Artificial Intelligence (AI) Literacy: Digital Divide, Computational Thinking, Cognitive Absorption</t>
  </si>
  <si>
    <t>Telematics and Informatics</t>
  </si>
  <si>
    <t>83</t>
  </si>
  <si>
    <t>102026</t>
  </si>
  <si>
    <t>0736-5853</t>
  </si>
  <si>
    <t>https://doi.org/10.1016/j.tele.2023.102026</t>
  </si>
  <si>
    <t>https://www.sciencedirect.com/science/article/pii/S0736585323000904</t>
  </si>
  <si>
    <t>Ismail Celik</t>
  </si>
  <si>
    <t>AI Literacy, Digital Divide, Computational Thinking, Cognitive Absorption, ChatGPT</t>
  </si>
  <si>
    <t>To effectively utilize artificial intelligence (AI)-based technologies such as ChatGPT and realize their novel ethical issues, individuals must have a variety of knowledge and skills about AI. Such knowledge and skills have led to the emergence of AI literacy. Despite the importance of AI literacy in everyday life, little is known about its determinants. To better understand the determinants of AI literacy, we attempted to build a research model relying on previous research and different theoretical frameworks. The model incorporated digital divide, cognitive absorption, and computational thinking. As a major finding from the current study, computational thinking was found to be a significant determinant of AI literacy, which facilitate using, recognizing, and evaluating AI-based technologies. Moreover, we found out that individuals with physical access to information and communication technologies (ICTs) are more expected to use and recognize AI. Also, motivation and skills in using ICTs enable individuals to better evaluate the outcomes of AI-based technologies. The findings also showed that convenient access to ICTs contributes to a deep involvement with AI-based technologies in the use. Further, individuals with higher motivation and skills to use AI technologies are likely to have a pleasant experience after using these technologies.</t>
  </si>
  <si>
    <t>CELIK2023102026</t>
  </si>
  <si>
    <t>101340</t>
  </si>
  <si>
    <t>1871-1871</t>
  </si>
  <si>
    <t>https://doi.org/10.1016/j.tsc.2023.101340</t>
  </si>
  <si>
    <t>https://www.sciencedirect.com/science/article/pii/S1871187123001098</t>
  </si>
  <si>
    <t>Lihui Sun and Liang Zhou</t>
  </si>
  <si>
    <t>K-12, Computational thinking (CT) skills, Text-based programming, Instruction design, Meta-analysis</t>
  </si>
  <si>
    <t>Promoting computational thinking (CT) skills in programming activities has become a key issue in K-12 education, and the shift from visual to text-based programming is an inevitable trend in programming education. Although research on K-12 text-based programming to promote CT skills has been increasing, a literature review that systematically organizes and analyzes it has not yet emerged. Moreover, there are no uniform conclusions on how to design text-based programming activities to effectively promote students’ acquisition of CT skills. The purpose of this study was mainly to determine the effectiveness of using text-based programming to enhance K-12 students’ CT skills, to explore the effects of various text-based programming instructional design factors on CT skill acquisition, and to discuss the key issues and future development of text programming in the K-12 stage. In this study using the quantitative method of meta-analysis and the qualitative method of systematic literature review, 46 studies of text-based programming on K-12 students’ CT skills were retrieved, of which 19 empirical studies including 37 effects size met the inclusion criteria for the meta-analysis and were therefore used as a meta-analysis. The results showed that text-based programming improved the CT skills of K-12 students overall (Hedges’ g = 0.71, 95% CI [0.51, 0.90], p &lt; 0.01). No publication bias was detected. In addition, the results of the moderator analysis revealed that: 1) text programming had the greatest impact on computational thinking development in middle school students (g = 0.833, p = &lt;0.05); 2) the duration of text programming instruction had the most significant positive impact on students' CT at 16–20 weeks (g = 1.038, p &lt;0.05); 3) the moderating effect of different assessment tools on CT skills in text programming instruction The difference was statistically significant, and the test assessment method had a highly significant positive moderating effect on CT skills of students in grades K-12 (g = 1.005, p &lt; 0.05); 4) The moderating effect of different student sample sizes on students' computational thinking development was significantly different, and the implementation of text-based programming instruction had the most significant effect on students' CT improvement among students with sample sizes of 41 ∼ 60 (g = 0.921, p &lt; 0.05); 5) There were no significant differences in the effects of different text-based programming languages and learning environments on students' computational thinking.However, there are still barriers to developing instructional practices for text-based programming to foster CT in K-12 students, such as the highly abstract and complex syntax of text-based programming. This study found that the most critical issues that need to be addressed in current text-based programming to foster CT in K-12 students are the lack of student interest in text-based programming and the misconceptions that arise when students move from visual programming to text-based programming. To address these issues, future research could begin with improving teaching methods and increasing student motivation and interest. To address these issues, future research could begin with improving teaching methods and increasing students' motivation and interest.</t>
  </si>
  <si>
    <t>SUN2023101340</t>
  </si>
  <si>
    <t>Studying interrelations of computational thinking and creativity: A scoping review (2011–2020)</t>
  </si>
  <si>
    <t>176</t>
  </si>
  <si>
    <t>104353</t>
  </si>
  <si>
    <t>https://doi.org/10.1016/j.compedu.2021.104353</t>
  </si>
  <si>
    <t>https://www.sciencedirect.com/science/article/pii/S036013152100230X</t>
  </si>
  <si>
    <t>Rotem Israel-Fishelson and Arnon Hershkovitz</t>
  </si>
  <si>
    <t>Computational thinking, Creativity, Creative thinking, Scoping review</t>
  </si>
  <si>
    <t>Both computational thinking (CT) and creativity have been recognized as key skills for today's learners. Over the last decade, research of both skills in a single context has emerged. In this paper, we present a scoping review of 62 such empirical from 2011 to 2020. Our goal was to have a thorough understanding of the educational settings in which research on both CT and creativity was conducted, the theoretical foundations it has laid down, and the research tools used. Our findings indicate a geographical bias (dominance of the US and prominence of developed European countries), as well as a focus on secondary education and on STEM-related disciplines; this could be explained by the current situation of CT spread. We also found that when studying CT and creativity jointly, it is most common to define CT in a broader perspective than merely programming of computer science. Additionally, while creativity is largely referred to as product-related, CT is barely referred to as such. Taken together, our findings point out some gaps in the current research of CT and creativity and suggest how it should be expended on the fertile grounds of creativity, as the latter crosses geographical, age, and subject borders. Doing so may build a bridge between CT and creativity in a way that will benefit both.</t>
  </si>
  <si>
    <t>ISRAELFISHELSON2022104353</t>
  </si>
  <si>
    <t>Digital Equity and Computational Thinking Privilege: The Case of First-Year Engineering and Computing Students’ Attitudes towards Artificial Intelligence.</t>
  </si>
  <si>
    <t>Computers and Education: Artificial Intelligence</t>
  </si>
  <si>
    <t>100495</t>
  </si>
  <si>
    <t>2666-920X</t>
  </si>
  <si>
    <t>https://doi.org/10.1016/j.caeai.2025.100495</t>
  </si>
  <si>
    <t>https://www.sciencedirect.com/science/article/pii/S2666920X25001353</t>
  </si>
  <si>
    <t>Noemi V. {Mendoza Diaz</t>
  </si>
  <si>
    <t>Engineering and Computing Students, Enculturation, Artificial Intelligence Attitudes, Computational Thinking, Privilege, Digital Equity</t>
  </si>
  <si>
    <t>Attitudes can constitute barriers to engineering, computing, and artificial intelligence (AI) enculturation, contributing to and resulting from digital inequity. Building upon research on computational thinking privilege, we explored first-year students’ (a) perceived future impact of AI on their career prospects and (b) backgrounds (e.g., gender, underrepresented minority (URM) status, and First-Generation status) associated with their attitudes toward AI, computational thinking, and course performance. Computational thinking was measured using our newly validated Engineering Computational Thinking Diagnostic (ECTD), while course performance was assessed based on final grades in an introductory computing course at a Southwestern institution—the first coding experience for many students. For the fall 2021 participant cohort of 163 first-year engineering and computing students, 40.9% expressed positive attitudes toward AI in their career prospects, with 48.9% of them having prior computer science course experience. Regarding their backgrounds, the number of CS courses taken before college significantly correlated with their attitudes toward AI, ECTD scores, and course grades—irrespective of gender, URM status, residence, First-Generation, or First-Time-in-College status. These findings support the notion that computational thinking privilege, shaped by prior exposure and access to resources, contributes to digital inequity and influences attitudes. Specifically, students’ cognitive attitudes toward AI have the potential to shape AI literacy and education, potentially perpetuating inequities in an increasingly AI-driven world.</t>
  </si>
  <si>
    <t>MENDOZADIAZ2025100495</t>
  </si>
  <si>
    <t>A critical review of teaching and learning artificial intelligence (AI) literacy: Developing an intelligence-based AI literacy framework for primary school education</t>
  </si>
  <si>
    <t>100319</t>
  </si>
  <si>
    <t>https://doi.org/10.1016/j.caeai.2024.100319</t>
  </si>
  <si>
    <t>https://www.sciencedirect.com/science/article/pii/S2666920X2400122X</t>
  </si>
  <si>
    <t>Iris Heung {Yue Yim</t>
  </si>
  <si>
    <t>Artificial intelligence, AI literacy, Intelligence-based AI literacy framework, AI thinking, Primary school students, Systematic review, AI learning and teaching</t>
  </si>
  <si>
    <t>Artificial intelligence (AI) literacy education mainly targets secondary and university students, often overlooking the unique needs of younger students. This gap in AI literacy primary school education presents theoretical and pedagogical challenges. Despite the pervasive influence of AI, which can exacerbate inequalities and raise ethical challenges, primary students often lack an understanding of AI principles and mechanisms. Recent developments in age-appropriate AI learning tools have extended AI literacy to primary schools, but AI literacy frameworks for this age group remain underdeveloped. This study aims to conceptualize AI literacy by analyzing existing theoretical frameworks and proposing a new inclusive AI literacy framework for young students. A scoping review is employed using four credible index databases, and 19 articles are selected, with 17 AI literacy frameworks identified across all educational levels, from early childhood to university. This study reveals that the predominant methodologies for developing AI literacy frameworks involve empirical research studies and literature reviews, adhering to national government or institutional standards. These frameworks commonly incorporate 1) Bloom's taxonomy or a similar progression framework, such as Use-Create-Modify, 2) constructionism, and 3) computer science perspectives such as theories of computation. The findings reveal that AI literacy is situated at the intersection of digital literacy, data literacy, computational thinking, and AI ethics, emphasizing the need for a transdisciplinary and interdisciplinary approach that encompasses both technological and societal impacts. However, the study argues that the current paradigms of AI literacy frameworks for young students often emphasize constructionist perspectives without fully considering the interactions between human and technological agents. This gap highlights the necessity for a new conceptual framework that acknowledges both human and non-human agents in AI literacy education for young students. The research contributes by conceptualizing AI literacy and guiding policymakers and curriculum designers to implement holistic AI literacy education for young students.</t>
  </si>
  <si>
    <t>YUEYIM2024100319</t>
  </si>
  <si>
    <t>Assessing implicit computational thinking in Zoombinis puzzle gameplay</t>
  </si>
  <si>
    <t>106707</t>
  </si>
  <si>
    <t>0747-5632</t>
  </si>
  <si>
    <t>https://doi.org/10.1016/j.chb.2021.106707</t>
  </si>
  <si>
    <t>https://www.sciencedirect.com/science/article/pii/S0747563221000297</t>
  </si>
  <si>
    <t>Elizabeth Rowe and Ma Victoria Almeda and Jodi Asbell-Clarke and Richard Scruggs and Ryan Baker and Erin Bardar and Santiago Gasca</t>
  </si>
  <si>
    <t>Implicit learning, Computational thinking, Learning games, Classification algorithms</t>
  </si>
  <si>
    <t>There has been growing interest in assessing computational thinking (CT) across diverse learners beyond the traditional forms of tests and assignments. Learning games offer the potential for innovative, stealth assessments of students' implicit learning from gameplay behaviors. This paper reports on the measurement of implicit CT practices demonstrated by upper elementary- and middle-school students as they play the CT learning game Zoombinis. The process of using the gameplay log data to build valid automated detectors of students' implicit CT practices is discussed. Findings from this study provide implications for analyzing gameplay behaviors at scale, leading to the development of models for the assessment of implicit STEM learning.</t>
  </si>
  <si>
    <t>ROWE2021106707</t>
  </si>
  <si>
    <t>Teachers’ computational thinking content knowledge: Development of a measurement instrument</t>
  </si>
  <si>
    <t>225</t>
  </si>
  <si>
    <t>105181</t>
  </si>
  <si>
    <t>https://doi.org/10.1016/j.compedu.2024.105181</t>
  </si>
  <si>
    <t>https://www.sciencedirect.com/science/article/pii/S0360131524001957</t>
  </si>
  <si>
    <t>Sara Monteyne and Charlotte Struyve and Natacha Gesquière and Tom Neutens and Francis Wyffels and Johan {van Braak</t>
  </si>
  <si>
    <t>Evaluation methodologies, Secondary education, 21st century abilities</t>
  </si>
  <si>
    <t>Computational thinking has become an integral component of curricula worldwide, necessitating teachers to develop this competence in their students. To effectively meet these curricular requirements, teachers themselves need a solid foundation of computational thinking content knowledge, which refers to the understanding and skills they possess in this area. However, despite widespread recognition of this need, few studies have rigorously examined teachers' content knowledge in this domain. Addressing this gap requires the development of high-quality measurement tools. This study details the development of an instrument, created as part of the International Computer and Information Literacy Study (ICILS) 2023 in Flanders, to measure lower secondary school teachers' computational thinking content knowledge in a valid and reliable way. The article first outlines the construction process of the instrument, which involved close collaboration with experts in the field and drew upon the framework of Fraillon et al. (2023). Following this, the instrument's psychometric properties are presented, which include both item-level and overall instrument characteristics. These properties were evaluated using data from a sample of 352 participants, applying both Classical Test Theory and Item Response Theory. The final tool consists of sixteen multiple-choice and short constructed response questions. The results indicate favorable item and overall instrument characteristics, thereby affirming its potential to measure the intended construct in a valid and accurate way.</t>
  </si>
  <si>
    <t>MONTEYNE2025105181</t>
  </si>
  <si>
    <t>How games for computing education are evaluated? A systematic literature review</t>
  </si>
  <si>
    <t>107</t>
  </si>
  <si>
    <t>68-90</t>
  </si>
  <si>
    <t>https://doi.org/10.1016/j.compedu.2017.01.004</t>
  </si>
  <si>
    <t>https://www.sciencedirect.com/science/article/pii/S0360131517300040</t>
  </si>
  <si>
    <t>Giani Petri and Christiane {Gresse von Wangenheim</t>
  </si>
  <si>
    <t>Evaluation, Educational game, Computing education, Systematic literature review, Computer science</t>
  </si>
  <si>
    <t>Educational games are assumed to be an effective and efficient instructional strategy for computing education. However, it is essential to systematically evaluate such games in order to obtain sound evidence of their impact. Thus, the objective of this article is to present the state of the art on how games for computing education are evaluated. Therefore, we performed a systematic literature review of a sample of 3617 articles from which 112 relevant articles have been identified, describing 117 studies on the evaluation of games for computing education. Based on these studies we analyzed how evaluations are defined (the analysis factors evaluated, research designs, evaluation models/methods used, kind of data collection instruments, etc.), how they have been executed (sample size and replications) and analyzed (data analysis methods used). As a result, we can confirm that most evaluations use a simple research design in which, typically, the game is used and afterwards subjective feedback is collected via questionnaires from the learners. The majority of the evaluations are run with small samples, without replication, using mostly qualitative methods for data analysis. We also observed that most studies do not use a well-defined evaluation model or method. This shows that there is a need for more rigorous evaluations as well as methodological support in order to assist game creators and instructors to improve such games as well as to systematically support decisions on when or how to include them within instructional units.</t>
  </si>
  <si>
    <t>PETRI201768</t>
  </si>
  <si>
    <t>104222</t>
  </si>
  <si>
    <t>https://doi.org/10.1016/j.compedu.2021.104222</t>
  </si>
  <si>
    <t>https://www.sciencedirect.com/science/article/pii/S0360131521000993</t>
  </si>
  <si>
    <t>E. Relkin and L.E. {de Ruiter</t>
  </si>
  <si>
    <t>Computational thinking, Coding, Early childhood education, Unplugged assessment, Curriculum</t>
  </si>
  <si>
    <t>This longitudinal study examined changes in Computational Thinking (CT) skills in first and second grade students exposed to a developmentally appropriate coding curriculum. The “Coding as Another Language” (CAL) curriculum spans seven weeks and uses the KIBO robot to engage students in learning that integrates programming and literacy concepts. We compared children receiving CAL (N = 667) to a control group (N = 181) who participated in typical classroom activities without coding (No-CAL). TechCheck, a validated “unplugged” CT assessment suitable for young children regardless of their coding experience, was used to measure CT. Over the course of the study, children who received CAL-KIBO improved on TechCheck (Mchange = 0.94, p &lt; .001) whereas the No-CAL group did not change significantly (Mchange = 0.27, p = .07). Accounting for demographic factors, baseline performance and classroom (teacher) effects, CAL exposure was a significant predictor of post-test CT scores (p &lt; .01). Improvements in CT measured by TechCheck over seven weeks of the CAL-KIBO curriculum were consistent with approximately six months of development without coding instruction. Secondary analysis stratified by grade revealed decisive evidence that CAL exposure improved scores in first grade and anecdotal evidence that second grade scores improved. The CT domains that showed improvement in children who received CAL-KIBO included algorithms, modularity, and representation. Young children who learned to code improved in solving unplugged problems that were not explicitly taught in the coding curriculum. This provides evidence that a developmentally appropriate curriculum for teaching young children to code can accelerate their acquisition of CT skills.</t>
  </si>
  <si>
    <t>RELKIN2021104222</t>
  </si>
  <si>
    <t>Analysis of the relation between computational thinking skills and various variables with the structural equation model</t>
  </si>
  <si>
    <t>116</t>
  </si>
  <si>
    <t>191-202</t>
  </si>
  <si>
    <t>https://doi.org/10.1016/j.compedu.2017.09.004</t>
  </si>
  <si>
    <t>https://www.sciencedirect.com/science/article/pii/S0360131517302087</t>
  </si>
  <si>
    <t>Hatice Yildiz Durak and Mustafa Saritepeci</t>
  </si>
  <si>
    <t>Computational thinking, Evaluation methodologies, Media in education, Programming and programming languages, Secondary education</t>
  </si>
  <si>
    <t>The aim of this study is to determine how much various variables explain students' computational thinking (CT) skills. Furthermore, it was aimed to produce a model that explains and predicts the relations between computational thinking skills and various variables. Study group consists of 156 students who were studying in 5–12. Class in 2015–2016 academic year in different schools in Ankara. Relational screening model was used in this research. Two different data collection instruments were used in this research. The first one is “Personal Information Form”. The second one is “Computational Thinking Skills Scale”. Structural Equation Model was used in data analysis so as to produce a model that explains and predicts the relations between computational thinking skills and various variables. According to research results, it was found that computational thinking skill was highly predicted by variables, respectively; “thinking styles, academic success in mathematic class, attitude against mathematic class”.</t>
  </si>
  <si>
    <t>DURAK2018191</t>
  </si>
  <si>
    <t>Preparing inservice science teachers to bring unplugged computational thinking to their students</t>
  </si>
  <si>
    <t>Teaching and Teacher Education</t>
  </si>
  <si>
    <t>103904</t>
  </si>
  <si>
    <t>0742-051X</t>
  </si>
  <si>
    <t>https://doi.org/10.1016/j.tate.2022.103904</t>
  </si>
  <si>
    <t>https://www.sciencedirect.com/science/article/pii/S0742051X22002797</t>
  </si>
  <si>
    <t>Vance Kite and Soonhye Park</t>
  </si>
  <si>
    <t>Computational thinking, Computational thinking integration, Process-based computational thinking, Science education, Teacher professional development, Unplugged</t>
  </si>
  <si>
    <t>Computational thinking (CT) is critical for Twenty-first century life. Ensuring equitable access to CT depends on preparing teachers to integrate CT into disciplinary curricula. We report on the design, evaluation, and outcomes of the Computational Thinking Unplugged for Science (CT-UP-S) professional development program for inservice science teachers. Our process-based approach to CT significantly improved teachers CT understanding and CT/science integration self-efficacy by systematically linking CT practices to scaffold the generation of unplugged algorithms. Additionally, we found that the process-based approach provided a framework for teachers' lesson planning and that teachers’ content knowledge moderated their ability to write CT-integrated science lessons.</t>
  </si>
  <si>
    <t>KITE2022103904</t>
  </si>
  <si>
    <t>100388</t>
  </si>
  <si>
    <t>https://doi.org/10.1016/j.ijcci.2021.100388</t>
  </si>
  <si>
    <t>https://www.sciencedirect.com/science/article/pii/S2212868921000854</t>
  </si>
  <si>
    <t>Pascual D. Diago and José A. González-Calero and Dionisio F. Yáñez</t>
  </si>
  <si>
    <t>Educational robotics, Computational thinking, Mental rotation, Bee-bot, Elementary education, Tangible user interface</t>
  </si>
  <si>
    <t>Interest in educational robotics has increased over the last decade. Through various approaches, robots are being used in the teaching and learning of different subjects at distinct education levels. The present study investigates the effects of an educational robotic intervention on the mental rotation and computational thinking assessment in a 3rd grade classroom. To this end, we carried out a quasi-experimental study involving 24 third-grade students. From an embodied approach, we have designed a two-hour intervention providing students with a physical environment to perform tangible programming on Bee-bot. The results revealed that this educational robotic proposal aimed at map-reading tasks leads to statistically significant gains in computational thinking. Moreover, students who followed the Bee-bot-based intervention achieved greater CT level compared to students following a traditional instruction approach, after controlling student’s prior level. No conclusive results were found in relation to mental rotation.</t>
  </si>
  <si>
    <t>DIAGO2022100388</t>
  </si>
  <si>
    <t>A review of computational toys and kits for young children</t>
  </si>
  <si>
    <t>17-36</t>
  </si>
  <si>
    <t>https://doi.org/10.1016/j.ijcci.2019.04.001</t>
  </si>
  <si>
    <t>https://www.sciencedirect.com/science/article/pii/S2212868918300825</t>
  </si>
  <si>
    <t>Junnan Yu and Ricarose Roque</t>
  </si>
  <si>
    <t>Coding, Early childhood, Computational thinking</t>
  </si>
  <si>
    <t>This paper presents a review of computational toys and kits that enable young children (ages 7 years old and under) to explore computational ideas and practices. We collected 30 computational kits, including 13 physical kits, 8 virtual kits, and 9 hybrid kits, and performed a qualitative analysis of these kits. We examined the kits across four different perspectives: how they are designed, how they support children to explore computational concepts and practices, how they enable children to engage in a range of projects and activities, and how they enable children to explore other domains of knowledge. Based on the analysis, we present design suggestions and opportunities to expand the possibilities in what computational ideas and other domains of knowledge children can explore, how children can engage in computing, and what kinds of projects children can make. While many kits enable the exploration of some computational concepts and practices, we see opportunities to expand how these concepts can be supported, as well as the new concepts and domains children could explore. We also see possibilities to include new modes of expression such as body motion or new media such as light and sound. Finally, we see possibilities for whom designers can better support, such as more explicit roles for adult caregivers and expanding possibilities for children from underrepresented groups in computing. This qualitative study reveals the commonalities across existing kits and highlights ways for designers and researchers to expand the possibilities for children to create, explore, and play with computing.</t>
  </si>
  <si>
    <t>YU201917</t>
  </si>
  <si>
    <t>Advancing young students’ computational thinking: An investigation of structured curriculum in early years primary schooling</t>
  </si>
  <si>
    <t>216</t>
  </si>
  <si>
    <t>105045</t>
  </si>
  <si>
    <t>https://doi.org/10.1016/j.compedu.2024.105045</t>
  </si>
  <si>
    <t>https://www.sciencedirect.com/science/article/pii/S0360131524000599</t>
  </si>
  <si>
    <t>Garry Falloon</t>
  </si>
  <si>
    <t>Computational thinking, Coding, Kindergarten, Early years' education, Curriculum, Guided inquiry, Structured</t>
  </si>
  <si>
    <t>In recent years, the development of computational thinking (CT) has become integral to many school curricula worldwide. This has been associated with calls for computational thinking to be considered a ‘21St Century’ competency, valuable to all students as a transferable process for solving problems and building understanding of human behaviour and systems. However, while computational thinking is a focus of most secondary school computer science curricula, proponents such as Jeanette Wing argue its relevance for younger students, indicating more work must be done investigating its development in early years' education. This study used a structured, problem-based curriculum supported by guided inquiry pedagogy, to explore 6 year old students' learning of basic computational thinking concepts and practices while coding programmable floor robots (Blue-bots and an iPad app). Results indicated improvement across the seven lessons in students' sequencing/algorithm authoring, error correction, and pattern recognition. Furthermore, they revealed evidence of higher order thinking such as identifying patterns in code, and how these can be transferred to help solve problems of different designs. While currently play-based approaches are used to introduce computational thinking concepts and practices in early years' education, results from this study suggest that more structured, problem-based methods should be seriously considered. Results challenge commonly understood developmental theories about what young children can and can't do, contextualised within the field of computer science, and hold implications for early years' teachers' professional knowledge and pedagogy if they are to promote their students' learning in this increasingly important area. Given rapid technological advancements such as artificial intelligence (AI) and increasingly earlier exposure of young children to digitally-mediated information, this study provides support for the earlier and more systematic introduction of basic digital literacy knowledge and skills in early years' education.</t>
  </si>
  <si>
    <t>FALLOON2024105045</t>
  </si>
  <si>
    <t>Preschool children, robots, and computational thinking: A systematic review</t>
  </si>
  <si>
    <t>100337</t>
  </si>
  <si>
    <t>https://doi.org/10.1016/j.ijcci.2021.100337</t>
  </si>
  <si>
    <t>https://www.sciencedirect.com/science/article/pii/S2212868921000556</t>
  </si>
  <si>
    <t>Ewelina Bakala and Anaclara Gerosa and Juan Pablo Hourcade and Gonzalo Tejera</t>
  </si>
  <si>
    <t>Educational robotics, Computational thinking, Preschool</t>
  </si>
  <si>
    <t>We conducted a systematic review of empirical studies aimed at exploring robot-mediated activities to promote the development of computational thinking in preschoolers. In this study, we investigated the robots used, proposed activities, and evaluation processes. We also analyzed research contexts and the stated motivations to conduct the studies. Our review identified characteristics of the robots, such as input and output interfaces, cost, and availability. We also categorized activities considering context, modality of work, type of activities, duration, adults’ role, scaffolding, unplugged activities, explicit debugging, communication and sharing instances, and teaching knowledge from other domains. We analyzed the computational thinking evaluation process looking at types of assessments, asset concepts, and research design. This paper presents a comprehensive overview of existing research, identifies existing gaps, and provides recommendations for future studies.</t>
  </si>
  <si>
    <t>BAKALA2021100337</t>
  </si>
  <si>
    <t>Teachers’ perceptions of the barriers and drivers for the integration of Informatics in primary education</t>
  </si>
  <si>
    <t>208</t>
  </si>
  <si>
    <t>104939</t>
  </si>
  <si>
    <t>https://doi.org/10.1016/j.compedu.2023.104939</t>
  </si>
  <si>
    <t>https://www.sciencedirect.com/science/article/pii/S0360131523002166</t>
  </si>
  <si>
    <t>Gabrielė Stupurienė and Margarida Lucas and Pedro Bem-Haja</t>
  </si>
  <si>
    <t>Primary education, Teacher professional development, Thematic analysis, Network analysis, Informatics education</t>
  </si>
  <si>
    <t>A growing trend of integrating and teaching Informatics and Computational Thinking (CT) skills at primary education levels poses different challenges for teachers. Research demonstrates that it is challenging to introduce Informatics in schools without well-prepared teachers. In this paper, we examine Lithuanian teachers' perceptions of the barriers and drivers to integrate the renewed Informatics curricula in primary education and the relation between them. Fifteen semi-structured interviews were conducted with primary school teachers, and a mixed-methods approach was employed to analyze them. The results show that explicit guidelines for renewed curricula and motivation to learn Informatics are both identified as the main barriers and drivers for integrating Informatics. The study further highlights the critical role of resources, appropriate tools, and guidelines in facilitating the successful implementation of Informatics. The study provides knowledge that could, for instance, benefit teacher training programmes and help better understand how teachers can be better supported to meet current and future challenges.</t>
  </si>
  <si>
    <t>STUPURIENE2024104939</t>
  </si>
  <si>
    <t>Assessing changes in thinking about troubleshooting in physical computing: a clinical interview protocol with failure artifacts scenarios</t>
  </si>
  <si>
    <t>Information and Learning Sciences</t>
  </si>
  <si>
    <t>126</t>
  </si>
  <si>
    <t>286-312</t>
  </si>
  <si>
    <t>2398-5348</t>
  </si>
  <si>
    <t>https://doi.org/10.1108/ILS-06-2024-0075</t>
  </si>
  <si>
    <t>https://www.sciencedirect.com/science/article/pii/S2398534824000056</t>
  </si>
  <si>
    <t>Luis Morales-Navarro and Deborah Fields and Yasmin B. Kafai and Deepali Barapatre</t>
  </si>
  <si>
    <t>Debugging, Troubleshooting, Computer science education, Clinical interview, Assessment, Electronic textiles, Physical computing</t>
  </si>
  <si>
    <t>Purpose
The purpose of this paper is to examine how a clinical interview protocol with failure artifact scenarios can capture changes in high school students’ explanations of troubleshooting processes in physical computing activities. The authors focus on physical computing, as finding and fixing hardware and software bugs is a highly contextual practice that involves multiple interconnected domains and skills.
Design/methodology/approach
This paper developed and piloted a “failure artifact scenarios” clinical interview protocol. Youth were presented with buggy physical computing projects over video calls and asked for suggestions on how to fix them without having access to the actual project or its code. Authors applied this clinical interview protocol before and after an eight-week-long physical computing (more specifically, electronic textiles) unit. They analyzed matching pre- and post-interviews from 18 students at four different schools.
Findings
The findings demonstrate how the protocol can capture change in students’ thinking about troubleshooting by eliciting students’ explanations of specificity of domain knowledge of problems, multimodality of physical computing, iterative testing of failure artifact scenarios and concreteness of troubleshooting and problem-solving processes.
Originality/value
Beyond tests and surveys used to assess debugging, which traditionally focus on correctness or student beliefs, the “failure artifact scenarios” clinical interview protocol reveals student troubleshooting-related thinking processes when encountering buggy projects. As an assessment tool, it may be useful to evaluate the change and development of students’ abilities over time.</t>
  </si>
  <si>
    <t>MORALESNAVARRO2024286</t>
  </si>
  <si>
    <t>Dynamic interplays between self-regulated learning and computational thinking in primary school students through animations and worksheets</t>
  </si>
  <si>
    <t>220</t>
  </si>
  <si>
    <t>105126</t>
  </si>
  <si>
    <t>https://doi.org/10.1016/j.compedu.2024.105126</t>
  </si>
  <si>
    <t>https://www.sciencedirect.com/science/article/pii/S0360131524001404</t>
  </si>
  <si>
    <t>Siu-Cheung Kong and Yi-Qing Wang</t>
  </si>
  <si>
    <t>Cognitive development, Computational thinking, Mixed methods design, Reciprocal dynamics, Self-regulated learning</t>
  </si>
  <si>
    <t>Recent studies identify Self-Regulated Learning (SRL) as a key factor in enhancing cognitive development, particularly within Computational Thinking (CT) literature. However, research gaps remain in understanding how SRL and CT interact from a developmental perspective. Our study designed a program with tailored animations and worksheets to specifically foster students' learning and cognitive development. Using a mixed-methods approach, we administered surveys among 1235 students from 29 Hong Kong primary schools to investigate a dynamic learning system comprising SRL and CT in a large-scale CT program. Additionally, semi-structured interviews were conducted with 15 students to further probe insights. Quantitative findings revealed a mutually reinforcing relationship in the dynamic system, suggesting that higher SRL skills enhance cognitive CT abilities, and vice versa. Complementing these results, qualitative findings showed that integrating animations and worksheets into the CT program significantly boosted students' SRL and cognitive development. These findings have significant implications for educational practices and curriculum design. Schools should consider implementing SRL strategies, such as proactive goal setting and reflective evaluation, within their curricula to promote students’ cognitive development. Furthermore, strategic investments in educational technology, including collaborations with EdTech developers, are essential to create effective, pedagogically sound tools that enhance learning outcomes. These insights provide valuable guidance for creating a supportive SRL environment that fosters cognitive development in primary school education.</t>
  </si>
  <si>
    <t>KONG2024105126</t>
  </si>
  <si>
    <t>Understanding the use of physical computing in K-12 education: A systematic literature review</t>
  </si>
  <si>
    <t>Educational Research Review</t>
  </si>
  <si>
    <t>100705</t>
  </si>
  <si>
    <t>1747-938X</t>
  </si>
  <si>
    <t>https://doi.org/10.1016/j.edurev.2025.100705</t>
  </si>
  <si>
    <t>https://www.sciencedirect.com/science/article/pii/S1747938X25000429</t>
  </si>
  <si>
    <t>Katherine Vergara and Pedro O. Rossel and Valeria Herskovic</t>
  </si>
  <si>
    <t>Physical computing, K-12 education, Computer science, Systematic review</t>
  </si>
  <si>
    <t>Physical computing is a field that involves the use of sensors, actuators, and microcontrollers to build systems that interact with the environment. This approach has been used in education, particularly to teach computer science, programming, computational thinking, and design concepts. This systematic review explores the use of physical computing in K-12 education, with a focus on what educational interventions are like, how they are assessed, their effects, and how students experience them. We included 43 scientific studies that describe the methodology and assessment process used in the intervention. We found that physical computing interventions have three types of expected educational outcomes: to learn physical computing itself, to improve other learning outcomes, or to improve attitudinal variables. The interventions use a variety of educational methods to achieve their goals; as well as a variety of instruments to measure outcomes. A common lesson structure has emerged, widely adopted across classrooms, including a short lecture followed by a hands-on phase, usually including teamwork to foster collaboration. Further comparative and long-term studies are needed to understand how physical computing interventions affect students, especially those who are underrepresented.</t>
  </si>
  <si>
    <t>VERGARA2025100705</t>
  </si>
  <si>
    <t>Teaching and Learning Model for Artificial Intelligence Education</t>
  </si>
  <si>
    <t>Procedia Computer Science</t>
  </si>
  <si>
    <t>239</t>
  </si>
  <si>
    <t>226-233</t>
  </si>
  <si>
    <t>1877-0509</t>
  </si>
  <si>
    <t>https://doi.org/10.1016/j.procs.2024.06.166</t>
  </si>
  <si>
    <t>https://www.sciencedirect.com/science/article/pii/S1877050924014091</t>
  </si>
  <si>
    <t>Kil Hong Joo and Nam Hun Park</t>
  </si>
  <si>
    <t>Artificial intelligence education, Lower grades in elementary school</t>
  </si>
  <si>
    <t>AI education aims to nurture convergence talents equipped with various knowledge and AI capabilities. However, the educational programs developed so far are designed for less than 10 sessions. This is insufficient time for students to understand artificial intelligence algorithms, utilize the learned principles of artificial intelligence, and expand by converging with various knowledge. Since the developmental characteristics of students in the lower grades of elementary school are different, it is difficult to apply them as they are. Therefore, it is necessary to study the following AI education teaching and learning methods suitable for lower grade students. In this study, we develop a teaching system design model for artificial intelligence-based subject convergence education for elementary school students in the lower grades, and based on this, design and apply an artificial intelligence-based subject convergence education program. Experiments were conducted with 47 second-year elementary school students, and students’ responses were better in the AI-based convergence education program than in general subject classes in terms of interest, understanding, and expectations for classes.</t>
  </si>
  <si>
    <t>JOO2024226</t>
  </si>
  <si>
    <t>CENTERIS – International Conference on ENTERprise Information Systems / ProjMAN - International Conference on Project MANagement / HCist - International Conference on Health and Social Care Information Systems and Technologies 2023</t>
  </si>
  <si>
    <t>Exploring the computational thinking effects in pre-university education</t>
  </si>
  <si>
    <t>80</t>
  </si>
  <si>
    <t>407-411</t>
  </si>
  <si>
    <t>https://doi.org/10.1016/j.chb.2017.12.005</t>
  </si>
  <si>
    <t>https://www.sciencedirect.com/science/article/pii/S0747563217306854</t>
  </si>
  <si>
    <t>Francisco José García-Peñalvo and Antònio José Mendes</t>
  </si>
  <si>
    <t>Computational thinking, 21st century competences, Coding, Pre-university education</t>
  </si>
  <si>
    <t>Several countries have usually adopted several priorities for developing ICT competences from kindergarten to secondary education. Most of them are focused on the development of key competences and/or coding skills. Although coding may be very attractive for young students and a very good practice or experience, it could be more interesting to develop students' logical thinking skills and problem-solving skills throughout programming approaches or computational thinking. This is a very exciting challenge with lots of possibilities regarding coding, robots, mobiles devices, Arduino-based application, game-based learning and so on. Thus, it is very important to explore the effect that these experiences have been taking into the pre-university students, both at primary and secondary education, with a special focus on the computational thinking as one of the components inside the toolbox to develop a reflexive and critical education in order to help children to solve problems using the technology with which they will live daily.</t>
  </si>
  <si>
    <t>GARCIAPENALVO2018407</t>
  </si>
  <si>
    <t>Coding activities for children: Coupling eye-tracking with qualitative data to investigate gender differences</t>
  </si>
  <si>
    <t>105939</t>
  </si>
  <si>
    <t>https://doi.org/10.1016/j.chb.2019.03.003</t>
  </si>
  <si>
    <t>https://www.sciencedirect.com/science/article/pii/S0747563219300950</t>
  </si>
  <si>
    <t>Sofia Papavlasopoulou and Kshitij Sharma and Michail N. Giannakos</t>
  </si>
  <si>
    <t>Coding, Computational thinking, Eye-tracking, Gender differences, Learning strategies</t>
  </si>
  <si>
    <t>Computational thinking and coding are becoming an integral part of K-12 education, with female students being underrepresented in such subjects. The proliferation of technological tools and programming environments offers the opportunity for creative coding activities for children and increases the need for appropriate instructional practices. In this study, we design and evaluate a coding workshop for children. Our goal is to examine differences between boys and girls using eye-tracking as an objective measure and triangulating the findings with qualitative data coming from children's interviews. The results show no statistically significant difference between female and male gaze and learning gain during the coding activity; interestingly, the qualitative data show differences in the strategies and implemented practices during coding, and in perceptions about those coding activities. Our results highlight that further studies need to utilize objective measures and unveil necessary differences in the design and implementation of coding activities. Furthermore, our results provide objective evidence that female students do not lack in competences compared to boys, but simply that they have a different approach during coding activities and different perspectives about coding, an approach that needs to be cultivated and nurtured.</t>
  </si>
  <si>
    <t>PAPAVLASOPOULOU2020105939</t>
  </si>
  <si>
    <t>Introducing computational thinking to second and third graders. Programming whole paths outperforms step-by-step navigation in maze tasks</t>
  </si>
  <si>
    <t>100260</t>
  </si>
  <si>
    <t>2666-5573</t>
  </si>
  <si>
    <t>https://doi.org/10.1016/j.caeo.2025.100260</t>
  </si>
  <si>
    <t>https://www.sciencedirect.com/science/article/pii/S2666557325000199</t>
  </si>
  <si>
    <t>Frank Reinhold and Priska Sprenger and Gunnar Staniczek</t>
  </si>
  <si>
    <t>Computational thinking, Maze task, Algorithmicizing, Programming, Sequencing, Primary education</t>
  </si>
  <si>
    <t>Computational Thinking (CT) has been considered one of the 21st century skills that already primary school students should develop. In this study we compared different methods for guiding a real object through a training maze task to teach N = 70 second and third graders basic computational thinking concepts, i.e., basic directions and sequences. Students in the experimental condition used the LEGO® Education SPIKE™ Essential-Set and Scratch-based icon blocks software to navigate a maze, while the control group used regular LEGO®-Sets and verbal commands. Results supported our hypotheses: Students in the experimental condition outperformed those in the control condition, produced longer sequences and more sequence commands to direct their object through the maze, and a positive relationship was observed between sequence length and posttest performance. Furthermore, mediation analysis revealed that the effect of the intervention on posttest achievement was influenced by the use of longer sequences. Our study underpins that Scratch-based block programming combined with robot-like real-world devices is a promising way to utilize CT in (early) primary education—and deepens our knowledge about how students engage in relevant learning activities.</t>
  </si>
  <si>
    <t>REINHOLD2025100260</t>
  </si>
  <si>
    <t>Developing young children's computational thinking with educational robotics: An interaction effect between gender and scaffolding strategy</t>
  </si>
  <si>
    <t>105954</t>
  </si>
  <si>
    <t>https://doi.org/10.1016/j.chb.2019.03.018</t>
  </si>
  <si>
    <t>https://www.sciencedirect.com/science/article/pii/S0747563219301104</t>
  </si>
  <si>
    <t>Charoula Angeli and Nicos Valanides</t>
  </si>
  <si>
    <t>Computational thinking, Spatial relations, Scaffolding, Pre-primary school children, Educational robotics, Bee-Bot</t>
  </si>
  <si>
    <t>The study examined the effects of learning with the Bee-Bot on young boys' and girls' computational thinking within the context of two scaffolding techniques. The study reports statistically significant learning gains between the initial and final assessment of children's computational thinking skills. Also, according to the findings, while both boys and girls benefited from the scaffolding techniques, a statistically significant interaction effect was detected between gender and scaffolding strategy showing that boys benefited more from the individualistic, kinesthetic, spatially-oriented, and manipulative-based activity with the cards, while girls benefited more from the collaborative writing activity. In regards to the children's problem-solving strategies during debugging, the results showed that the majority of them used decomposition as a strategy to deal with the complexity of the task. These results are important, because they show that children at this very young age are able to cope with the complexity of a learning task by decomposing it into a number of subtasks that are easier for them to tackle. The research contributes to the body of knowledge about the teaching of computational thinking. In addition, the study has practical significance for curriculum developers, instructional leaders, and classroom teachers, as they can use the results of this study to design curricula and classroom activities with a focus on the broader set of computational thinking skills, and not only coding.</t>
  </si>
  <si>
    <t>ANGELI2020105954</t>
  </si>
  <si>
    <t>Which cognitive abilities underlie computational thinking? Criterion validity of the Computational Thinking Test</t>
  </si>
  <si>
    <t>678-691</t>
  </si>
  <si>
    <t>https://doi.org/10.1016/j.chb.2016.08.047</t>
  </si>
  <si>
    <t>https://www.sciencedirect.com/science/article/pii/S0747563216306185</t>
  </si>
  <si>
    <t>Marcos Román-González and Juan-Carlos Pérez-González and Carmen Jiménez-Fernández</t>
  </si>
  <si>
    <t>Computational thinking, Computational Thinking Test, Code literacy, Computer science education, Cognitive abilities, Cognitive assessment, Educational psychology, Primary education, Secondary education</t>
  </si>
  <si>
    <t>Computational thinking (CT) is being located at the focus of educational innovation, as a set of problem-solving skills that must be acquired by the new generations of students to thrive in a digital world full of objects driven by software. However, there is still no consensus on a CT definition or how to measure it. In response, we attempt to address both issues from a psychometric approach. On the one hand, a Computational Thinking Test (CTt) is administered on a sample of 1,251 Spanish students from 5th to 10th grade, so its descriptive statistics and reliability are reported in this paper. On the second hand, the criterion validity of the CTt is studied with respect to other standardized psychological tests: the Primary Mental Abilities (PMA) battery, and the RP30 problem-solving test. Thus, it is intended to provide a new instrument for CT measurement and additionally give evidence of the nature of CT through its associations with key related psychological constructs. Results show statistically significant correlations at least moderately intense between CT and: spatial ability (r = 0.44), reasoning ability (r = 0.44), and problem-solving ability (r = 0.67). These results are consistent with recent theoretical proposals linking CT to some components of the Cattel-Horn-Carroll (CHC) model of intelligence, and corroborate the conceptualization of CT as a problem-solving ability.</t>
  </si>
  <si>
    <t>ROMANGONZALEZ2017678</t>
  </si>
  <si>
    <t>Enhancing computational thinking in early childhood education with educational robotics: A meta-analysis</t>
  </si>
  <si>
    <t>Heliyon</t>
  </si>
  <si>
    <t>e33249</t>
  </si>
  <si>
    <t>2405-8440</t>
  </si>
  <si>
    <t>https://doi.org/10.1016/j.heliyon.2024.e33249</t>
  </si>
  <si>
    <t>https://www.sciencedirect.com/science/article/pii/S2405844024092806</t>
  </si>
  <si>
    <t>Santiago Alonso-García and Antonio-Vicente {Rodríguez Fuentes</t>
  </si>
  <si>
    <t>Computational thinking, Preschool education, Robotics, Technology education, Meta-analysis</t>
  </si>
  <si>
    <t>This paper deals within a context where technology plays a pivotal role in education. In this sense, it is essential to highlight the emergence of new competencies and skills in education due to technological advancements. Legislative frameworks have been developed to incorporate digital literacy, access to robotics, and computational thinking, between others. Hence, this review and meta-analysis aim at identifying the influence of robotics activities on computational thinking through a PRISMA-guided review. The findings reveal that interventions conducted in early childhood education significantly impact computational thinking. Results also showcase that, despite perceived barriers related to technology accessibility, the presence of legislation and contexts prioritizing these competencies is more relevant than the digital access gap.</t>
  </si>
  <si>
    <t>ALONSOGARCIA2024e33249</t>
  </si>
  <si>
    <t>Coding as a playground: Promoting positive learning experiences in childhood classrooms</t>
  </si>
  <si>
    <t>138</t>
  </si>
  <si>
    <t>130-145</t>
  </si>
  <si>
    <t>https://doi.org/10.1016/j.compedu.2019.04.013</t>
  </si>
  <si>
    <t>https://www.sciencedirect.com/science/article/pii/S0360131519300995</t>
  </si>
  <si>
    <t>Marina U. Bers and Carina González-González and Mª Belén Armas–Torres</t>
  </si>
  <si>
    <t>Cooperative/collaborative learning, Teaching/learning strategies, Improving classroom teaching, Elementary education</t>
  </si>
  <si>
    <t>In recent years, there has been a push to introduce coding and computational thinking in early childhood education, and robotics is an excellent tool to achieve this. However, the integration of these fundamental skills into formal and official curriculums is still a challenge and educators needs pedagogical perspectives to properly integrate robotics, coding and computational thinking concepts into their classrooms. Thus, this study evaluates a “coding as a playground” experience in keeping with the Positive Technological Development (PTD) framework with the KIBO robotics kit, specially designed for young children. The research was conducted with preschool children aged 3–5 years old (N = 172) from three Spanish early childhood centers with different socio-economic characteristics and teachers of 16 classes. Results confirm that it is possible to start teaching this new literacy very early (at 3 years old). Furthermore, the results show that the strategies used promoted communication, collaboration and creativity in the classroom settings. The teachers also exhibited autonomy and confidence to integrate coding and computational thinking into their formal curricular activities, connecting concepts with art, music and social studies. Through the evidence found in this study, this research contributes with examples of effective strategies to introduce robotics, coding and computational thinking into early childhood classrooms.</t>
  </si>
  <si>
    <t>BERS2019130</t>
  </si>
  <si>
    <t>Mesurer l’acquisition de la pensée informatique : conception et validation de deux instruments</t>
  </si>
  <si>
    <t>European Review of Applied Psychology</t>
  </si>
  <si>
    <t>75</t>
  </si>
  <si>
    <t>101116</t>
  </si>
  <si>
    <t>1162-9088</t>
  </si>
  <si>
    <t>https://doi.org/10.1016/j.erap.2025.101116</t>
  </si>
  <si>
    <t>https://www.sciencedirect.com/science/article/pii/S1162908825000519</t>
  </si>
  <si>
    <t>K. Sigayret and A. Tricot and N. Blanc</t>
  </si>
  <si>
    <t>Programmation, Pensée informatique, Évaluation, Concepts computationnels, Algorithmique, Programming, Computational thinking, Evaluation, Computational concepts, Algorithmic</t>
  </si>
  <si>
    <t>Résumé
Introduction
L’apprentissage de la programmation et le développement de la pensée informatique font désormais partie des objectifs pédagogiques dans de nombreux systèmes scolaires à travers le monde. Toutefois, l’absence de consensus sur la définition de la pensée informatique complique l’évaluation de son acquisition en contexte scolaire.
Objectif
Cet article vise à proposer deux instruments d’évaluation de la pensée informatique adaptés au contexte scolaire francophone, en distinguant clairement deux dimensions fondamentales : la maîtrise des concepts de programmation et la capacité à résoudre des problèmes algorithmiques.
Méthode
Deux tests ont été conçus, le Test de Maîtrise des Concepts Computationnels, centré sur la connaissance des concepts de programmation, et le Test d’Algorithmique, évaluant la capacité à résoudre des problèmes algorithmiques. Ces instruments ont été développés en français et validés à l’aide d’analyses psychométriques.
Résultats
Les résultats montrent que les deux tests présentent de bonnes propriétés psychométriques, tant en termes de fiabilité que de validité.
Conclusion
Ces deux instruments offrent une alternative pertinente aux outils existants, souvent peu adaptés aux contextes francophones ou trop exigeants en durée de passation. Ils peuvent contribuer à une évaluation plus fine de la pensée informatique dans le contexte scolaire.
Introduction
The learning of programming and the development of computational thinking are now part of the educational objectives in many school systems around the world. However, the lack of consensus on the definition of computational thinking complicates the assessment of its acquisition in a school context.
Objective
The aim of this article is to propose two assessment instruments for computational thinking adapted to the French-speaking school context, with a clear distinction between two fundamental dimensions: mastery of programming concepts and the ability to solve algorithmic problems.
Method
Two tests were designed: the Mastery of Computational Concepts Test, focusing on knowledge of programming concepts, and the Algorithmic Test, assessing the ability to solve algorithmic problems. These instruments were developed in French and validated using psychometric analyses.
Results
Both tests were found to have good psychometric properties, both in terms of reliability and validity.
Conclusion
These two instruments offer a relevant alternative to existing tools, which are often ill-suited to French-speaking contexts or too demanding in terms of test-taking time. They can contribute to a more refined assessment of computational thinking in the school context.</t>
  </si>
  <si>
    <t>SIGAYRET2025101116</t>
  </si>
  <si>
    <t>The development of students’ computational thinking practices in elementary- and middle-school classes using the learning game, Zoombinis</t>
  </si>
  <si>
    <t>115</t>
  </si>
  <si>
    <t>106587</t>
  </si>
  <si>
    <t>https://doi.org/10.1016/j.chb.2020.106587</t>
  </si>
  <si>
    <t>https://www.sciencedirect.com/science/article/pii/S0747563220303344</t>
  </si>
  <si>
    <t>J. Asbell-Clarke and E. Rowe and V. Almeda and T. Edwards and E. Bardar and S. Gasca and R.S. Baker and R. Scruggs</t>
  </si>
  <si>
    <t>Computational thinking, Assessment, Game-based learning</t>
  </si>
  <si>
    <t>This paper reports on a research study of 45 classes in US schools (grades 3–8) using Zoombinis, a popular Computational Thinking (CT) learning game for ages 8 to adult. The study examined the relationship among student gameplay, related classroom activity, and the development of students’ CT practices in Zoombinis classes. A combination of research methods, including educational data-mining on game data logs, cluster analysis on teacher logs of classroom activity, and multilevel modeling, was used to determine the impact of the duration and nature of student gameplay, as well as the extent and nature of classroom activity, on student CT practices. Automated detectors of gameplay CT practices built for this research were significant predictors of external post-assessment scores, and thus show promise as implicit assessments of CT practices within gameplay. Students with high duration of gameplay and high gameplay CT practices scored highest on external post-assessment of CT practices, when accounting for pre-assessment scores. This research suggests that Zoombinis is an effective CT learning tool and CT assessment tool for elementary- and middle-school students.</t>
  </si>
  <si>
    <t>ASBELLCLARKE2021106587</t>
  </si>
  <si>
    <t>100043</t>
  </si>
  <si>
    <t>https://doi.org/10.1016/j.caeo.2021.100043</t>
  </si>
  <si>
    <t>https://www.sciencedirect.com/science/article/pii/S2666557321000148</t>
  </si>
  <si>
    <t>Anaclara Gerosa and Víctor Koleszar and Gonzalo Tejera and Leonel Gómez-Sena and Alejandra Carboni</t>
  </si>
  <si>
    <t>21 century abilities, Early years education</t>
  </si>
  <si>
    <t>Computational thinking (CT) is currently used as an umbrella term in education to describe the processes associated with learning and applying computer science concepts and strategies for problem-solving. Despite a growing body of literature on the subject within education and the development of a grand variety of tools designed to enhance computational thinking abilities, the relations between CT and other cognitive abilities have not been reported in young children. Understanding CT from a cognitive development perspective could be useful for creating targeted interventions tailored for young children. In the present study, we compare a previously reported computational thinking assessment with a battery of nine cognitive tests, which include fluid intelligence, working memory, planning, sequencing, mental rotation, vocabulary, and early math precursors such as numerical transcoding and symbolic magnitude comparison. Mixed-effects linear regressions were implemented with CT as a dependent variable to explore the associations between our variables. A subsample of children who participated in an educational robotics intervention were assessed in their robot programming performance, and its outcomes were compared with their CT assessments. Results suggest temporal sequencing ability and symbolic magnitude comparison are significant predictors of CT in kindergarten. Positive significant associations between robot programming and CT performance are reported.</t>
  </si>
  <si>
    <t>GEROSA2021100043</t>
  </si>
  <si>
    <t>Supporting interest development in gifted software education through computational thinking and project-based learning</t>
  </si>
  <si>
    <t>100282</t>
  </si>
  <si>
    <t>https://doi.org/10.1016/j.caeo.2025.100282</t>
  </si>
  <si>
    <t>https://www.sciencedirect.com/science/article/pii/S2666557325000412</t>
  </si>
  <si>
    <t>Hongwon Jeong</t>
  </si>
  <si>
    <t>Computational thinking, Project-based learning, Interest development, Software gifted education, Experiential learning, Educational framework</t>
  </si>
  <si>
    <t>This study developed and validated a Computational Thinking-Project Based Learning (CT-PBL) framework to foster sustained interest in software education among software (SW) gifted students. Despite rapid expansion of SW gifted programs in South Korea, maintaining student interest remains a critical challenge. The framework integrates Dewey's experiential learning theory with Hidi and Renninger's four-phase interest development model to systematically support students' progression from situational to individual interest while developing computational thinking competencies. The framework was developed through systematic literature analysis, expert review, and field practitioner validation, demonstrating strong content validity. External validation employed a quasi-experimental design with 16 SW gifted classes over 12 weeks. The experimental group showed significant improvements across all interest development stages compared to the control group. The CT-PBL framework contributes to both theory and practice by empirically validating interest development in computational thinking contexts and providing immediately implementable tools including a structured 12-week protocol, teacher guide, and student portfolio system. These findings have important implications for educational programs aiming to foster both technical competence and sustained engagement. While acknowledging limitations related to the Korean educational context and quasi-experimental design, this study provides a robust foundation for nurturing future digital innovators through interest-driven computational thinking education.</t>
  </si>
  <si>
    <t>JEONG2025100282</t>
  </si>
  <si>
    <t>A cognitive definition of computational thinking in primary education</t>
  </si>
  <si>
    <t>179</t>
  </si>
  <si>
    <t>104425</t>
  </si>
  <si>
    <t>https://doi.org/10.1016/j.compedu.2021.104425</t>
  </si>
  <si>
    <t>https://www.sciencedirect.com/science/article/pii/S036013152100302X</t>
  </si>
  <si>
    <t>Katerina Tsarava and Korbinian Moeller and Marcos Román-González and Jessika Golle and Luzia Leifheit and Martin V. Butz and Manuel Ninaus</t>
  </si>
  <si>
    <t>21st century abilities, Elementary education</t>
  </si>
  <si>
    <t>There is increasing effort to integrate Computational Thinking (CT) curricula across all education levels. Therefore, research on CT assessment has lately progressed towards developing and validating reliable CT assessment tools, which are crucial for evaluating students' potential learning progress and thus the effectiveness of suggested curricular programs. Several CT assessment tools were developed for elementary, high-school, and university students over the last years. Moreover, associations between CT scores and other cognitive abilities were unraveled. However, studies on the topic in primary school level are scarce. Like the general concept of intelligence, CT remains broadly defined as the ability to combine algorithmic operations to form complex solutions in order to solve problems effectively, utilizing concepts of computer science with or without the use of computers. In this study, we aimed at specifying a cognitive definition of CT, focusing on the under-investigated population of primary school children. Since validated assessment tools for this age group were not available, we adapted a validated CT test, which was initially designed for middle school students. In our study participated 192 third and fourth graders. The analyses revealed promising results on the reliability of the adapted CT assessment for primary school students. Moreover, findings indicated CT's positive associations with i. complex numerical abilities, ii. verbal reasoning abilities, and iii. non-verbal visuospatial abilities. Our results indicate similarities but also differences in associations of CT with other cognitive abilities in primary school children compared to other age groups. In summary: i. numerical abilities seem to associate with CT at the primary school level, whereas this seems not the case later on in education, ii. verbal abilities seem to associate with CT both along primary and secondary education levels, and iii. non-verbal reasoning abilities seem to associate with CT from primary education level to the university level and beyond. These differences imply that several basic cognitive abilities support CT abilities and CT development differentially across ages.</t>
  </si>
  <si>
    <t>TSARAVA2022104425</t>
  </si>
  <si>
    <t>Enhancing Computational Thinking Capability of Preschool Children by Game-based Smart Toys</t>
  </si>
  <si>
    <t>Electronic Commerce Research and Applications</t>
  </si>
  <si>
    <t>101011</t>
  </si>
  <si>
    <t>1567-4223</t>
  </si>
  <si>
    <t>https://doi.org/10.1016/j.elerap.2020.101011</t>
  </si>
  <si>
    <t>https://www.sciencedirect.com/science/article/pii/S1567422320300880</t>
  </si>
  <si>
    <t>Szu-Yin Lin and Shih-Yi Chien and Chia-Lin Hsiao and Chih-Hsien Hsia and Kuo-Ming Chao</t>
  </si>
  <si>
    <t>Cognitive development of children, Computational thinking, Game-based learning, Tangible user interface, Smart toys</t>
  </si>
  <si>
    <t>Computational thinking has become an important issue in the field of education. Because preschool and kindergarten learners are capable of exercising their cognitive abilities to resolve basic computational logic, this demographic has raised significant interest in studying their learning intentions and behaviors. However, prior research fails to examine the effects of teaching computational logic to kindergarten children. Therefore, this study aims to investigate the influences of teaching approaches in guiding preschool children to learn computational logic and programming concepts to enhance their problem-solving skills as well as computational thinking abilities. A novel teaching framework is designed to develop the learner’s cognitive abilities, which adopts the smart toy game-based learning approach along with a tangible user interface (TUI) to enhance children’s learning performance and interests. The proposed teaching approach integrates the game-based learning concepts into the TUI system, where the learning processes allow the learners to effectively practice the conceptual knowledge and efficiently advance their problem-solving skills. The results suggest using the developed game-based TUI system can increase preschool children’s learning behaviors as well as enhance their learning interests and computational thinking abilities.</t>
  </si>
  <si>
    <t>LIN2020101011</t>
  </si>
  <si>
    <t>The CT-cube: A framework for the design and the assessment of computational thinking activities</t>
  </si>
  <si>
    <t>Computers in Human Behavior Reports</t>
  </si>
  <si>
    <t>100166</t>
  </si>
  <si>
    <t>2451-9588</t>
  </si>
  <si>
    <t>https://doi.org/10.1016/j.chbr.2021.100166</t>
  </si>
  <si>
    <t>https://www.sciencedirect.com/science/article/pii/S2451958821001147</t>
  </si>
  <si>
    <t>Alberto Piatti and Giorgia Adorni and Laila El-Hamamsy and Lucio Negrini and Dorit Assaf and Luca Gambardella and Francesco Mondada</t>
  </si>
  <si>
    <t>Computational thinking, Algorithmic skills development, Assessment, K-12, Situated cognition</t>
  </si>
  <si>
    <t>Computational thinking is a fundamental competence that is being introduced in K-12 and succeeding curricula worldwide. Despite this huge effort, many computational thinking models in the literature do not explicitly take into consideration the pupils’ age and the developmental nature of computational thinking skills. Furthermore, many existing computational thinking models are focused on the internal thinking processes of the individuals, failing to explicitly consider the situated nature, in terms of social context and artefactual environment, that usually characterise tasks that require computational thinking to be solved. In this paper, we present a framework for the design, realisation, analysis, and assessment of computational thinking activities, called CT-cube. The CT-cube allows to extend existing computational thinking models to consider the life-long development of computational thinking skills in individuals, from childhood to adult age, and to take into consideration the situated nature of computational thinking activities. We use the CT-cube to design an unplugged task, called Cross Array Task (CAT), allowing to assess the algorithmic skills of K-12 pupils and we show how the CT-cube can be used in this case to illustrate the development of this competence along the entire compulsory school path, considering a sample of 109 pupil aged 3 to 16 in Switzerland.</t>
  </si>
  <si>
    <t>PIATTI2022100166</t>
  </si>
  <si>
    <t>Development and validation of the Computer Science Attitudes Scale for middle school students (MG-CS attitudes)</t>
  </si>
  <si>
    <t>100018</t>
  </si>
  <si>
    <t>https://doi.org/10.1016/j.chbr.2020.100018</t>
  </si>
  <si>
    <t>https://www.sciencedirect.com/science/article/pii/S245195882030018X</t>
  </si>
  <si>
    <t>Arif Rachmatullah and Eric Wiebe and Danielle Boulden and Bradford Mott and Kristy Boyer and James Lester</t>
  </si>
  <si>
    <t>computer Science attitudes, Invariance test, Scale validation, Secondary education</t>
  </si>
  <si>
    <t>Primary and secondary students’ exposure to computer science-related activities in school has been steadily increasing, heightening the need for valid measures regarding impact of these activities on students. This study reports on the development and validation process of an instrument to measure students’ affective state as it relates to computer science in an academic setting. The self-report instrument, Computer Science Attitudes Scale for middle school students (MG-CS Attitudes), was developed based upon expectancy-value theory, which assumes two attitudinal constructs: self-efficacy and outcome expectancy. A set of ten initial items was administered to 663 middle-grade students from sixth to eighth grade (11–13 years of age). A combination of classical test theory and item response theory approaches were used to evaluate and validate the instrument using well-established construct validity frameworks to guide the process, leading to nine final items. The multi-stage validation process has resulted in a robust, well-functioning instrument, which can be used by researchers and evaluators to study CS-related educational interventions.</t>
  </si>
  <si>
    <t>RACHMATULLAH2020100018</t>
  </si>
  <si>
    <t>Teachers’ goals predict computational thinking gains in robotics</t>
  </si>
  <si>
    <t>308-326</t>
  </si>
  <si>
    <t>https://doi.org/10.1108/ILS-05-2018-0035</t>
  </si>
  <si>
    <t>https://www.sciencedirect.com/science/article/pii/S239853481900007X</t>
  </si>
  <si>
    <t>Eben B. Witherspoon and Christian D. Schunn</t>
  </si>
  <si>
    <t>Purpose
Computational thinking (CT) is widely considered to be an important component of teaching generalizable computer science skills to all students in a range of learning environments, including robotics. However, despite advances in the design of robotics curricula that can teach CT, actual enactment in classrooms may often fail to reach this target. This study aims to understand whether the various instructional goals teachers’ hold when using these curricula may offer one potential explanation for disparities in outcomes.
Design/methodology/approach
In this study, the authors examine results from N = 206 middle-school students’ pre- and post-tests of CT, attitudinal surveys and surveys of their teacher’s instructional goals to determine if student attitudes and learning gains in CT are related to the instructional goals their teachers endorsed while implementing a shared robotics programming curriculum.
Findings
The findings provide evidence that despite using the same curriculum, students showed differential learning gains on the CT assessment when in classrooms with teachers who rated CT as a more important instructional goal; these effects were particularly strong for women. Students in classroom with teachers who rated CT more highly also showed greater maintenance of positive attitudes toward programming.
Originality/value
While there is a growing body of literature regarding curricular interventions that provide CT learning opportunities, this study provides a critical insight into the role that teachers may play as a potential support or barrier to the success of these curricula. Implications for the design of professional development and teacher educative materials that attend to teachers’ instructional goals are discussed.</t>
  </si>
  <si>
    <t>WITHERSPOON2019308</t>
  </si>
  <si>
    <t>Mapping computational thinking through programming in K-12 education: A conceptual model based on a systematic literature Review</t>
  </si>
  <si>
    <t>162</t>
  </si>
  <si>
    <t>104083</t>
  </si>
  <si>
    <t>https://doi.org/10.1016/j.compedu.2020.104083</t>
  </si>
  <si>
    <t>https://www.sciencedirect.com/science/article/pii/S0360131520302815</t>
  </si>
  <si>
    <t>Christina Tikva and Efthimios Tambouris</t>
  </si>
  <si>
    <t>Computational Thinking, Programming, K-12 education</t>
  </si>
  <si>
    <t>Computational Thinking (CT) through programming attracts increased attention as it is considered an ideal medium for the development of 21st century skills. This intense attention leads to K-12 initiatives around the world and a rapid increase in relevant research studies. However, studies show challenges in CT research and educational practice. In addition, the domain has not been mapped to facilitate comprehensive understanding of the domain challenges and development of CT curricula. The purpose of this study is to develop a conceptual model based on a systematic literature review that maps the CT through programming in K-12 education domain. The proposed Computational Thinking through Programming in K-12 education (CTPK-12) conceptual model emerges from the synthesis of 101 studies and the identification of CT Areas. The proposed model consists of six CT Areas (namely Knowledge Base, Learning Strategies, Assessment, Tools, Factors and Capacity Building) and their relationships. The model could aid domain understanding and serve as a basis for future research studies. In addition, it could support the integration of CT into K-12 educational practices, providing evidence to educational stakeholders and researchers as well as bringing closer research, practice and policy.</t>
  </si>
  <si>
    <t>TIKVA2021104083</t>
  </si>
  <si>
    <t>Robotics and computational thinking in primary school</t>
  </si>
  <si>
    <t>93-100</t>
  </si>
  <si>
    <t>https://doi.org/10.1016/j.ijcci.2018.06.005</t>
  </si>
  <si>
    <t>https://www.sciencedirect.com/science/article/pii/S2212868917300235</t>
  </si>
  <si>
    <t>Christina Chalmers</t>
  </si>
  <si>
    <t>Robots, Computational thinking, Coding, WeDo 2.0</t>
  </si>
  <si>
    <t>This paper reports on a research study that examined how Australian primary school teachers integrated robotics and coding in their classrooms and the perceived impact this had on students’ computational thinking skills. The study involved four primary school teachers, (Years 1–6) from four schools, introducing LEGO® WeDo® 2.0 robotics kits in their classrooms. The data collected from questionnaires, journal entries, and semi-structured interviews were analyzed using computational thinking and teaching frameworks. The results demonstrate that exploring with and using the robot kits, and activities, helped the teachers build their confidence and knowledge to introduce young students to computational thinking. The study identified that teacher professional development (PD) needs to focus explicitly on how to teach developmentally appropriate robotics-based STEM activities that further promote computational concepts, practices, and perspectives.</t>
  </si>
  <si>
    <t>CHALMERS201893</t>
  </si>
  <si>
    <t>Evaluating AI literacy of secondary students: Framework and scale development</t>
  </si>
  <si>
    <t>227</t>
  </si>
  <si>
    <t>105230</t>
  </si>
  <si>
    <t>https://doi.org/10.1016/j.compedu.2024.105230</t>
  </si>
  <si>
    <t>https://www.sciencedirect.com/science/article/pii/S0360131524002446</t>
  </si>
  <si>
    <t>Baichang Zhong and Xiaofan Liu</t>
  </si>
  <si>
    <t>Evaluation methodologies, Information literacy, Secondary education, 21st century abilities</t>
  </si>
  <si>
    <t>K-12 AI education not only equips students with AI literacy but also encourages underrepresented groups to pursue further studies or careers in this field. Secondary students were particularly well-suited for comprehensive AI education due to their cognitive characteristics and developmental readiness. While most studies have focused on developing pedagogy, curriculum, and tools for secondary AI education, they have prioritized measuring students' learning outcomes over literacy development. Referring to the empirical research on secondary AI education as well as Piaget's Epistemology and Bloom's Taxonomy, this study figured out a KAT framework that constitutes AI literacy: (1) AI Knowledge (AI fundamentals, elements of AI technology, application of AI technology), (2) AI Affectivity (AI and human, AI and society), and (3) AI Thinking (engineering design thinking, computational thinking). Based on this, a 57-item AI literacy scale (AILS) was developed, and 56 items were retained after expert judgement. Then, a large sample of Chinese secondary students was surveyed, resulting in 1392 valid samples, which were randomly divided into two sub-samples: 720 samples were used for item reduction through Rasch Analysis and Exploratory Factor Analysis; 672 samples were used for model validation and comparison through Confirmatory Factor Analysis. Results indicated the AILS with three-factor structure of 48 items has a good reliability and validity. Moreover, gender differences in AI literacy among secondary students were examined. Results indicated that boys had significantly higher AI Knowledge than girls, whereas girls had significantly higher AI Affectivity than boys. The implications, limitations and future research were also discussed.</t>
  </si>
  <si>
    <t>ZHONG2025105230</t>
  </si>
  <si>
    <t>Enhancing computational thinking assessment: A multimodal cognitive diagnostic approach</t>
  </si>
  <si>
    <t>101752</t>
  </si>
  <si>
    <t>https://doi.org/10.1016/j.tsc.2025.101752</t>
  </si>
  <si>
    <t>https://www.sciencedirect.com/science/article/pii/S187118712500001X</t>
  </si>
  <si>
    <t>Sa Yang and Sha Zhu and Wei Qin</t>
  </si>
  <si>
    <t>Multimodal cognitive diagnostic assessment, Situational task, Computational thinking, Latent pattern, Cognitive and behavioral characteristics</t>
  </si>
  <si>
    <t>Computational thinking (CT) is an essential skill students need if they are to adapt to the rise of digital society, and the evaluation of CT is crucial for enhancing students’ CT. However, the current evaluation of CT is based on a summative paradigm and ignores real CT performance during the assessment process. This study thus used a multimodal cognitive diagnostic model (H-MCDM) of students’ CT based on multimodal data in situational tasks, to achieve precise evaluation and explore the current mastery status of students’ CT and their cognitive and behavioral characteristics. The research results indicate that: 1) students’ CT was at a moderately high level and indicated a good grasp of the CT components of problem decomposition and algorithm design, but students had not yet mastered problem abstraction, 2) a total of six different CT latent patterns were discerned in the overall student results, 3) individual students who shared the same CT latent patterns could differ in their cognitive and behavioral characteristics, while those with different CT latent patterns could share similar characteristics. This study showed that it is possible to capture the degree of students’ mastery of CT and their cognitive and behavioral differences with the same or different CT latent patterns at a granular level, providing a basis for developing individualized strategies to enhance students’ CT.</t>
  </si>
  <si>
    <t>YANG2025101752</t>
  </si>
  <si>
    <t>A systematic review of integrating computational thinking in early childhood education</t>
  </si>
  <si>
    <t>100122</t>
  </si>
  <si>
    <t>https://doi.org/10.1016/j.caeo.2023.100122</t>
  </si>
  <si>
    <t>https://www.sciencedirect.com/science/article/pii/S2666557323000010</t>
  </si>
  <si>
    <t>Jiahong Su and Weipeng Yang</t>
  </si>
  <si>
    <t>Teaching/learning strategies, Pedagogical issues, 21st century abilities, Early years education, Teacher professional development</t>
  </si>
  <si>
    <t>Computational thinking education has become an increasingly popular topic among practitioners and researchers. However, rare is known how to effectively teach and learn computational thinking in early childhood education. To address this knowledge gap, this systematic review examined 26 studies on the teaching and learning of computational thinking in early childhood education from 2010 to 2022. The content knowledge, tools, pedagogical design, assessment methods, and learning outcomes were analyzed. Results indicated that, with age-appropriate instructional design, children could develop early concepts and skills of computational thinking, as well as other related skills such as communication, collaboration, and problem solving. Across the studies, we found that most studies used quantitative research methods, with direct assessment and observation being the most. Several challenges were identified: (1) achieving a deeper learning of computational thinking; (2) a lack of valid and reliable computational thinking assessments for children with a wider age range; (3) selecting appropriate learning tools; and (4) designing age-appropriate activities for young learners. Although with these challenges, computational thinking education could bring new learning opportunities and enhance children's computational thinking skills, as well as other non-cognitive skills such as critical thinking, body-material interaction, and hand-eye coordination. This systematic review informs future endeavors in theorizing a digital learning framework that can integrate computational thinking into early childhood education.</t>
  </si>
  <si>
    <t>SU2023100122</t>
  </si>
  <si>
    <t>Computational thinking</t>
  </si>
  <si>
    <t>88-95</t>
  </si>
  <si>
    <t>https://doi.org/10.1016/B978-0-12-818630-5.13078-7</t>
  </si>
  <si>
    <t>https://www.sciencedirect.com/science/article/pii/B9780128186305130787</t>
  </si>
  <si>
    <t>Chris Proctor</t>
  </si>
  <si>
    <t>Computational thinking, Computing education, Computer science, Computational modeling, Computational literacies</t>
  </si>
  <si>
    <t>Computational thinking, defined by Wing (2011) as the “thought processes involved in formulating problems … so that the solutions are represented in a form that can effectively be carried out by an information-processing agent,” has become the central construct of K12 computing education around the world. This article provides a history of computational thinking, a summary of computational thinking's role in educational policy and practice, role as a research construct, and concludes by considering the future of computational thinking. The debate over how to define and teach computational thinking can be understood as a proxy for the broader questions about education.</t>
  </si>
  <si>
    <t>PROCTOR202388</t>
  </si>
  <si>
    <t>Skills in computational thinking of engineering students of the first school year</t>
  </si>
  <si>
    <t>e02820</t>
  </si>
  <si>
    <t>https://doi.org/10.1016/j.heliyon.2019.e02820</t>
  </si>
  <si>
    <t>https://www.sciencedirect.com/science/article/pii/S2405844019364801</t>
  </si>
  <si>
    <t>Concepción Varela and Carolina Rebollar and Olatz García and Eugenio Bravo and Javier Bilbao</t>
  </si>
  <si>
    <t>Education, Educational development, Evaluation in education, Pedagogy, Teaching research</t>
  </si>
  <si>
    <t>In this world of the digital era, in which we are living, one of the fundamental competences that students must acquire is the competence in Computational Thinking (CT). Although there is no general consensus on a formal definition, there is a general understanding of it as a set of skills and attitudes necessary for the resolution, with or without a computer, of problems that may arise in any area of life. Measuring and evaluating which of the CT skills students have acquired is fundamental, and for this purpose, previously validated measuring instruments must be used. In this study, a previously validated instrument is applied to know if the new students in the Engineering Degrees of the University of the Basque Country have the following skills in CT: Critical Thinking, Algorithmic Thinking, Problem Solving, Cooperativity and Creativity.</t>
  </si>
  <si>
    <t>VARELA2019e02820</t>
  </si>
  <si>
    <t>Duplicated articles</t>
  </si>
  <si>
    <t>AKSAKAL2025112535</t>
  </si>
  <si>
    <t>Secondary school students’ computational thinking skills, group cohesion, and performance in problem-based programming education</t>
  </si>
  <si>
    <t>Hanifi Aksakal and Sevda Kucuk</t>
  </si>
  <si>
    <t>Journal of Systems and Software</t>
  </si>
  <si>
    <t>230</t>
  </si>
  <si>
    <t>112535</t>
  </si>
  <si>
    <t>https://doi.org/10.1016/j.jss.2025.112535</t>
  </si>
  <si>
    <t>0164-1212</t>
  </si>
  <si>
    <t>https://www.sciencedirect.com/science/article/pii/S0164121225002031</t>
  </si>
  <si>
    <t>Starting from early educational stages, developing foundational skills such as computational thinking (CT), problem-solving, and collaboration is crucial for preparing future software engineers. Programming education supported by structured pedagogical approaches can lay the groundwork for success in software engineering pathways. In this study, the effect of the use of the problem-based learning (PBL) approach in programming education on students' CT skills, performance, and attitudes toward collaboration was investigated. In addition, detailed comparisons were made according to instructor-selected (IS) and self-selected (SS) collaborative groups. The embedded mixed methods research design was used in the study. The sample of the study consisted of a total of 52 seventh-grade secondary school students (25 boys and 27 girls) taking Scratch programming lessons. The results revealed that the use of the PBL approach in programming education improves children's CT skills. The children’s attitudes toward collaboration in programming were high. Although group cohesion was higher in the SS group, it increased on a weekly basis in the IS group. Moreover, it has been determined that the projects produced in the IS group were more qualified. The study underlines the importance of investing in software engineering education to equip the next generation of software engineers with the necessary skills to thrive in the rapidly evolving digital landscape. Implications are discussed in terms of theoretical insights, practices, and directions for further research.</t>
  </si>
  <si>
    <t>Computational thinking, Collaborative learning, Secondary education, Engineering education, Programming education</t>
  </si>
  <si>
    <t>MARINMARIN2024e29177</t>
  </si>
  <si>
    <t>Computational thinking and programming with Arduino in education: A systematic review for secondary education</t>
  </si>
  <si>
    <t>José-Antonio Marín-Marín and Pedro Antonio García-Tudela and Pablo Duo-Terrón</t>
  </si>
  <si>
    <t>e29177</t>
  </si>
  <si>
    <t>https://doi.org/10.1016/j.heliyon.2024.e29177</t>
  </si>
  <si>
    <t>https://www.sciencedirect.com/science/article/pii/S2405844024052083</t>
  </si>
  <si>
    <t>The development of programming skills and computational thinking in the formal educational context is one of the most recent horizons set by many educational systems worldwide. Although the first computational thinking initiatives are being applied from the earliest school ages, this research focuses on the secondary education level. Specifically, the objective is the following: to analyse the implementation of Arduino, as well as the benefits and opportunities it brings to secondary school students. For this purpose, documentary research has been undertaken applying a systematic review according to the PRISMA 2020 framework following the PiCoS strategy. Atlas.ti 9 was used to analyse the information. Out of 316 papers identified, 37 were included in the research. In relation to the results, Arduino is primarily used in technology and physics subjects, although it is also used to develop interdisciplinary STEAM projects. As a rule, it is used to learn programming languages, but likewise as a resource to develop science experiments. LED lights, servomotors and breadboards are among the most commonly used resources together with the Arduino board. and Scratch was the most widely used software. The initiatives implemented have yielded both positive and negative results, for example, one drawback is that some projects are very difficult, and some achievements such as: increased motivation towards the contents addressed or also the development of some soft skills, such as problem solving.</t>
  </si>
  <si>
    <t>Arduino, Secondary education, STEM, Computational thinking, Programming, Robotics, Educational innovation, Educational technology</t>
  </si>
  <si>
    <t>MENDOZADIAZ2023e18997</t>
  </si>
  <si>
    <t>Effective teaching in computational thinking: A bias-free alternative to the exclusive use of students’ evaluations of teaching (SETs)</t>
  </si>
  <si>
    <t>Noemi V. {Mendoza Diaz} and Trinidad Sotomayor</t>
  </si>
  <si>
    <t>e18997</t>
  </si>
  <si>
    <t>https://doi.org/10.1016/j.heliyon.2023.e18997</t>
  </si>
  <si>
    <t>https://www.sciencedirect.com/science/article/pii/S2405844023062059</t>
  </si>
  <si>
    <t>The tenure system in the United States places significant importance on teaching effectiveness. To date, students' evaluations of teaching (SETs) have been the reigning mechanism for assessing effective teaching. However, prior work has shown that SETs are often biased against underrepresented groups and minorities. The present study analyzes options for effective teaching assessments, which include evaluating final grades and measuring the differences between students’ pre- and post-tests (normalized gain) using standard instruments. The content area and the instrument used in this study originated in the computational thinking field, which has a widespread presence in engineering, where minorities are at a disadvantage. This study obtained a total of 88 student participants from four sections of an introductory engineering course at a Southwestern institution. The study utilized a computational thinking diagnostic (CTD) to inform the course teaching approach (the intervention). Results show that (a) normalized learning gains correlated moderately with SETs, (b) final grades correlated strongly with SETs, (c) final grades correlated strongly with normalized learning gains, (d) the educational intervention based on the CTD significantly affected student learning, and (e) SET comments affect evaluations. The implications include the notion that standardized instrument-driven instruction and evaluations can increase the success of minorities on both sides of the classroom. The purpose of this manuscript is to invite the Heliyon readership to get involved in the development of related instruments and to incorporate these measures of learning into their instruction so biases are avoided or minimized.</t>
  </si>
  <si>
    <t>Measures of teaching effectiveness, Computational thinking, Students' evaluations of teaching (SETs), Measures of learning, Biased faculty assessment</t>
  </si>
  <si>
    <t>2024100677</t>
  </si>
  <si>
    <t>Erratum regarding missing Declaration of Competing Interest statements in previously published articles</t>
  </si>
  <si>
    <t>100677</t>
  </si>
  <si>
    <t>https://doi.org/10.1016/j.ijcci.2024.100677</t>
  </si>
  <si>
    <t>https://www.sciencedirect.com/science/article/pii/S2212868924000461</t>
  </si>
  <si>
    <t>JOSHI2025100782</t>
  </si>
  <si>
    <t>Digital resource engagement, health challenges, and mathematical achievement in school children: An in-depth analysis of PISA data 2022</t>
  </si>
  <si>
    <t>Dirgha Raj Joshi and Jeevan Khanal</t>
  </si>
  <si>
    <t>100782</t>
  </si>
  <si>
    <t>https://doi.org/10.1016/j.chbr.2025.100782</t>
  </si>
  <si>
    <t>https://www.sciencedirect.com/science/article/pii/S2451958825001976</t>
  </si>
  <si>
    <t>The integration of digital resources in teaching and learning has garnered significant attention among scholars and policymakers worldwide. This study aims to explore the global trends in digital resource utilization within mathematics education and investigate the relationship between their use, reported health issues, confidence in mathematics, and overall mathematics achievement. Drawing upon data from the Programme for International Student Assessment (PISA) 2022, which involved 613,744 participants across 81 countries (including 37 OECD countries), we employ frequency, percentage analysis, and structural equation modeling (SEM) for data analysis. From an Activity Theory perspective, our findings reveal notable disparities in the utilization of digital tools in schools. While simple calculations and equation solving are prevalent, more complex activities like simulations and coding remain underutilized. This highlights a gap in integrating digital resources for advanced mathematical problem-solving. Furthermore, our study underscores the adverse effects of health challenges, such as anxiety and sleep difficulties, on school students' engagement and performance in mathematics. Structural equation modeling demonstrates that health problems and direct use of digital resources have a negative impact on achievement. However, confidence in mathematics learning positively influences overall performance. These insights have implications for educational policies and practices aimed at enhancing effective digital resource integration and supporting students’ holistic well-being.</t>
  </si>
  <si>
    <t>KONG2021104267</t>
  </si>
  <si>
    <t>Investigating primary school principals’ programming perception and support from the perspective of reasoned action: A mixed methods approach</t>
  </si>
  <si>
    <t>172</t>
  </si>
  <si>
    <t>104267</t>
  </si>
  <si>
    <t>https://doi.org/10.1016/j.compedu.2021.104267</t>
  </si>
  <si>
    <t>https://www.sciencedirect.com/science/article/pii/S0360131521001445</t>
  </si>
  <si>
    <t>Programming is perceived to be an indispensable type of literacy in the digital era. To effectively promote and implement programming in K–12 education, it is necessary to understand school principals' perception of programming education. This study adopted a mixed methods design to explain principals’ understanding, expectations, and support for programming education in primary schools using Theory of Reasoned Action (TRA). In study 1, survey questionnaires were distributed to all principals from public primary schools in Hong Kong. Two hundred and sixty-six principals responded to the survey (response rate = 55.6%). In study 2, a follow-up interview study with 13 principals was conducted to further explore their perception of programming education. The results of study 1 indicated that principals with a better understanding of programming education tend to have clearer expectations of how to implement programming education in their schools, which consequently leads to greater support for the implementation of programming education. In study 2, the thematic analysis further supported the results obtained in study 1. Specifically, the results of study 2 demonstrated that most principals show understanding, expectation, and support for the implementation of programming education, which in turn results in various positive student and teacher outcomes. The results also showed that challenges are inevitable during implementation, principals show capabilities and willingness to adjust their expectation and support to better integrate programming education into their school curricula.</t>
  </si>
  <si>
    <t>Mixed methods design, Pedagogical issues, Primary school, Programming education, Theory of reasoned action</t>
  </si>
  <si>
    <t>OU2023e15530</t>
  </si>
  <si>
    <t>Investigation and analysis of the current situation of programming education in primary and secondary schools</t>
  </si>
  <si>
    <t>Qizhong Ou and Weijie Liang and Zhenni He and Xiao Liu and Renxing Yang and Xiaojun Wu</t>
  </si>
  <si>
    <t>e15530</t>
  </si>
  <si>
    <t>https://doi.org/10.1016/j.heliyon.2023.e15530</t>
  </si>
  <si>
    <t>https://www.sciencedirect.com/science/article/pii/S2405844023027378</t>
  </si>
  <si>
    <t>With the rapid development of the era of artificial intelligence, the application ability of programming is also highlighted. As one of the necessary abilities of social talents in the future, primary and secondary schools pay more and more attention to this, and programming education is also in full swing. Therefore, based on previous studies, this paper further clarifies the current situation when the current situation of programming education in primary and secondary schools is ambiguous. This paper is aimed at a wide range of primary and secondary school teachers. With 1500 teachers who participated in the online training class for programming teachers as the object in Chinese primary, middle and high school stages, mainly from the three levels of schools, teachers, and students. The questionnaire with good reliability and validity test was used as the research method, the survey data were statistically described and analyzed, and differences were analyzed using Microsoft Excel2019, SPSS26.0 and so on, it investigates and analyzes the current situation of programming education in primary and secondary schools. Results indicate that the overall quality of programming education offerings in elementary and secondary schools is subpar, and the construction of programming education curriculum in schools requires improvement. Nevertheless, schools prioritize improving students' comprehensive abilities, and teachers hold a positive attitude towards programming education and teaching. Although students demonstrate a strong interest in learning, their foundation is weak, resulting in poor learning outcomes. Consequently, the author provides specific recommendations regarding programming education's working mechanism, curriculum standard system, teacher training, and educational resources sharing to better develop programming education in primary and secondary schools.</t>
  </si>
  <si>
    <t>Programming education in primary and secondary schools, Programming education for students, Programming learning, Investigation and current situation, Primary and secondary education</t>
  </si>
  <si>
    <t>KONG2020106230</t>
  </si>
  <si>
    <t>Siu Cheung Kong and Yi Qing Wang</t>
  </si>
  <si>
    <t>106230</t>
  </si>
  <si>
    <t>https://doi.org/10.1016/j.chb.2019.106230</t>
  </si>
  <si>
    <t>https://www.sciencedirect.com/science/article/pii/S0747563219304492</t>
  </si>
  <si>
    <t>This study aimed at investigating whether Computational Thinking (CT) Perspectives can foster Computational Identity (CI) among primary school students in programming learning from the perspective of situated learning theory. This study conceptualized CT perspectives as a multidimensional construct that comprises (1) ability to connect, (2) ability to question, and (3) ability to express, and CI with four subcomponents including (1) programming affiliation, (2) programming engagement, (3) programming actualization, and (4) programming goal setting. Students who received at least 6-month programming training for computational thinking development were invited to participate in this study. Results of Confirmatory Factor Analysis (CFA) suggested that the CT perspectives instrument (n = 100) and CI instrument (n = 241) reached good fit and therefore were validated in the pilot study. In the main study, survey answers (N = 215) including CT perspectives and CI were collected. Results of Structural Equation Modeling (SEM) showed positive relationships between CT perspectives and CI formation among primary school students. Mediation results further revealed that ability to question can foster CI formation through ability to express, while ability to connect can directly foster CI formation. Implications were discussed at the end of the study.</t>
  </si>
  <si>
    <t>Computational identity, Computational thinking perspectives, Identity formation, Programming education, Situated learning theory, Structural equation modeling</t>
  </si>
  <si>
    <t>CONNOLLY2021</t>
  </si>
  <si>
    <t>Mobile Learning to Support Computational Thinking in Initial Teacher Education:</t>
  </si>
  <si>
    <t>Cornelia Connolly and Raquel Hijón-Neira and Seán Ó Grádaigh</t>
  </si>
  <si>
    <t>1941-8647</t>
  </si>
  <si>
    <t>https://www.sciencedirect.com/science/article/pii/S1941864721000081</t>
  </si>
  <si>
    <t>ABSTRACT
Research on the role of mobile learning in computational thinking is limited, and even more so in its use in initial teacher education. Aligned to this there is a need to consider how to introduce and expose pre-service teachers to computational thinking constructs within the context of the subject area they will teach in their future classrooms. This paper outlines a quasi-experimental study to examine the role of mobile learning in facilitating computational thinking development amongst pre-service teachers in initial teacher education. The study enquires if there are significant differences in grades achieved in computational thinking and programming learning when mobile learning is introduced. Findings showed and reaffirmed the positive influence of the mobile applications on the development of computational thinking amongst the pre-service teachers who participated.</t>
  </si>
  <si>
    <t>Computational Thinking, Mobile Learning, Teacher Education</t>
  </si>
  <si>
    <t>YEUNG2024104999</t>
  </si>
  <si>
    <t>A systematic review of Drone integrated STEM education at secondary schools (2005–2023): Trends, pedagogies, and learning outcomes</t>
  </si>
  <si>
    <t>Richard Chung Yiu Yeung and Chi Ho Yeung and Daner Sun and Chee-Kit Looi</t>
  </si>
  <si>
    <t>212</t>
  </si>
  <si>
    <t>104999</t>
  </si>
  <si>
    <t>https://doi.org/10.1016/j.compedu.2024.104999</t>
  </si>
  <si>
    <t>https://www.sciencedirect.com/science/article/pii/S0360131524000137</t>
  </si>
  <si>
    <t>As the prominence of drone technology continues to captivate interest for its myriad applications in education, an understanding of the current status of drone-integrated education becomes imperative. This systematic review endeavors to furnish an updated and comprehensive analysis of the drone education studies across academic levels, with a specific emphasis on secondary education settings. To accomplish this objective, a review study with 181 publications was conducted, with a particular focus on 41 publications explicitly addressing the integration of drones in secondary STEM education. Employing a systematic approach, this review identifies, analyzes, and synthesizes pertinent literature, ensuring a thorough comprehension of the current state of the field. The key findings of this review can be summarized as follows: 1) Among the diverse array of subjects incorporating drones, STEM disciplines emerge as the most prominently featured. 2) Experiential and project-based learning stand out as the most commonly adopted pedagogical methods in drone-integrated STEM education. The incorporation of teamwork and hands-on activities is frequently cited as instructional strategies aimed at enhancing drone-integrated STEM learning experiences. 3) Beyond the acquisition of drone-related technical skills, the reported learning outcomes encompass a spectrum of aspects, including heightened STEM career awareness, increased engagement and learning interest, and collaborative problem-solving abilities. The findings underscore the potential of drones to ignite passion for STEM subjects among secondary students, achieved through interdisciplinary, hands-on applications that foster problem-solving and design competencies.</t>
  </si>
  <si>
    <t>Systematic review, Drone-integrated learning, STEM education, Secondary schools</t>
  </si>
  <si>
    <t>HAMIDI2026102003</t>
  </si>
  <si>
    <t>Ali Hamidi and Sadaf Salavati</t>
  </si>
  <si>
    <t>102003</t>
  </si>
  <si>
    <t>https://doi.org/10.1016/j.tsc.2025.102003</t>
  </si>
  <si>
    <t>https://www.sciencedirect.com/science/article/pii/S1871187125002512</t>
  </si>
  <si>
    <t>System dynamics provides a valuable framework for analyzing the complexities of a system over time. Using causal loop diagrams (CLDs), this study identifies two feedback mechanisms in the context of integrating computational thinking (CT) into education, focusing on leverage points such as coding-centric curricula and teacher competence development. The modeling shows how reinforcing and balancing feedback loops shape system behavior, demonstrating that interventions like coding-based approaches can deliver immediate benefits but risk hindering the long-term development of broader CT skills applicable to interdisciplinary problem-solving. The study enhances the analysis by uncovering patterns emerging from system dynamics, including the constraints limiting growth, reliance on symptomatic solutions, unintended consequences of quick fixes, and the prioritization of successful areas at the expense of others. These patterns highlight the importance of addressing foundational issues, such as teacher training and comprehensive curriculum design, to avoid overshadowing other critical goals of CT applications in interdisciplinary fields. By synthesizing CLDs, the study showcases the circular interactions between variables and the diverse dynamics influencing CT education, offering insights into potential scenarios and storylines for integrating CT into education systems.</t>
  </si>
  <si>
    <t>Systems thinking, System dynamics, Causal loop diagrams, Systems archetypes, Computational thinking</t>
  </si>
  <si>
    <t>HU2025102221</t>
  </si>
  <si>
    <t>Agile learning to boost Java skills in novice learners</t>
  </si>
  <si>
    <t>Chih-Chien Hu</t>
  </si>
  <si>
    <t>Learning and Instruction</t>
  </si>
  <si>
    <t>100</t>
  </si>
  <si>
    <t>102221</t>
  </si>
  <si>
    <t>https://doi.org/10.1016/j.learninstruc.2025.102221</t>
  </si>
  <si>
    <t>0959-4752</t>
  </si>
  <si>
    <t>https://www.sciencedirect.com/science/article/pii/S0959475225001458</t>
  </si>
  <si>
    <t>Context
Teaching Java programming to beginners in blended digital and classroom learning settings presents challenges in fostering skill progression and maintaining engagement. Regular learning methods often fail to support the sequential development of computational thinking and programming proficiency.
Objective
This study introduces an agile learning strategy aimed at improving Java programming skills in beginners. The strategy emphasizes step-by-step learning of core concepts through visual programming games and repetitive practice to enhance both engagement and skill development.
Method
The agile learning strategy was applied in a blended learning environment, incorporating interactive programming tools, continuous feedback, and repetition. A comparative analysis was conducted between two groups: one using the agile strategy and another following regular learning methods. Improvements in computational thinking and Java programming skills were assessed.
Results
Learners using the agile strategy showed significant improvements in both computational thinking and Java programming skills, outperforming those in the regular learning group. However, variations in individual performance suggest that learner-specific factors may affect outcomes.</t>
  </si>
  <si>
    <t>Agile learning strategy, Blended learning, Computational thinking, Novice programmers, Programming education</t>
  </si>
  <si>
    <t>LUO2020103759</t>
  </si>
  <si>
    <t>Feiya Luo and Pavlo D. Antonenko and E. Christine Davis</t>
  </si>
  <si>
    <t>103759</t>
  </si>
  <si>
    <t>https://doi.org/10.1016/j.compedu.2019.103759</t>
  </si>
  <si>
    <t>https://www.sciencedirect.com/science/article/pii/S0360131519303124</t>
  </si>
  <si>
    <t>As the definition of computational thinking (CT) in education continues to evolve, researchers have investigated the integration of CT in K-12 learning contexts and students' perceptions and development of CT in these integrated learning experiences. Drawing on prior work, this study explored the evolution of two elementary school girls’ conceptions and practices of CT in science as they participated in a four-week CT-integrated science unit at a summer camp using the Dash robot and the Blockly app. Three CT concepts: loops, sequences, and conditionals, were integrated into a unit on the reproduction cycle of flowerless plants. Observations, participant drawings, and analysis of Blockly code revealed that the children improved in their CT practices. In addition, the CT-integrated science unit developed for this study successfully engaged both participants, even when one expressed a low interest in science. The study suggested that defining computing vocabulary, using checkpoint activities with immediate and corrective feedback, and scaffolding of coding concepts with unplugged activities were particularly necessary in promoting CT and the integration of CT and science education in an elementary-level informal learning context.</t>
  </si>
  <si>
    <t>Computational thinking integration, Elementary education, Science education, Robotics, Girls in STEM</t>
  </si>
  <si>
    <t>Santiago Alonso-García and Antonio-Vicente {Rodríguez Fuentes} and Magdalena {Ramos Navas-Parejo} and Juan-José Victoria-Maldonado</t>
  </si>
  <si>
    <t>YENI2024100696</t>
  </si>
  <si>
    <t>Sabiha Yeni and Jacqueline Nijenhuis-Voogt and Mara Saeli and Erik Barendsen and Felienne Hermans</t>
  </si>
  <si>
    <t>100696</t>
  </si>
  <si>
    <t>https://doi.org/10.1016/j.ijcci.2024.100696</t>
  </si>
  <si>
    <t>https://www.sciencedirect.com/science/article/pii/S2212868924000655</t>
  </si>
  <si>
    <t>The integration of computational thinking (CT) into K-12 education offers substantial potential to improve digital literacy and deepen students’ understanding across various subject areas. By embedding computational procedures and solution-oriented approaches into traditional curricula, students can develop essential skills that are critical for thriving in an increasingly digital world. However, the effective integration of CT into subject-specific learning poses challenges for educators, largely due to a lack of training and experience in implementing interdisciplinary instructional strategies. This study explores the impact of integrating CT into K-12 education through diverse instructional approaches, including modelling, storytelling, and unplugged activities. The research examines how students' subject knowledge, CT concepts, and practices evolved under each CT integration practice, as well as their acceptance toward CT integrated lessons. The study was conducted in different subjects, including language arts, biology, and physics, and at different grade levels. The technology acceptance model was used as a theoretical framework to understand students' adoption towards the different integration practices. The study revealed that different CT integration practices yield varying impacts on students' attitudes, particularly in relation to their prior programming experiences. Namely, primary school students with prior programming experience display a higher behavioural intention due to a lack of early biases toward programming. Conversely, secondary school students, less familiar with interdisciplinary approaches, initially show less enthusiasm for future engagement. These insights underscore the need for tailored instructional strategies that consider students' prior experiences and the broader goal of preparing them to contribute to a technologically driven society.</t>
  </si>
  <si>
    <t>Computational thinking, Integration, K-12, Instructional strategy</t>
  </si>
  <si>
    <t>HOWLAND201993</t>
  </si>
  <si>
    <t>Editorial — Special Issue on Computational Thinking and Coding in Childhood</t>
  </si>
  <si>
    <t>Kate Howland and Judith Good and Judy Robertson and Andrew Manches</t>
  </si>
  <si>
    <t>93-95</t>
  </si>
  <si>
    <t>https://doi.org/10.1016/j.ijcci.2018.11.001</t>
  </si>
  <si>
    <t>https://www.sciencedirect.com/science/article/pii/S2212868918301193</t>
  </si>
  <si>
    <t>TUCKERRAYMOND2021104284</t>
  </si>
  <si>
    <t>Science teachers can teach computational thinking through distributed expertise</t>
  </si>
  <si>
    <t>Eli Tucker-Raymond and Michael Cassidy and Gillian Puttick</t>
  </si>
  <si>
    <t>173</t>
  </si>
  <si>
    <t>104284</t>
  </si>
  <si>
    <t>https://doi.org/10.1016/j.compedu.2021.104284</t>
  </si>
  <si>
    <t>https://www.sciencedirect.com/science/article/pii/S0360131521001615</t>
  </si>
  <si>
    <t>Content area K-12 teachers are increasingly asked to integrate computing and computational thinking into their classrooms, yet they often have little experience with computing. The purpose of this study was to understand how science teachers, new to computing and integrating computational thinking into their classrooms, supported students as computational problem solvers. In the project from which this research was drawn, 8th grade science teachers in three US school districts integrated computer game design into their study of climate systems and climate change. We conducted participant observation, collected teacher implementation logs and interviewed 15 teachers engaged in the three-year design research project, Building Systems from Scratch. Analysis through grounded theory yielded several results related to teachers’ orientations, strategies, and use of resources to create systems of distributed expertise. We identified five major themes: a) releasing responsibility to students, b) co-learning with students, c) encouraging students’ independent problem solving, d) building interdependence among students, and e) providing multiple other resources. Findings are discussed in relation to the literature on integrating computational thinking into content area classrooms.</t>
  </si>
  <si>
    <t>Distributed learning environments, Teaching/learning strategies, Elementary education, Pedagogical issues, Applications in subject areas</t>
  </si>
  <si>
    <t>ROBLEDOCASTRO2025103145</t>
  </si>
  <si>
    <t>Exploring computational thinking, executive functions, visuospatial skills and experiences with toys in early childhood: Protocol for a controlled trial</t>
  </si>
  <si>
    <t>Carolina Robledo-Castro and Camilo {Vieira Mejía} and Jennifer Chiu</t>
  </si>
  <si>
    <t>MethodsX</t>
  </si>
  <si>
    <t>103145</t>
  </si>
  <si>
    <t>https://doi.org/10.1016/j.mex.2024.103145</t>
  </si>
  <si>
    <t>2215-0161</t>
  </si>
  <si>
    <t>https://www.sciencedirect.com/science/article/pii/S221501612400596X</t>
  </si>
  <si>
    <t>The research aims to evaluate the effect of a robotics-based computational thinking program on executive functions and visuospatial skills in preschool children. Additionally, the study will explore the relationship between these three variables and early experiences with toys. The study will be a cluster-randomized controlled trial with pre- and post-intervention measures. Participants will be preschool children aged 5 to 6 years from both public and private institutions. The intervention will involve a new educational robotics device called ROVERSA and will consist of eight sessions distributed over four weeks, with the experimental group placed on a waitlist. To assess executive functions and visuospatial skills, standardized and validated neuropsychological measures will be used, including the Flanker task, the NIH Toolbox Card Sorting Test, the Corsi Block Test, the NEPSY-II Mental Rotation Test, the Pyramid of Mexico from the ENI-2 battery, and the Computational Thinking Test (CTt). Data analysis will begin with a hypothesis tested through ANOVA-MR, and linear regressions will be implemented to assess the relationship between variables. It is expected that the results will contribute to the discussion on teaching computational thinking and educational robotics as early learning experiences and their impact on the cognitive development of children.</t>
  </si>
  <si>
    <t>Computational thinking, Executive functions, Early childhood, Visuospatial skills</t>
  </si>
  <si>
    <t>CURI2025100252</t>
  </si>
  <si>
    <t>María Eugenia Curi and Anaclara Gerosa and Marcos Viera and Alejandra Carboni</t>
  </si>
  <si>
    <t>100252</t>
  </si>
  <si>
    <t>https://doi.org/10.1016/j.caeo.2025.100252</t>
  </si>
  <si>
    <t>https://www.sciencedirect.com/science/article/pii/S2666557325000114</t>
  </si>
  <si>
    <t>This review examines current trends in Computational Thinking (CT) educational interventions. Analyzing 54 studies from 2012 to 2024, the review identifies key trends in the implementation of CT interventions, including duration, number of participants, and programming tools. Most interventions with upper-elementary students span more than a month, involve between 20 and 100 children, and use unplugged activities and visual programming environments. The review also investigates the extent to which student context data, such as gender and socioeconomic background, are considered, highlighting the importance of these factors in CT interventions. The findings suggest that while some interventions account for gender and contextual differences, there is a potential for a greater focus on these aspects to address social inequalities. This study provides valuable insights into the potential impact and inclusiveness of CT educational strategies, serving as a resource for educators, researchers, and policy makers aiming to improve CT integration into educational frameworks.</t>
  </si>
  <si>
    <t>Computational thinking, K-12, Educational interventions, Systematic review</t>
  </si>
  <si>
    <t>MACHINMASTROMATTEO2025376</t>
  </si>
  <si>
    <t>Literacy of the Future</t>
  </si>
  <si>
    <t>Juan D. Machin-Mastromatteo</t>
  </si>
  <si>
    <t>Encyclopedia of Libraries, Librarianship, and Information Science (First Edition)</t>
  </si>
  <si>
    <t>Academic Press</t>
  </si>
  <si>
    <t>376-387</t>
  </si>
  <si>
    <t>https://doi.org/10.1016/B978-0-323-95689-5.00197-8</t>
  </si>
  <si>
    <t>978-0-323-95690-1</t>
  </si>
  <si>
    <t>https://www.sciencedirect.com/science/article/pii/B9780323956895001978</t>
  </si>
  <si>
    <t>This entry summarizes the development of the literacy concepts most commonly associated with LIS, namely information literacy, digital literacy, and media literacy, which frame a synthesis of the future perspectives of these and other literacies that have been proposed in the literature.11An alphabetical and non-exhaustive list could include: academic literacy, artificial intelligence or algorithmic literacy, civic literacy, context literacy, data literacy, emotional literacy, financial literacy, focus literacy, futures literacies, game literacy, graphic literacy, health literacy, literacy education, legal literacy, media literacy, multiliteracies, new literacies, new media literacies, navigation literacy, numerical literacy, participatory/participation literacy, personal literacy, psycho-literacy, scientific literacy, search engine literacy, skepticism literacy, statistical literacy, transliteracy, and visual literacy or visuacy. Note: not all of these are covered in this entry for space limitations. These future perspectives are organized in nine sections: the educational implications of literacy, information literacy, digital literacy, literacy education, multiliteracies and holistic perspectives, media literacy, futures literacy, algorithmic literacy and artificial intelligence implications, and other literacies. The purpose of this entry is to offer a brief overview and commentary on the types of literacies that we need to be aware of and competent in for the near future. As these future trends are derived from the specialized literature, they include some already occurring considerations. However, they might become more salient topics in the upcoming years, and they might entail many different implications for the future of LIS professionals, libraries, and even for education in general.</t>
  </si>
  <si>
    <t>Adaptation, Collaboration, Critical engagement, Democratic engagement, Digital literacy, Educational integration, Ethical dimensions, Futures Literacy, Information literacy, Lifelong learning, Media literacy, Multiliteracies, Programming skills, Social participation, Technological advancements</t>
  </si>
  <si>
    <t>David Baker and Lucy Ellis</t>
  </si>
  <si>
    <t>First Edition</t>
  </si>
  <si>
    <t>CARDENASSAINZ2022100381</t>
  </si>
  <si>
    <t>Integration and acceptance of Natural User Interfaces for interactive learning environments</t>
  </si>
  <si>
    <t>Brandon Antonio Cárdenas-Sainz and María Lucia Barrón-Estrada and Ramón Zatarain-Cabada and José Mario Ríos-Félix</t>
  </si>
  <si>
    <t>100381</t>
  </si>
  <si>
    <t>https://doi.org/10.1016/j.ijcci.2021.100381</t>
  </si>
  <si>
    <t>https://www.sciencedirect.com/science/article/pii/S2212868921000817</t>
  </si>
  <si>
    <t>This study focuses on the design of interactive learning environments (ILE) enhanced with Natural User Interfaces (NUI) for educational applications. It presents a 3D virtual environment, namely THINKMOTION which enables students to practice computational thinking skills. THINKMOTION combines a visual programming interface for coding and creating 3D virtual scenes with physics simulations, with a gesture recognition system for interaction over virtual objects. The ILE integrates a NUI called Leap Motion Controller, which recognizes the users’ hand movements and gestures A questionnaire was designed in order to evaluate the perceptions toward experimental learning with students of public and private secondary schools. It applies Technology Acceptance Model (TAM) and enhanced with new constructs such as perceived enjoyment and interface style. Results from our study highlight that: (1) NUI technologies positively impacted enjoyment and perceived ease of use among ILE users; (2) The ease of use provided by NUIs improved the enjoyment of students; (3) The perceived enjoyment considerably increased the intention to use; (4) For public school students, NUI technology has a significant impact on their first impressions and overall interest, followed by a positive attitude toward using ILE; (5) Private school students who are more accustomed to and familiar with using natural interfaces presented a positive attitude and enjoyment when using the ILE.</t>
  </si>
  <si>
    <t>Natural user interfaces, Gesture recognition, Interactive learning environments, Computational thinking, Secondary education, Technology Acceptance Model</t>
  </si>
  <si>
    <t>WANG2023100364</t>
  </si>
  <si>
    <t>Evaluate the drivers for digital transformation in higher education institutions in the era of industry 4.0 based on decision-making method</t>
  </si>
  <si>
    <t>Kunqi Wang and Bangxi Li and Tian Tian and Norhayati Zakuan and Pratibha Rani</t>
  </si>
  <si>
    <t>Journal of Innovation &amp; Knowledge</t>
  </si>
  <si>
    <t>100364</t>
  </si>
  <si>
    <t>https://doi.org/10.1016/j.jik.2023.100364</t>
  </si>
  <si>
    <t>2444-569X</t>
  </si>
  <si>
    <t>https://www.sciencedirect.com/science/article/pii/S2444569X23000604</t>
  </si>
  <si>
    <t>The digitalization of higher education (HE) institutions and relevant issues have attracted the attention of many educational stakeholders. ICT has become a subject of high importance in every context, particularly in the workplace; thus, a principal goal for universities and schools is to prepare future professionals capable of dealing with problems and searching for effective solutions by their digital competence as a key skill. In this regard, a new framework is developed to evaluate the main drivers of digital transformation in higher education institutions (HEIs) in the era of industry 4.0. The developed framework is proposed a decision approach that can effectively use the presented information to make decisions of high rationality. This framework is applied to compute the subjective and objective criteria weights, and it is used to assess the preferences of organizations. An empirical case study to evaluate the main drivers for the implementation of digital transformation in HEIs is taken. According to the findings, the most significant drivers for the implementation of digital transformation in HEIs in the era of Industry 4.0 are developing, updating, and adapting a curriculum (0.0425), integration of digital technologies for universal education (0.0420), and cloud computing (0.0419), respectively. Hence, the evaluation results also show that the option higher education institution (HEI)-4 has the highest overall utility degree (1.845) over different drivers for the implementation of digital transformation in HEIs in the era of Industry 4.0. Also, comparison and sensitivity investigation are made to show the superiority of the developed framework.</t>
  </si>
  <si>
    <t>Digital transformation, Higher education institutions, Education 4.0, Industry 4.0, Decision making</t>
  </si>
  <si>
    <t>ROBLEDOCASTRO2023100563</t>
  </si>
  <si>
    <t>Carolina Robledo-Castro and Luis Fernando Castillo-Ossa and Christian Hederich-Martínez</t>
  </si>
  <si>
    <t>100563</t>
  </si>
  <si>
    <t>https://doi.org/10.1016/j.ijcci.2022.100563</t>
  </si>
  <si>
    <t>https://www.sciencedirect.com/science/article/pii/S2212868922000812</t>
  </si>
  <si>
    <t>Computational thinking refers to a series of cognitive processes involved in solving problems through computational systems. A growing body of studies has managed to demonstrate the correlation between computational thinking and different cognitive domains. In recent decades, multiple studies have taken place that seek to evaluate the effect of computational thinking on higher-order cognitive processes. The current study aims to contribute to this discussion by analyzing the effect of an intervention program in computational thinking on the executive functions of school-age children. In this experimental study, 30 children aged 10 and 11 were randomly assigned to an experimental group and an active control group. The instruments to collect the data were 15 tests of the neuropsychological battery of executive functions and frontal lobes BANFE-2, which were applied to both groups before and after the intervention. The experimental group participated in an 8-week computational thinking intervention during which its participants enrolled in plugged and unplugged activities and carried out block programming language twice a week. The results showed that the intervention had significant effects on executive functions associated with the anterior prefrontal cortex and the dorsolateral cortex, but not those related to the orbitofrontal area.</t>
  </si>
  <si>
    <t>Computational thinking, Executive functions, Cognitive development, Experimental study, Childhood</t>
  </si>
  <si>
    <t>JING2020644</t>
  </si>
  <si>
    <t>A Learner Model Integrating Cognitive and Metacognitive And Its Application on Scratch Programming Projects</t>
  </si>
  <si>
    <t>Sifeng Jing and Ying Tang and Xiwei Liu and Xiaoyan Gong</t>
  </si>
  <si>
    <t>IFAC-PapersOnLine</t>
  </si>
  <si>
    <t>644-649</t>
  </si>
  <si>
    <t>https://doi.org/10.1016/j.ifacol.2021.04.154</t>
  </si>
  <si>
    <t>2405-8963</t>
  </si>
  <si>
    <t>https://www.sciencedirect.com/science/article/pii/S2405896321002913</t>
  </si>
  <si>
    <t>learner’s cognitive and metacognitive are key personal profile for individualized teaching. To evaluate learner’s comprehensive characteristics, existing learner model were reviewed. Two challenges of constructing an accurate and comprehensive learner model integrating cognitive and metacognitive were summarized. A plan of constructing a comprehensive learner model was made based on analysis of existing massive online learning environment, sensor information technology and educational data-mining. As a case study, a method of how to map learning data onto learners’ cognitive and metacognitive was proposed based on an analysis of a number of pupils’ Scratch projects. Three mapping table were established. Pupil’s cognitive skill could be evaluated from technology shown from Scratch project, namely, data structure, algorithm, computational practices and overall evaluation. Content shown from Scratch project were used to infer pupil’s cognitive style. Meta-cognitive ability can be measured from computational practices and behavior in programming process.</t>
  </si>
  <si>
    <t>learner model, cognitive state, metacognitive ability, individualized teaching</t>
  </si>
  <si>
    <t>3rd IFAC Workshop on Cyber-Physical &amp; Human Systems CPHS 2020</t>
  </si>
  <si>
    <t>WOO2022101193</t>
  </si>
  <si>
    <t>Problem solved, but how? An exploratory study into students’ problem solving processes in creative coding tasks</t>
  </si>
  <si>
    <t>Karen Woo and Garry Falloon</t>
  </si>
  <si>
    <t>46</t>
  </si>
  <si>
    <t>101193</t>
  </si>
  <si>
    <t>https://doi.org/10.1016/j.tsc.2022.101193</t>
  </si>
  <si>
    <t>https://www.sciencedirect.com/science/article/pii/S1871187122001948</t>
  </si>
  <si>
    <t>Problem solving capabilities have often been reported by teachers as a key benefit from creative coding activities in school-age children. However, few studies to date have defined problem solving, and investigated how it is operationalised in interdisciplinary creative coding tasks. This study aims to build knowledge about students’ use of computational thinking and computer science concepts for problem solving when coding animated narratives. The research investigated students’ coding processes using data gathered from audio and device display recordings and semi-structured interviews. Results suggest limitations to the use of creative coding tasks if the expectation is to develop computational thinking and systematic problem solving strategies, or learn basic computer science concepts. They revealed that novice students rarely solved coding problems using optimal technically-based strategies despite being given explicit instruction on their use, opting instead to bypass problems by adjusting intended outcomes, or by using low level code translation strategies. Results demonstrate that engaging computational thinking or even demonstrating understanding of basic computer science concepts was not a requirement to produce a viable creative coding outcome. This study contributes new understanding of students’ coding practices when engaged in creative coding tasks in regular, non-specialist classrooms. Its findings challenge the commonly-held assumption that coding is a natural ‘vehicle’ to develop computational thinking and systematic approaches to problem solving. It also questions the learning that results from the non-technical, inefficient and often ineffective problem solving practices students employ during ‘creative coding’ tasks, that are frequently used by non-specialist teachers in response to curriculum requirements.</t>
  </si>
  <si>
    <t>Problem solving, Computational thinking, Tinkering, Coding, Middle-school</t>
  </si>
  <si>
    <t>ROBLEDOCASTRO2025101850</t>
  </si>
  <si>
    <t>Computational thinking training and its effects on working memory, flexibility, and inhibition: Randomized controlled trial in fifth-grade children</t>
  </si>
  <si>
    <t>Journal of Applied Developmental Psychology</t>
  </si>
  <si>
    <t>101850</t>
  </si>
  <si>
    <t>https://doi.org/10.1016/j.appdev.2025.101850</t>
  </si>
  <si>
    <t>0193-3973</t>
  </si>
  <si>
    <t>https://www.sciencedirect.com/science/article/pii/S0193397325000978</t>
  </si>
  <si>
    <t>This study aimed to examine how computational thinking instruction in elementary school relates to the development of executive functions in children. It evaluated the effect of a computational thinking training program on working memory, cognitive flexibility and inhibition in fifth grade children. A randomized controlled trial was conducted in Colombia with a sample of 111 typically developing children (experimental group N = 57; control group N = 54; Mage = 10.7). Participants were randomly assigned to either an experimental group, which underwent a 12-week computational thinking training program with both unplugged and plugged activities involving game programming and educational robotics, or to an active control group receiving treatment as usual (TAU), which followed the standard curriculum. Executive functions were assessed pre- and post- intervention using validated and reliable neuropsychological tests (Corsi block-tapping test, digit span test, visual span test, Stroop test, and Wisconsin card sorting test). Following the training program, the experimental group showed significant improvements in several executive functions compared to the control group. A large effect size was observed in auditory working memory (η2p = 0.17), along with medium effect in visual (η2p = 0.05) and visuospatial working memory (η2p = 0.08), and a small effect on inhibition skills (η2p = 0.05). No changes in cognitive flexibility associated with the intervention were observed. These results suggest that teaching computational thinking through both unplugged and plugged activities has a significant effect on executive functions associated with working memory, planning and inhibition in children.</t>
  </si>
  <si>
    <t>Computational thinking, Executive functions, Cognitive science, Working memory, Inhibition, Cognitive flexibility</t>
  </si>
  <si>
    <t>ROBLEDOCASTRO2023102329</t>
  </si>
  <si>
    <t>Effect of COGNI-MACHINE computational thinking training on executive functions in children aged 9 to 11: Protocol of a cluster randomized controlled trial</t>
  </si>
  <si>
    <t>Carolina {Robledo Castro} and Luz Helena {Rodríguez Rodríguez} and Luis Fernando {Castillo Ossa}</t>
  </si>
  <si>
    <t>102329</t>
  </si>
  <si>
    <t>https://doi.org/10.1016/j.mex.2023.102329</t>
  </si>
  <si>
    <t>https://www.sciencedirect.com/science/article/pii/S2215016123003266</t>
  </si>
  <si>
    <t>We designed a controlled trial protocol that seeks to contribute to cognitive science by studying the effect of thought training on children's executive functions. The study design is a cluster randomized controlled trial, with intra-subject and inter-subject evaluation, with two parallel groups: an experimental group and a TAU control group. With three measures, pre-test, post-test, and follow-up after three months. The participants will be children aged 9 to 11. The allocation will be randomized by groups and not individually. The sample will be a minimum of 44 participants. The primary measures will be neuropsychological tests to assess executive functions. Secondary measures will be a computational thinking test, neuropsychological tests to assess metacognition and attention, and an acceptability scale. The experimental group will participate in the COGNI-MACHINE computational thinking training designed by the first author. The training frequency will be twice a week in 60 min sessions for 12 weeks. The TAU control group will receive computer science classes as usual during the same time as the experimental group. The evaluators taking the measurements will be blinded to the assignment. The investigators in charge of the intervention will be blinded to the results of the evaluations.</t>
  </si>
  <si>
    <t>Computational thinking training, Executive functions, Coding, Educational robotics, Cognitive Sciences</t>
  </si>
  <si>
    <t>XU2024100415</t>
  </si>
  <si>
    <t>Measuring mutual engagement in the context of middle-school pair programming: Development and validation of a self-reported questionnaire</t>
  </si>
  <si>
    <t>Fan Xu and Ana-Paula Correia</t>
  </si>
  <si>
    <t>100415</t>
  </si>
  <si>
    <t>https://doi.org/10.1016/j.chbr.2024.100415</t>
  </si>
  <si>
    <t>https://www.sciencedirect.com/science/article/pii/S2451958824000484</t>
  </si>
  <si>
    <t>With the increasing importance of equipping young learners with computational thinking skills through learning to code, pair programming has emerged as a prevalent collaborative learning strategy in this context. Successful pair programming interventions necessitate mutual engagement between partners within a dyad. However, the measurement of mutual engagement in dyadic collaborative learning remains an under-researched area. This research represents a foundational stage in bridging this gap by developing a comprehensive 20-item Pair-Programming Mutual Engagement Questionnaire (PPME-Q) as a measure of mutual engagement in pair programming at the activity level. The questionnaire was validated through a sample of 86 eighth-grade students. Confirmatory factor analysis confirmed the existence of a four-factor structure comprising of the behavioral, cognitive, emotional, and social engagement factors. The findings demonstrate the validity (χ2/df = 1.32) and reliability (Cronbach's α = 0.888) of the PPME-Q, establishing it as an effective tool for assessing eighth graders' mutual engagement in pair programming activities. As this tool is in the nascent stages of development the measurement, we emphasize the need for further empirical studies to establish criterion validity. We also discuss the implications of these findings for future research and educational practices. This targeted instrument can then potentially be adapted or scaled to other age groups based on the insights gained.</t>
  </si>
  <si>
    <t>Mutual engagement, Engagement questionnaire, Dyadic collaborative learning, Pair programming, Computational thinking, Middle school</t>
  </si>
  <si>
    <t>SOHR202392</t>
  </si>
  <si>
    <t>How a child entangles empathy and computational thinking in reasoning about fairness</t>
  </si>
  <si>
    <t>Erin Ronayne Sohr and Ayush Gupta and Andrew Elby and Jennifer Radoff</t>
  </si>
  <si>
    <t>Early Childhood Research Quarterly</t>
  </si>
  <si>
    <t>92-101</t>
  </si>
  <si>
    <t>https://doi.org/10.1016/j.ecresq.2023.05.010</t>
  </si>
  <si>
    <t>0885-2006</t>
  </si>
  <si>
    <t>https://www.sciencedirect.com/science/article/pii/S0885200623000728</t>
  </si>
  <si>
    <t>In this work, we argue for expanding the scope of K-12 computational thinking (CT) integration contexts to include everyday scenarios involving moral reasoning. Epistemic overlap between computational thinking practices and moral reasoning suggest that these contexts are potentially rich sites to see “seeds of CT” in children's reasoning and can provide rich educational pathways for children into CT. Taking a case-study approach, we examine the reasoning of a second-grader, Ollie, on a task involving fair allocation of resources to victims of a natural disaster. Our analysis finds that Ollie's reasoning was rich with seeds of CT (e.g., problem formulation, abstraction, complex-systems thinking) and that empathy served as an important supporting role to the CT. This work has implications for curricular design, suggesting that fairness and resource allocation scenarios with built-in opportunities for empathy might provide rich sandboxes for CT integration.</t>
  </si>
  <si>
    <t>Computational thinking, Empathy, Case-study, Qualitative analysis, Socio-emotional learning</t>
  </si>
  <si>
    <t>Total articles not duplicated</t>
  </si>
  <si>
    <t>Total evaluation</t>
  </si>
  <si>
    <t>Total duplicated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</si>
</sst>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font>
    <font>
      <u/>
      <sz val="11"/>
      <color rgb="FF0563C1"/>
      <name val="Calibri"/>
      <family val="2"/>
    </font>
    <font>
      <b/>
      <sz val="11"/>
      <color rgb="FF000000"/>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0" fontId="2" fillId="0" borderId="1" xfId="0" applyFont="1" applyBorder="1" applyAlignment="1">
      <alignment horizontal="center" vertical="top"/>
    </xf>
    <xf numFmtId="0" fontId="2" fillId="0" borderId="2" xfId="0" applyFont="1" applyBorder="1" applyAlignment="1">
      <alignment horizontal="center" vertical="top"/>
    </xf>
    <xf numFmtId="0" fontId="1" fillId="0" borderId="0" xfId="1" applyAlignment="1"/>
    <xf numFmtId="0" fontId="2" fillId="0" borderId="0" xfId="0" applyFont="1"/>
  </cellXfs>
  <cellStyles count="2">
    <cellStyle name="Hyperlink" xfId="1" xr:uid="{00000000-0005-0000-0000-000000000000}"/>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sciencedirect.com/science/article/pii/S0360131517300040" TargetMode="External"/><Relationship Id="rId21" Type="http://schemas.openxmlformats.org/officeDocument/2006/relationships/hyperlink" Target="https://doi.org/10.1016/j.chb.2021.106707" TargetMode="External"/><Relationship Id="rId42" Type="http://schemas.openxmlformats.org/officeDocument/2006/relationships/hyperlink" Target="https://www.sciencedirect.com/science/article/pii/S0360131523002166" TargetMode="External"/><Relationship Id="rId47" Type="http://schemas.openxmlformats.org/officeDocument/2006/relationships/hyperlink" Target="https://doi.org/10.1016/j.edurev.2025.100705" TargetMode="External"/><Relationship Id="rId63" Type="http://schemas.openxmlformats.org/officeDocument/2006/relationships/hyperlink" Target="https://doi.org/10.1016/j.compedu.2019.04.013" TargetMode="External"/><Relationship Id="rId68" Type="http://schemas.openxmlformats.org/officeDocument/2006/relationships/hyperlink" Target="https://www.sciencedirect.com/science/article/pii/S0747563220303344" TargetMode="External"/><Relationship Id="rId84" Type="http://schemas.openxmlformats.org/officeDocument/2006/relationships/hyperlink" Target="https://www.sciencedirect.com/science/article/pii/S0360131520302815" TargetMode="External"/><Relationship Id="rId89" Type="http://schemas.openxmlformats.org/officeDocument/2006/relationships/hyperlink" Target="https://doi.org/10.1016/j.tsc.2025.101752" TargetMode="External"/><Relationship Id="rId16" Type="http://schemas.openxmlformats.org/officeDocument/2006/relationships/hyperlink" Target="https://www.sciencedirect.com/science/article/pii/S036013152100230X" TargetMode="External"/><Relationship Id="rId11" Type="http://schemas.openxmlformats.org/officeDocument/2006/relationships/hyperlink" Target="https://doi.org/10.1016/j.tele.2023.102026" TargetMode="External"/><Relationship Id="rId32" Type="http://schemas.openxmlformats.org/officeDocument/2006/relationships/hyperlink" Target="https://www.sciencedirect.com/science/article/pii/S0742051X22002797" TargetMode="External"/><Relationship Id="rId37" Type="http://schemas.openxmlformats.org/officeDocument/2006/relationships/hyperlink" Target="https://doi.org/10.1016/j.compedu.2024.105045" TargetMode="External"/><Relationship Id="rId53" Type="http://schemas.openxmlformats.org/officeDocument/2006/relationships/hyperlink" Target="https://doi.org/10.1016/j.chb.2019.03.003" TargetMode="External"/><Relationship Id="rId58" Type="http://schemas.openxmlformats.org/officeDocument/2006/relationships/hyperlink" Target="https://www.sciencedirect.com/science/article/pii/S0747563219301104" TargetMode="External"/><Relationship Id="rId74" Type="http://schemas.openxmlformats.org/officeDocument/2006/relationships/hyperlink" Target="https://www.sciencedirect.com/science/article/pii/S036013152100302X" TargetMode="External"/><Relationship Id="rId79" Type="http://schemas.openxmlformats.org/officeDocument/2006/relationships/hyperlink" Target="https://doi.org/10.1016/j.chbr.2020.100018" TargetMode="External"/><Relationship Id="rId5" Type="http://schemas.openxmlformats.org/officeDocument/2006/relationships/hyperlink" Target="https://doi.org/10.1016/j.ijcci.2021.100256" TargetMode="External"/><Relationship Id="rId90" Type="http://schemas.openxmlformats.org/officeDocument/2006/relationships/hyperlink" Target="https://www.sciencedirect.com/science/article/pii/S187118712500001X" TargetMode="External"/><Relationship Id="rId95" Type="http://schemas.openxmlformats.org/officeDocument/2006/relationships/hyperlink" Target="https://doi.org/10.1016/j.heliyon.2019.e02820" TargetMode="External"/><Relationship Id="rId22" Type="http://schemas.openxmlformats.org/officeDocument/2006/relationships/hyperlink" Target="https://www.sciencedirect.com/science/article/pii/S0747563221000297" TargetMode="External"/><Relationship Id="rId27" Type="http://schemas.openxmlformats.org/officeDocument/2006/relationships/hyperlink" Target="https://doi.org/10.1016/j.compedu.2021.104222" TargetMode="External"/><Relationship Id="rId43" Type="http://schemas.openxmlformats.org/officeDocument/2006/relationships/hyperlink" Target="https://doi.org/10.1108/ILS-06-2024-0075" TargetMode="External"/><Relationship Id="rId48" Type="http://schemas.openxmlformats.org/officeDocument/2006/relationships/hyperlink" Target="https://www.sciencedirect.com/science/article/pii/S1747938X25000429" TargetMode="External"/><Relationship Id="rId64" Type="http://schemas.openxmlformats.org/officeDocument/2006/relationships/hyperlink" Target="https://www.sciencedirect.com/science/article/pii/S0360131519300995" TargetMode="External"/><Relationship Id="rId69" Type="http://schemas.openxmlformats.org/officeDocument/2006/relationships/hyperlink" Target="https://doi.org/10.1016/j.caeo.2021.100043" TargetMode="External"/><Relationship Id="rId8" Type="http://schemas.openxmlformats.org/officeDocument/2006/relationships/hyperlink" Target="https://www.sciencedirect.com/science/article/pii/S0360131522000288" TargetMode="External"/><Relationship Id="rId51" Type="http://schemas.openxmlformats.org/officeDocument/2006/relationships/hyperlink" Target="https://doi.org/10.1016/j.chb.2017.12.005" TargetMode="External"/><Relationship Id="rId72" Type="http://schemas.openxmlformats.org/officeDocument/2006/relationships/hyperlink" Target="https://www.sciencedirect.com/science/article/pii/S2666557325000412" TargetMode="External"/><Relationship Id="rId80" Type="http://schemas.openxmlformats.org/officeDocument/2006/relationships/hyperlink" Target="https://www.sciencedirect.com/science/article/pii/S245195882030018X" TargetMode="External"/><Relationship Id="rId85" Type="http://schemas.openxmlformats.org/officeDocument/2006/relationships/hyperlink" Target="https://doi.org/10.1016/j.ijcci.2018.06.005" TargetMode="External"/><Relationship Id="rId93" Type="http://schemas.openxmlformats.org/officeDocument/2006/relationships/hyperlink" Target="https://doi.org/10.1016/B978-0-12-818630-5.13078-7" TargetMode="External"/><Relationship Id="rId3" Type="http://schemas.openxmlformats.org/officeDocument/2006/relationships/hyperlink" Target="https://doi.org/10.1016/B978-0-12-818630-5.13007-6" TargetMode="External"/><Relationship Id="rId12" Type="http://schemas.openxmlformats.org/officeDocument/2006/relationships/hyperlink" Target="https://www.sciencedirect.com/science/article/pii/S0736585323000904" TargetMode="External"/><Relationship Id="rId17" Type="http://schemas.openxmlformats.org/officeDocument/2006/relationships/hyperlink" Target="https://doi.org/10.1016/j.caeai.2025.100495" TargetMode="External"/><Relationship Id="rId25" Type="http://schemas.openxmlformats.org/officeDocument/2006/relationships/hyperlink" Target="https://doi.org/10.1016/j.compedu.2017.01.004" TargetMode="External"/><Relationship Id="rId33" Type="http://schemas.openxmlformats.org/officeDocument/2006/relationships/hyperlink" Target="https://doi.org/10.1016/j.ijcci.2021.100388" TargetMode="External"/><Relationship Id="rId38" Type="http://schemas.openxmlformats.org/officeDocument/2006/relationships/hyperlink" Target="https://www.sciencedirect.com/science/article/pii/S0360131524000599" TargetMode="External"/><Relationship Id="rId46" Type="http://schemas.openxmlformats.org/officeDocument/2006/relationships/hyperlink" Target="https://www.sciencedirect.com/science/article/pii/S0360131524001404" TargetMode="External"/><Relationship Id="rId59" Type="http://schemas.openxmlformats.org/officeDocument/2006/relationships/hyperlink" Target="https://doi.org/10.1016/j.chb.2016.08.047" TargetMode="External"/><Relationship Id="rId67" Type="http://schemas.openxmlformats.org/officeDocument/2006/relationships/hyperlink" Target="https://doi.org/10.1016/j.chb.2020.106587" TargetMode="External"/><Relationship Id="rId20" Type="http://schemas.openxmlformats.org/officeDocument/2006/relationships/hyperlink" Target="https://www.sciencedirect.com/science/article/pii/S2666920X2400122X" TargetMode="External"/><Relationship Id="rId41" Type="http://schemas.openxmlformats.org/officeDocument/2006/relationships/hyperlink" Target="https://doi.org/10.1016/j.compedu.2023.104939" TargetMode="External"/><Relationship Id="rId54" Type="http://schemas.openxmlformats.org/officeDocument/2006/relationships/hyperlink" Target="https://www.sciencedirect.com/science/article/pii/S0747563219300950" TargetMode="External"/><Relationship Id="rId62" Type="http://schemas.openxmlformats.org/officeDocument/2006/relationships/hyperlink" Target="https://www.sciencedirect.com/science/article/pii/S2405844024092806" TargetMode="External"/><Relationship Id="rId70" Type="http://schemas.openxmlformats.org/officeDocument/2006/relationships/hyperlink" Target="https://www.sciencedirect.com/science/article/pii/S2666557321000148" TargetMode="External"/><Relationship Id="rId75" Type="http://schemas.openxmlformats.org/officeDocument/2006/relationships/hyperlink" Target="https://doi.org/10.1016/j.elerap.2020.101011" TargetMode="External"/><Relationship Id="rId83" Type="http://schemas.openxmlformats.org/officeDocument/2006/relationships/hyperlink" Target="https://doi.org/10.1016/j.compedu.2020.104083" TargetMode="External"/><Relationship Id="rId88" Type="http://schemas.openxmlformats.org/officeDocument/2006/relationships/hyperlink" Target="https://www.sciencedirect.com/science/article/pii/S0360131524002446" TargetMode="External"/><Relationship Id="rId91" Type="http://schemas.openxmlformats.org/officeDocument/2006/relationships/hyperlink" Target="https://doi.org/10.1016/j.caeo.2023.100122" TargetMode="External"/><Relationship Id="rId96" Type="http://schemas.openxmlformats.org/officeDocument/2006/relationships/hyperlink" Target="https://www.sciencedirect.com/science/article/pii/S2405844019364801" TargetMode="External"/><Relationship Id="rId1" Type="http://schemas.openxmlformats.org/officeDocument/2006/relationships/hyperlink" Target="https://doi.org/10.1016/j.ijcci.2022.100491" TargetMode="External"/><Relationship Id="rId6" Type="http://schemas.openxmlformats.org/officeDocument/2006/relationships/hyperlink" Target="https://www.sciencedirect.com/science/article/pii/S2212868921000052" TargetMode="External"/><Relationship Id="rId15" Type="http://schemas.openxmlformats.org/officeDocument/2006/relationships/hyperlink" Target="https://doi.org/10.1016/j.compedu.2021.104353" TargetMode="External"/><Relationship Id="rId23" Type="http://schemas.openxmlformats.org/officeDocument/2006/relationships/hyperlink" Target="https://doi.org/10.1016/j.compedu.2024.105181" TargetMode="External"/><Relationship Id="rId28" Type="http://schemas.openxmlformats.org/officeDocument/2006/relationships/hyperlink" Target="https://www.sciencedirect.com/science/article/pii/S0360131521000993" TargetMode="External"/><Relationship Id="rId36" Type="http://schemas.openxmlformats.org/officeDocument/2006/relationships/hyperlink" Target="https://www.sciencedirect.com/science/article/pii/S2212868918300825" TargetMode="External"/><Relationship Id="rId49" Type="http://schemas.openxmlformats.org/officeDocument/2006/relationships/hyperlink" Target="https://doi.org/10.1016/j.procs.2024.06.166" TargetMode="External"/><Relationship Id="rId57" Type="http://schemas.openxmlformats.org/officeDocument/2006/relationships/hyperlink" Target="https://doi.org/10.1016/j.chb.2019.03.018" TargetMode="External"/><Relationship Id="rId10" Type="http://schemas.openxmlformats.org/officeDocument/2006/relationships/hyperlink" Target="https://www.sciencedirect.com/science/article/pii/S0740818823000166" TargetMode="External"/><Relationship Id="rId31" Type="http://schemas.openxmlformats.org/officeDocument/2006/relationships/hyperlink" Target="https://doi.org/10.1016/j.tate.2022.103904" TargetMode="External"/><Relationship Id="rId44" Type="http://schemas.openxmlformats.org/officeDocument/2006/relationships/hyperlink" Target="https://www.sciencedirect.com/science/article/pii/S2398534824000056" TargetMode="External"/><Relationship Id="rId52" Type="http://schemas.openxmlformats.org/officeDocument/2006/relationships/hyperlink" Target="https://www.sciencedirect.com/science/article/pii/S0747563217306854" TargetMode="External"/><Relationship Id="rId60" Type="http://schemas.openxmlformats.org/officeDocument/2006/relationships/hyperlink" Target="https://www.sciencedirect.com/science/article/pii/S0747563216306185" TargetMode="External"/><Relationship Id="rId65" Type="http://schemas.openxmlformats.org/officeDocument/2006/relationships/hyperlink" Target="https://doi.org/10.1016/j.erap.2025.101116" TargetMode="External"/><Relationship Id="rId73" Type="http://schemas.openxmlformats.org/officeDocument/2006/relationships/hyperlink" Target="https://doi.org/10.1016/j.compedu.2021.104425" TargetMode="External"/><Relationship Id="rId78" Type="http://schemas.openxmlformats.org/officeDocument/2006/relationships/hyperlink" Target="https://www.sciencedirect.com/science/article/pii/S2451958821001147" TargetMode="External"/><Relationship Id="rId81" Type="http://schemas.openxmlformats.org/officeDocument/2006/relationships/hyperlink" Target="https://doi.org/10.1108/ILS-05-2018-0035" TargetMode="External"/><Relationship Id="rId86" Type="http://schemas.openxmlformats.org/officeDocument/2006/relationships/hyperlink" Target="https://www.sciencedirect.com/science/article/pii/S2212868917300235" TargetMode="External"/><Relationship Id="rId94" Type="http://schemas.openxmlformats.org/officeDocument/2006/relationships/hyperlink" Target="https://www.sciencedirect.com/science/article/pii/B9780128186305130787" TargetMode="External"/><Relationship Id="rId4" Type="http://schemas.openxmlformats.org/officeDocument/2006/relationships/hyperlink" Target="https://www.sciencedirect.com/science/article/pii/B9780128186305130076" TargetMode="External"/><Relationship Id="rId9" Type="http://schemas.openxmlformats.org/officeDocument/2006/relationships/hyperlink" Target="https://doi.org/10.1016/j.lisr.2023.101240" TargetMode="External"/><Relationship Id="rId13" Type="http://schemas.openxmlformats.org/officeDocument/2006/relationships/hyperlink" Target="https://doi.org/10.1016/j.tsc.2023.101340" TargetMode="External"/><Relationship Id="rId18" Type="http://schemas.openxmlformats.org/officeDocument/2006/relationships/hyperlink" Target="https://www.sciencedirect.com/science/article/pii/S2666920X25001353" TargetMode="External"/><Relationship Id="rId39" Type="http://schemas.openxmlformats.org/officeDocument/2006/relationships/hyperlink" Target="https://doi.org/10.1016/j.ijcci.2021.100337" TargetMode="External"/><Relationship Id="rId34" Type="http://schemas.openxmlformats.org/officeDocument/2006/relationships/hyperlink" Target="https://www.sciencedirect.com/science/article/pii/S2212868921000854" TargetMode="External"/><Relationship Id="rId50" Type="http://schemas.openxmlformats.org/officeDocument/2006/relationships/hyperlink" Target="https://www.sciencedirect.com/science/article/pii/S1877050924014091" TargetMode="External"/><Relationship Id="rId55" Type="http://schemas.openxmlformats.org/officeDocument/2006/relationships/hyperlink" Target="https://doi.org/10.1016/j.caeo.2025.100260" TargetMode="External"/><Relationship Id="rId76" Type="http://schemas.openxmlformats.org/officeDocument/2006/relationships/hyperlink" Target="https://www.sciencedirect.com/science/article/pii/S1567422320300880" TargetMode="External"/><Relationship Id="rId7" Type="http://schemas.openxmlformats.org/officeDocument/2006/relationships/hyperlink" Target="https://doi.org/10.1016/j.compedu.2022.104457" TargetMode="External"/><Relationship Id="rId71" Type="http://schemas.openxmlformats.org/officeDocument/2006/relationships/hyperlink" Target="https://doi.org/10.1016/j.caeo.2025.100282" TargetMode="External"/><Relationship Id="rId92" Type="http://schemas.openxmlformats.org/officeDocument/2006/relationships/hyperlink" Target="https://www.sciencedirect.com/science/article/pii/S2666557323000010" TargetMode="External"/><Relationship Id="rId2" Type="http://schemas.openxmlformats.org/officeDocument/2006/relationships/hyperlink" Target="https://www.sciencedirect.com/science/article/pii/S2212868922000241" TargetMode="External"/><Relationship Id="rId29" Type="http://schemas.openxmlformats.org/officeDocument/2006/relationships/hyperlink" Target="https://doi.org/10.1016/j.compedu.2017.09.004" TargetMode="External"/><Relationship Id="rId24" Type="http://schemas.openxmlformats.org/officeDocument/2006/relationships/hyperlink" Target="https://www.sciencedirect.com/science/article/pii/S0360131524001957" TargetMode="External"/><Relationship Id="rId40" Type="http://schemas.openxmlformats.org/officeDocument/2006/relationships/hyperlink" Target="https://www.sciencedirect.com/science/article/pii/S2212868921000556" TargetMode="External"/><Relationship Id="rId45" Type="http://schemas.openxmlformats.org/officeDocument/2006/relationships/hyperlink" Target="https://doi.org/10.1016/j.compedu.2024.105126" TargetMode="External"/><Relationship Id="rId66" Type="http://schemas.openxmlformats.org/officeDocument/2006/relationships/hyperlink" Target="https://www.sciencedirect.com/science/article/pii/S1162908825000519" TargetMode="External"/><Relationship Id="rId87" Type="http://schemas.openxmlformats.org/officeDocument/2006/relationships/hyperlink" Target="https://doi.org/10.1016/j.compedu.2024.105230" TargetMode="External"/><Relationship Id="rId61" Type="http://schemas.openxmlformats.org/officeDocument/2006/relationships/hyperlink" Target="https://doi.org/10.1016/j.heliyon.2024.e33249" TargetMode="External"/><Relationship Id="rId82" Type="http://schemas.openxmlformats.org/officeDocument/2006/relationships/hyperlink" Target="https://www.sciencedirect.com/science/article/pii/S239853481900007X" TargetMode="External"/><Relationship Id="rId19" Type="http://schemas.openxmlformats.org/officeDocument/2006/relationships/hyperlink" Target="https://doi.org/10.1016/j.caeai.2024.100319" TargetMode="External"/><Relationship Id="rId14" Type="http://schemas.openxmlformats.org/officeDocument/2006/relationships/hyperlink" Target="https://www.sciencedirect.com/science/article/pii/S1871187123001098" TargetMode="External"/><Relationship Id="rId30" Type="http://schemas.openxmlformats.org/officeDocument/2006/relationships/hyperlink" Target="https://www.sciencedirect.com/science/article/pii/S0360131517302087" TargetMode="External"/><Relationship Id="rId35" Type="http://schemas.openxmlformats.org/officeDocument/2006/relationships/hyperlink" Target="https://doi.org/10.1016/j.ijcci.2019.04.001" TargetMode="External"/><Relationship Id="rId56" Type="http://schemas.openxmlformats.org/officeDocument/2006/relationships/hyperlink" Target="https://www.sciencedirect.com/science/article/pii/S2666557325000199" TargetMode="External"/><Relationship Id="rId77" Type="http://schemas.openxmlformats.org/officeDocument/2006/relationships/hyperlink" Target="https://doi.org/10.1016/j.chbr.2021.100166"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www.sciencedirect.com/science/article/pii/S0360131524000137" TargetMode="External"/><Relationship Id="rId21" Type="http://schemas.openxmlformats.org/officeDocument/2006/relationships/hyperlink" Target="https://doi.org/10.4018/IJMBL.2021010104" TargetMode="External"/><Relationship Id="rId42" Type="http://schemas.openxmlformats.org/officeDocument/2006/relationships/hyperlink" Target="https://www.sciencedirect.com/science/article/pii/S2212868918301193" TargetMode="External"/><Relationship Id="rId47" Type="http://schemas.openxmlformats.org/officeDocument/2006/relationships/hyperlink" Target="https://doi.org/10.1016/j.caeo.2025.100252" TargetMode="External"/><Relationship Id="rId63" Type="http://schemas.openxmlformats.org/officeDocument/2006/relationships/hyperlink" Target="https://doi.org/10.1016/j.appdev.2025.101850" TargetMode="External"/><Relationship Id="rId68" Type="http://schemas.openxmlformats.org/officeDocument/2006/relationships/hyperlink" Target="https://www.sciencedirect.com/science/article/pii/S2451958824000484" TargetMode="External"/><Relationship Id="rId7" Type="http://schemas.openxmlformats.org/officeDocument/2006/relationships/hyperlink" Target="https://doi.org/10.1016/j.tsc.2023.101340" TargetMode="External"/><Relationship Id="rId2" Type="http://schemas.openxmlformats.org/officeDocument/2006/relationships/hyperlink" Target="https://www.sciencedirect.com/science/article/pii/S0164121225002031" TargetMode="External"/><Relationship Id="rId16" Type="http://schemas.openxmlformats.org/officeDocument/2006/relationships/hyperlink" Target="https://www.sciencedirect.com/science/article/pii/S0360131521001445" TargetMode="External"/><Relationship Id="rId29" Type="http://schemas.openxmlformats.org/officeDocument/2006/relationships/hyperlink" Target="https://doi.org/10.1016/j.tsc.2025.102003" TargetMode="External"/><Relationship Id="rId11" Type="http://schemas.openxmlformats.org/officeDocument/2006/relationships/hyperlink" Target="https://doi.org/10.1016/j.chbr.2025.100782" TargetMode="External"/><Relationship Id="rId24" Type="http://schemas.openxmlformats.org/officeDocument/2006/relationships/hyperlink" Target="https://www.sciencedirect.com/science/article/pii/S0360131524000599" TargetMode="External"/><Relationship Id="rId32" Type="http://schemas.openxmlformats.org/officeDocument/2006/relationships/hyperlink" Target="https://www.sciencedirect.com/science/article/pii/S1747938X25000429" TargetMode="External"/><Relationship Id="rId37" Type="http://schemas.openxmlformats.org/officeDocument/2006/relationships/hyperlink" Target="https://doi.org/10.1016/j.heliyon.2024.e33249" TargetMode="External"/><Relationship Id="rId40" Type="http://schemas.openxmlformats.org/officeDocument/2006/relationships/hyperlink" Target="https://www.sciencedirect.com/science/article/pii/S2212868924000655" TargetMode="External"/><Relationship Id="rId45" Type="http://schemas.openxmlformats.org/officeDocument/2006/relationships/hyperlink" Target="https://doi.org/10.1016/j.mex.2024.103145" TargetMode="External"/><Relationship Id="rId53" Type="http://schemas.openxmlformats.org/officeDocument/2006/relationships/hyperlink" Target="https://doi.org/10.1016/j.caeo.2025.100282" TargetMode="External"/><Relationship Id="rId58" Type="http://schemas.openxmlformats.org/officeDocument/2006/relationships/hyperlink" Target="https://www.sciencedirect.com/science/article/pii/S2212868922000812" TargetMode="External"/><Relationship Id="rId66" Type="http://schemas.openxmlformats.org/officeDocument/2006/relationships/hyperlink" Target="https://www.sciencedirect.com/science/article/pii/S2215016123003266" TargetMode="External"/><Relationship Id="rId5" Type="http://schemas.openxmlformats.org/officeDocument/2006/relationships/hyperlink" Target="https://doi.org/10.1016/j.heliyon.2023.e18997" TargetMode="External"/><Relationship Id="rId61" Type="http://schemas.openxmlformats.org/officeDocument/2006/relationships/hyperlink" Target="https://doi.org/10.1016/j.tsc.2022.101193" TargetMode="External"/><Relationship Id="rId19" Type="http://schemas.openxmlformats.org/officeDocument/2006/relationships/hyperlink" Target="https://doi.org/10.1016/j.chb.2019.106230" TargetMode="External"/><Relationship Id="rId14" Type="http://schemas.openxmlformats.org/officeDocument/2006/relationships/hyperlink" Target="https://www.sciencedirect.com/science/article/pii/S0742051X22002797" TargetMode="External"/><Relationship Id="rId22" Type="http://schemas.openxmlformats.org/officeDocument/2006/relationships/hyperlink" Target="https://www.sciencedirect.com/science/article/pii/S1941864721000081" TargetMode="External"/><Relationship Id="rId27" Type="http://schemas.openxmlformats.org/officeDocument/2006/relationships/hyperlink" Target="https://doi.org/10.1016/j.ijcci.2021.100337" TargetMode="External"/><Relationship Id="rId30" Type="http://schemas.openxmlformats.org/officeDocument/2006/relationships/hyperlink" Target="https://www.sciencedirect.com/science/article/pii/S1871187125002512" TargetMode="External"/><Relationship Id="rId35" Type="http://schemas.openxmlformats.org/officeDocument/2006/relationships/hyperlink" Target="https://doi.org/10.1016/j.compedu.2019.103759" TargetMode="External"/><Relationship Id="rId43" Type="http://schemas.openxmlformats.org/officeDocument/2006/relationships/hyperlink" Target="https://doi.org/10.1016/j.compedu.2021.104284" TargetMode="External"/><Relationship Id="rId48" Type="http://schemas.openxmlformats.org/officeDocument/2006/relationships/hyperlink" Target="https://www.sciencedirect.com/science/article/pii/S2666557325000114" TargetMode="External"/><Relationship Id="rId56" Type="http://schemas.openxmlformats.org/officeDocument/2006/relationships/hyperlink" Target="https://www.sciencedirect.com/science/article/pii/S2444569X23000604" TargetMode="External"/><Relationship Id="rId64" Type="http://schemas.openxmlformats.org/officeDocument/2006/relationships/hyperlink" Target="https://www.sciencedirect.com/science/article/pii/S0193397325000978" TargetMode="External"/><Relationship Id="rId69" Type="http://schemas.openxmlformats.org/officeDocument/2006/relationships/hyperlink" Target="https://doi.org/10.1016/j.ecresq.2023.05.010" TargetMode="External"/><Relationship Id="rId8" Type="http://schemas.openxmlformats.org/officeDocument/2006/relationships/hyperlink" Target="https://www.sciencedirect.com/science/article/pii/S1871187123001098" TargetMode="External"/><Relationship Id="rId51" Type="http://schemas.openxmlformats.org/officeDocument/2006/relationships/hyperlink" Target="https://doi.org/10.1016/j.ijcci.2021.100381" TargetMode="External"/><Relationship Id="rId3" Type="http://schemas.openxmlformats.org/officeDocument/2006/relationships/hyperlink" Target="https://doi.org/10.1016/j.heliyon.2024.e29177" TargetMode="External"/><Relationship Id="rId12" Type="http://schemas.openxmlformats.org/officeDocument/2006/relationships/hyperlink" Target="https://www.sciencedirect.com/science/article/pii/S2451958825001976" TargetMode="External"/><Relationship Id="rId17" Type="http://schemas.openxmlformats.org/officeDocument/2006/relationships/hyperlink" Target="https://doi.org/10.1016/j.heliyon.2023.e15530" TargetMode="External"/><Relationship Id="rId25" Type="http://schemas.openxmlformats.org/officeDocument/2006/relationships/hyperlink" Target="https://doi.org/10.1016/j.compedu.2024.104999" TargetMode="External"/><Relationship Id="rId33" Type="http://schemas.openxmlformats.org/officeDocument/2006/relationships/hyperlink" Target="https://doi.org/10.1016/j.learninstruc.2025.102221" TargetMode="External"/><Relationship Id="rId38" Type="http://schemas.openxmlformats.org/officeDocument/2006/relationships/hyperlink" Target="https://www.sciencedirect.com/science/article/pii/S2405844024092806" TargetMode="External"/><Relationship Id="rId46" Type="http://schemas.openxmlformats.org/officeDocument/2006/relationships/hyperlink" Target="https://www.sciencedirect.com/science/article/pii/S221501612400596X" TargetMode="External"/><Relationship Id="rId59" Type="http://schemas.openxmlformats.org/officeDocument/2006/relationships/hyperlink" Target="https://doi.org/10.1016/j.ifacol.2021.04.154" TargetMode="External"/><Relationship Id="rId67" Type="http://schemas.openxmlformats.org/officeDocument/2006/relationships/hyperlink" Target="https://doi.org/10.1016/j.chbr.2024.100415" TargetMode="External"/><Relationship Id="rId20" Type="http://schemas.openxmlformats.org/officeDocument/2006/relationships/hyperlink" Target="https://www.sciencedirect.com/science/article/pii/S0747563219304492" TargetMode="External"/><Relationship Id="rId41" Type="http://schemas.openxmlformats.org/officeDocument/2006/relationships/hyperlink" Target="https://doi.org/10.1016/j.ijcci.2018.11.001" TargetMode="External"/><Relationship Id="rId54" Type="http://schemas.openxmlformats.org/officeDocument/2006/relationships/hyperlink" Target="https://www.sciencedirect.com/science/article/pii/S2666557325000412" TargetMode="External"/><Relationship Id="rId62" Type="http://schemas.openxmlformats.org/officeDocument/2006/relationships/hyperlink" Target="https://www.sciencedirect.com/science/article/pii/S1871187122001948" TargetMode="External"/><Relationship Id="rId70" Type="http://schemas.openxmlformats.org/officeDocument/2006/relationships/hyperlink" Target="https://www.sciencedirect.com/science/article/pii/S0885200623000728" TargetMode="External"/><Relationship Id="rId1" Type="http://schemas.openxmlformats.org/officeDocument/2006/relationships/hyperlink" Target="https://doi.org/10.1016/j.jss.2025.112535" TargetMode="External"/><Relationship Id="rId6" Type="http://schemas.openxmlformats.org/officeDocument/2006/relationships/hyperlink" Target="https://www.sciencedirect.com/science/article/pii/S2405844023062059" TargetMode="External"/><Relationship Id="rId15" Type="http://schemas.openxmlformats.org/officeDocument/2006/relationships/hyperlink" Target="https://doi.org/10.1016/j.compedu.2021.104267" TargetMode="External"/><Relationship Id="rId23" Type="http://schemas.openxmlformats.org/officeDocument/2006/relationships/hyperlink" Target="https://doi.org/10.1016/j.compedu.2024.105045" TargetMode="External"/><Relationship Id="rId28" Type="http://schemas.openxmlformats.org/officeDocument/2006/relationships/hyperlink" Target="https://www.sciencedirect.com/science/article/pii/S2212868921000556" TargetMode="External"/><Relationship Id="rId36" Type="http://schemas.openxmlformats.org/officeDocument/2006/relationships/hyperlink" Target="https://www.sciencedirect.com/science/article/pii/S0360131519303124" TargetMode="External"/><Relationship Id="rId49" Type="http://schemas.openxmlformats.org/officeDocument/2006/relationships/hyperlink" Target="https://doi.org/10.1016/B978-0-323-95689-5.00197-8" TargetMode="External"/><Relationship Id="rId57" Type="http://schemas.openxmlformats.org/officeDocument/2006/relationships/hyperlink" Target="https://doi.org/10.1016/j.ijcci.2022.100563" TargetMode="External"/><Relationship Id="rId10" Type="http://schemas.openxmlformats.org/officeDocument/2006/relationships/hyperlink" Target="https://www.sciencedirect.com/science/article/pii/S2212868924000461" TargetMode="External"/><Relationship Id="rId31" Type="http://schemas.openxmlformats.org/officeDocument/2006/relationships/hyperlink" Target="https://doi.org/10.1016/j.edurev.2025.100705" TargetMode="External"/><Relationship Id="rId44" Type="http://schemas.openxmlformats.org/officeDocument/2006/relationships/hyperlink" Target="https://www.sciencedirect.com/science/article/pii/S0360131521001615" TargetMode="External"/><Relationship Id="rId52" Type="http://schemas.openxmlformats.org/officeDocument/2006/relationships/hyperlink" Target="https://www.sciencedirect.com/science/article/pii/S2212868921000817" TargetMode="External"/><Relationship Id="rId60" Type="http://schemas.openxmlformats.org/officeDocument/2006/relationships/hyperlink" Target="https://www.sciencedirect.com/science/article/pii/S2405896321002913" TargetMode="External"/><Relationship Id="rId65" Type="http://schemas.openxmlformats.org/officeDocument/2006/relationships/hyperlink" Target="https://doi.org/10.1016/j.mex.2023.102329" TargetMode="External"/><Relationship Id="rId4" Type="http://schemas.openxmlformats.org/officeDocument/2006/relationships/hyperlink" Target="https://www.sciencedirect.com/science/article/pii/S2405844024052083" TargetMode="External"/><Relationship Id="rId9" Type="http://schemas.openxmlformats.org/officeDocument/2006/relationships/hyperlink" Target="https://doi.org/10.1016/j.ijcci.2024.100677" TargetMode="External"/><Relationship Id="rId13" Type="http://schemas.openxmlformats.org/officeDocument/2006/relationships/hyperlink" Target="https://doi.org/10.1016/j.tate.2022.103904" TargetMode="External"/><Relationship Id="rId18" Type="http://schemas.openxmlformats.org/officeDocument/2006/relationships/hyperlink" Target="https://www.sciencedirect.com/science/article/pii/S2405844023027378" TargetMode="External"/><Relationship Id="rId39" Type="http://schemas.openxmlformats.org/officeDocument/2006/relationships/hyperlink" Target="https://doi.org/10.1016/j.ijcci.2024.100696" TargetMode="External"/><Relationship Id="rId34" Type="http://schemas.openxmlformats.org/officeDocument/2006/relationships/hyperlink" Target="https://www.sciencedirect.com/science/article/pii/S0959475225001458" TargetMode="External"/><Relationship Id="rId50" Type="http://schemas.openxmlformats.org/officeDocument/2006/relationships/hyperlink" Target="https://www.sciencedirect.com/science/article/pii/B9780323956895001978" TargetMode="External"/><Relationship Id="rId55" Type="http://schemas.openxmlformats.org/officeDocument/2006/relationships/hyperlink" Target="https://doi.org/10.1016/j.jik.2023.10036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49"/>
  <sheetViews>
    <sheetView tabSelected="1" workbookViewId="0"/>
  </sheetViews>
  <sheetFormatPr defaultRowHeight="14.5" x14ac:dyDescent="0.35"/>
  <cols>
    <col min="1" max="1" width="8.7265625" customWidth="1"/>
  </cols>
  <sheetData>
    <row r="1" spans="1:21" x14ac:dyDescent="0.35">
      <c r="A1" s="1" t="s">
        <v>0</v>
      </c>
      <c r="B1" s="1" t="s">
        <v>4</v>
      </c>
      <c r="C1" s="1" t="s">
        <v>13</v>
      </c>
      <c r="D1" s="1" t="s">
        <v>10</v>
      </c>
      <c r="E1" s="1" t="s">
        <v>2</v>
      </c>
      <c r="F1" s="1" t="s">
        <v>12</v>
      </c>
      <c r="G1" s="1" t="s">
        <v>6</v>
      </c>
      <c r="H1" s="1" t="s">
        <v>7</v>
      </c>
      <c r="I1" s="1" t="s">
        <v>1</v>
      </c>
      <c r="J1" s="1" t="s">
        <v>16</v>
      </c>
      <c r="K1" s="1" t="s">
        <v>8</v>
      </c>
      <c r="L1" s="1" t="s">
        <v>87</v>
      </c>
      <c r="M1" s="1" t="s">
        <v>88</v>
      </c>
      <c r="N1" s="1" t="s">
        <v>89</v>
      </c>
      <c r="O1" s="1" t="s">
        <v>3</v>
      </c>
      <c r="P1" s="1" t="s">
        <v>5</v>
      </c>
      <c r="Q1" s="1" t="s">
        <v>90</v>
      </c>
      <c r="R1" s="1" t="s">
        <v>9</v>
      </c>
      <c r="S1" s="1" t="s">
        <v>11</v>
      </c>
      <c r="T1" s="1" t="s">
        <v>14</v>
      </c>
      <c r="U1" s="1" t="s">
        <v>15</v>
      </c>
    </row>
    <row r="2" spans="1:21" x14ac:dyDescent="0.35">
      <c r="A2" t="s">
        <v>60</v>
      </c>
      <c r="B2" t="s">
        <v>61</v>
      </c>
      <c r="C2" t="s">
        <v>38</v>
      </c>
      <c r="D2" t="s">
        <v>91</v>
      </c>
      <c r="E2" t="s">
        <v>29</v>
      </c>
      <c r="F2" t="s">
        <v>92</v>
      </c>
      <c r="G2" s="3" t="s">
        <v>93</v>
      </c>
      <c r="H2" s="3" t="s">
        <v>94</v>
      </c>
      <c r="I2" t="s">
        <v>95</v>
      </c>
      <c r="J2" t="s">
        <v>96</v>
      </c>
      <c r="K2" t="s">
        <v>97</v>
      </c>
      <c r="L2" t="s">
        <v>98</v>
      </c>
      <c r="M2" t="s">
        <v>99</v>
      </c>
    </row>
    <row r="3" spans="1:21" x14ac:dyDescent="0.35">
      <c r="A3" t="s">
        <v>100</v>
      </c>
      <c r="D3" t="s">
        <v>101</v>
      </c>
      <c r="E3" t="s">
        <v>23</v>
      </c>
      <c r="G3" s="3" t="s">
        <v>102</v>
      </c>
      <c r="H3" s="3" t="s">
        <v>103</v>
      </c>
      <c r="I3" t="s">
        <v>104</v>
      </c>
      <c r="J3" t="s">
        <v>105</v>
      </c>
      <c r="K3" t="s">
        <v>106</v>
      </c>
      <c r="L3" t="s">
        <v>107</v>
      </c>
      <c r="M3" t="s">
        <v>108</v>
      </c>
      <c r="N3" t="s">
        <v>109</v>
      </c>
      <c r="O3" t="s">
        <v>110</v>
      </c>
      <c r="P3" t="s">
        <v>111</v>
      </c>
      <c r="Q3" t="s">
        <v>112</v>
      </c>
      <c r="R3" t="s">
        <v>113</v>
      </c>
      <c r="S3" t="s">
        <v>114</v>
      </c>
    </row>
    <row r="4" spans="1:21" x14ac:dyDescent="0.35">
      <c r="A4" t="s">
        <v>115</v>
      </c>
      <c r="B4" t="s">
        <v>61</v>
      </c>
      <c r="C4" t="s">
        <v>47</v>
      </c>
      <c r="D4" t="s">
        <v>116</v>
      </c>
      <c r="E4" t="s">
        <v>32</v>
      </c>
      <c r="F4" t="s">
        <v>92</v>
      </c>
      <c r="G4" s="3" t="s">
        <v>117</v>
      </c>
      <c r="H4" s="3" t="s">
        <v>118</v>
      </c>
      <c r="I4" t="s">
        <v>119</v>
      </c>
      <c r="J4" t="s">
        <v>120</v>
      </c>
      <c r="K4" t="s">
        <v>121</v>
      </c>
      <c r="L4" t="s">
        <v>98</v>
      </c>
      <c r="M4" t="s">
        <v>122</v>
      </c>
    </row>
    <row r="5" spans="1:21" x14ac:dyDescent="0.35">
      <c r="A5" t="s">
        <v>123</v>
      </c>
      <c r="B5" t="s">
        <v>124</v>
      </c>
      <c r="C5" t="s">
        <v>125</v>
      </c>
      <c r="D5" t="s">
        <v>126</v>
      </c>
      <c r="E5" t="s">
        <v>29</v>
      </c>
      <c r="F5" t="s">
        <v>127</v>
      </c>
      <c r="G5" s="3" t="s">
        <v>128</v>
      </c>
      <c r="H5" s="3" t="s">
        <v>129</v>
      </c>
      <c r="I5" t="s">
        <v>130</v>
      </c>
      <c r="J5" t="s">
        <v>131</v>
      </c>
      <c r="K5" t="s">
        <v>132</v>
      </c>
      <c r="L5" t="s">
        <v>98</v>
      </c>
      <c r="M5" t="s">
        <v>133</v>
      </c>
    </row>
    <row r="6" spans="1:21" x14ac:dyDescent="0.35">
      <c r="A6" t="s">
        <v>58</v>
      </c>
      <c r="B6" t="s">
        <v>134</v>
      </c>
      <c r="C6" t="s">
        <v>59</v>
      </c>
      <c r="D6" t="s">
        <v>135</v>
      </c>
      <c r="E6" t="s">
        <v>23</v>
      </c>
      <c r="F6" t="s">
        <v>136</v>
      </c>
      <c r="G6" s="3" t="s">
        <v>137</v>
      </c>
      <c r="H6" s="3" t="s">
        <v>138</v>
      </c>
      <c r="I6" t="s">
        <v>139</v>
      </c>
      <c r="J6" t="s">
        <v>140</v>
      </c>
      <c r="K6" t="s">
        <v>141</v>
      </c>
      <c r="L6" t="s">
        <v>98</v>
      </c>
      <c r="M6" t="s">
        <v>142</v>
      </c>
      <c r="T6" t="s">
        <v>24</v>
      </c>
    </row>
    <row r="7" spans="1:21" x14ac:dyDescent="0.35">
      <c r="A7" t="s">
        <v>143</v>
      </c>
      <c r="B7" t="s">
        <v>144</v>
      </c>
      <c r="C7" t="s">
        <v>145</v>
      </c>
      <c r="D7" t="s">
        <v>146</v>
      </c>
      <c r="E7" t="s">
        <v>23</v>
      </c>
      <c r="F7" t="s">
        <v>147</v>
      </c>
      <c r="G7" s="3" t="s">
        <v>148</v>
      </c>
      <c r="H7" s="3" t="s">
        <v>149</v>
      </c>
      <c r="I7" t="s">
        <v>150</v>
      </c>
      <c r="J7" t="s">
        <v>151</v>
      </c>
      <c r="K7" t="s">
        <v>152</v>
      </c>
      <c r="L7" t="s">
        <v>98</v>
      </c>
      <c r="M7" t="s">
        <v>153</v>
      </c>
    </row>
    <row r="8" spans="1:21" x14ac:dyDescent="0.35">
      <c r="A8" t="s">
        <v>75</v>
      </c>
      <c r="B8" t="s">
        <v>71</v>
      </c>
      <c r="C8" t="s">
        <v>76</v>
      </c>
      <c r="D8" t="s">
        <v>154</v>
      </c>
      <c r="E8" t="s">
        <v>23</v>
      </c>
      <c r="F8" t="s">
        <v>155</v>
      </c>
      <c r="G8" s="3" t="s">
        <v>156</v>
      </c>
      <c r="H8" s="3" t="s">
        <v>157</v>
      </c>
      <c r="I8" t="s">
        <v>158</v>
      </c>
      <c r="J8" t="s">
        <v>159</v>
      </c>
      <c r="K8" t="s">
        <v>160</v>
      </c>
      <c r="L8" t="s">
        <v>98</v>
      </c>
      <c r="M8" t="s">
        <v>161</v>
      </c>
    </row>
    <row r="9" spans="1:21" x14ac:dyDescent="0.35">
      <c r="A9" t="s">
        <v>162</v>
      </c>
      <c r="B9" t="s">
        <v>124</v>
      </c>
      <c r="C9" t="s">
        <v>163</v>
      </c>
      <c r="D9" t="s">
        <v>164</v>
      </c>
      <c r="E9" t="s">
        <v>29</v>
      </c>
      <c r="F9" t="s">
        <v>127</v>
      </c>
      <c r="G9" s="3" t="s">
        <v>165</v>
      </c>
      <c r="H9" s="3" t="s">
        <v>166</v>
      </c>
      <c r="I9" t="s">
        <v>167</v>
      </c>
      <c r="J9" t="s">
        <v>168</v>
      </c>
      <c r="K9" t="s">
        <v>169</v>
      </c>
      <c r="L9" t="s">
        <v>98</v>
      </c>
      <c r="M9" t="s">
        <v>170</v>
      </c>
    </row>
    <row r="10" spans="1:21" x14ac:dyDescent="0.35">
      <c r="A10" t="s">
        <v>171</v>
      </c>
      <c r="B10" t="s">
        <v>172</v>
      </c>
      <c r="D10" t="s">
        <v>173</v>
      </c>
      <c r="E10" t="s">
        <v>27</v>
      </c>
      <c r="F10" t="s">
        <v>174</v>
      </c>
      <c r="G10" s="3" t="s">
        <v>175</v>
      </c>
      <c r="H10" s="3" t="s">
        <v>176</v>
      </c>
      <c r="I10" t="s">
        <v>177</v>
      </c>
      <c r="J10" t="s">
        <v>178</v>
      </c>
      <c r="K10" t="s">
        <v>179</v>
      </c>
      <c r="L10" t="s">
        <v>98</v>
      </c>
      <c r="M10" t="s">
        <v>180</v>
      </c>
    </row>
    <row r="11" spans="1:21" x14ac:dyDescent="0.35">
      <c r="A11" t="s">
        <v>181</v>
      </c>
      <c r="B11" t="s">
        <v>172</v>
      </c>
      <c r="C11" t="s">
        <v>22</v>
      </c>
      <c r="D11" t="s">
        <v>182</v>
      </c>
      <c r="E11" t="s">
        <v>17</v>
      </c>
      <c r="F11" t="s">
        <v>174</v>
      </c>
      <c r="G11" s="3" t="s">
        <v>183</v>
      </c>
      <c r="H11" s="3" t="s">
        <v>184</v>
      </c>
      <c r="I11" t="s">
        <v>185</v>
      </c>
      <c r="J11" t="s">
        <v>186</v>
      </c>
      <c r="K11" t="s">
        <v>187</v>
      </c>
      <c r="L11" t="s">
        <v>98</v>
      </c>
      <c r="M11" t="s">
        <v>188</v>
      </c>
    </row>
    <row r="12" spans="1:21" x14ac:dyDescent="0.35">
      <c r="A12" t="s">
        <v>189</v>
      </c>
      <c r="B12" t="s">
        <v>80</v>
      </c>
      <c r="C12" t="s">
        <v>68</v>
      </c>
      <c r="D12" t="s">
        <v>190</v>
      </c>
      <c r="E12" t="s">
        <v>32</v>
      </c>
      <c r="F12" t="s">
        <v>191</v>
      </c>
      <c r="G12" s="3" t="s">
        <v>192</v>
      </c>
      <c r="H12" s="3" t="s">
        <v>193</v>
      </c>
      <c r="I12" t="s">
        <v>194</v>
      </c>
      <c r="J12" t="s">
        <v>195</v>
      </c>
      <c r="K12" t="s">
        <v>196</v>
      </c>
      <c r="L12" t="s">
        <v>98</v>
      </c>
      <c r="M12" t="s">
        <v>197</v>
      </c>
    </row>
    <row r="13" spans="1:21" x14ac:dyDescent="0.35">
      <c r="A13" t="s">
        <v>198</v>
      </c>
      <c r="B13" t="s">
        <v>124</v>
      </c>
      <c r="C13" t="s">
        <v>199</v>
      </c>
      <c r="D13" t="s">
        <v>200</v>
      </c>
      <c r="E13" t="s">
        <v>27</v>
      </c>
      <c r="F13" t="s">
        <v>127</v>
      </c>
      <c r="G13" s="3" t="s">
        <v>201</v>
      </c>
      <c r="H13" s="3" t="s">
        <v>202</v>
      </c>
      <c r="I13" t="s">
        <v>203</v>
      </c>
      <c r="J13" t="s">
        <v>204</v>
      </c>
      <c r="K13" t="s">
        <v>205</v>
      </c>
      <c r="L13" t="s">
        <v>98</v>
      </c>
      <c r="M13" t="s">
        <v>206</v>
      </c>
    </row>
    <row r="14" spans="1:21" x14ac:dyDescent="0.35">
      <c r="A14" t="s">
        <v>207</v>
      </c>
      <c r="B14" t="s">
        <v>124</v>
      </c>
      <c r="C14" t="s">
        <v>208</v>
      </c>
      <c r="D14" t="s">
        <v>209</v>
      </c>
      <c r="E14" t="s">
        <v>41</v>
      </c>
      <c r="F14" t="s">
        <v>127</v>
      </c>
      <c r="G14" s="3" t="s">
        <v>210</v>
      </c>
      <c r="H14" s="3" t="s">
        <v>211</v>
      </c>
      <c r="I14" t="s">
        <v>212</v>
      </c>
      <c r="J14" t="s">
        <v>213</v>
      </c>
      <c r="K14" t="s">
        <v>214</v>
      </c>
      <c r="L14" t="s">
        <v>98</v>
      </c>
      <c r="M14" t="s">
        <v>215</v>
      </c>
    </row>
    <row r="15" spans="1:21" x14ac:dyDescent="0.35">
      <c r="A15" t="s">
        <v>65</v>
      </c>
      <c r="B15" t="s">
        <v>124</v>
      </c>
      <c r="C15" t="s">
        <v>66</v>
      </c>
      <c r="D15" t="s">
        <v>216</v>
      </c>
      <c r="E15" t="s">
        <v>32</v>
      </c>
      <c r="F15" t="s">
        <v>127</v>
      </c>
      <c r="G15" s="3" t="s">
        <v>217</v>
      </c>
      <c r="H15" s="3" t="s">
        <v>218</v>
      </c>
      <c r="I15" t="s">
        <v>219</v>
      </c>
      <c r="J15" t="s">
        <v>220</v>
      </c>
      <c r="K15" t="s">
        <v>221</v>
      </c>
      <c r="L15" t="s">
        <v>98</v>
      </c>
      <c r="M15" t="s">
        <v>222</v>
      </c>
    </row>
    <row r="16" spans="1:21" x14ac:dyDescent="0.35">
      <c r="A16" t="s">
        <v>223</v>
      </c>
      <c r="B16" t="s">
        <v>124</v>
      </c>
      <c r="C16" t="s">
        <v>224</v>
      </c>
      <c r="D16" t="s">
        <v>225</v>
      </c>
      <c r="E16" t="s">
        <v>36</v>
      </c>
      <c r="F16" t="s">
        <v>127</v>
      </c>
      <c r="G16" s="3" t="s">
        <v>226</v>
      </c>
      <c r="H16" s="3" t="s">
        <v>227</v>
      </c>
      <c r="I16" t="s">
        <v>228</v>
      </c>
      <c r="J16" t="s">
        <v>229</v>
      </c>
      <c r="K16" t="s">
        <v>230</v>
      </c>
      <c r="L16" t="s">
        <v>98</v>
      </c>
      <c r="M16" t="s">
        <v>231</v>
      </c>
    </row>
    <row r="17" spans="1:21" x14ac:dyDescent="0.35">
      <c r="A17" t="s">
        <v>232</v>
      </c>
      <c r="B17" t="s">
        <v>233</v>
      </c>
      <c r="C17" t="s">
        <v>68</v>
      </c>
      <c r="D17" t="s">
        <v>234</v>
      </c>
      <c r="E17" t="s">
        <v>29</v>
      </c>
      <c r="F17" t="s">
        <v>235</v>
      </c>
      <c r="G17" s="3" t="s">
        <v>236</v>
      </c>
      <c r="H17" s="3" t="s">
        <v>237</v>
      </c>
      <c r="I17" t="s">
        <v>238</v>
      </c>
      <c r="J17" t="s">
        <v>239</v>
      </c>
      <c r="K17" t="s">
        <v>240</v>
      </c>
      <c r="L17" t="s">
        <v>98</v>
      </c>
      <c r="M17" t="s">
        <v>241</v>
      </c>
    </row>
    <row r="18" spans="1:21" x14ac:dyDescent="0.35">
      <c r="A18" t="s">
        <v>62</v>
      </c>
      <c r="B18" t="s">
        <v>61</v>
      </c>
      <c r="C18" t="s">
        <v>46</v>
      </c>
      <c r="D18" t="s">
        <v>242</v>
      </c>
      <c r="E18" t="s">
        <v>29</v>
      </c>
      <c r="F18" t="s">
        <v>92</v>
      </c>
      <c r="G18" s="3" t="s">
        <v>243</v>
      </c>
      <c r="H18" s="3" t="s">
        <v>244</v>
      </c>
      <c r="I18" t="s">
        <v>245</v>
      </c>
      <c r="J18" t="s">
        <v>246</v>
      </c>
      <c r="K18" t="s">
        <v>247</v>
      </c>
      <c r="L18" t="s">
        <v>98</v>
      </c>
      <c r="M18" t="s">
        <v>248</v>
      </c>
    </row>
    <row r="19" spans="1:21" x14ac:dyDescent="0.35">
      <c r="A19" t="s">
        <v>249</v>
      </c>
      <c r="B19" t="s">
        <v>61</v>
      </c>
      <c r="C19" t="s">
        <v>30</v>
      </c>
      <c r="D19" t="s">
        <v>250</v>
      </c>
      <c r="E19" t="s">
        <v>20</v>
      </c>
      <c r="F19" t="s">
        <v>92</v>
      </c>
      <c r="G19" s="3" t="s">
        <v>251</v>
      </c>
      <c r="H19" s="3" t="s">
        <v>252</v>
      </c>
      <c r="I19" t="s">
        <v>253</v>
      </c>
      <c r="J19" t="s">
        <v>254</v>
      </c>
      <c r="K19" t="s">
        <v>255</v>
      </c>
      <c r="L19" t="s">
        <v>98</v>
      </c>
      <c r="M19" t="s">
        <v>256</v>
      </c>
    </row>
    <row r="20" spans="1:21" x14ac:dyDescent="0.35">
      <c r="A20" t="s">
        <v>257</v>
      </c>
      <c r="B20" t="s">
        <v>124</v>
      </c>
      <c r="C20" t="s">
        <v>258</v>
      </c>
      <c r="D20" t="s">
        <v>259</v>
      </c>
      <c r="E20" t="s">
        <v>17</v>
      </c>
      <c r="F20" t="s">
        <v>127</v>
      </c>
      <c r="G20" s="3" t="s">
        <v>260</v>
      </c>
      <c r="H20" s="3" t="s">
        <v>261</v>
      </c>
      <c r="I20" t="s">
        <v>262</v>
      </c>
      <c r="J20" t="s">
        <v>263</v>
      </c>
      <c r="K20" t="s">
        <v>264</v>
      </c>
      <c r="L20" t="s">
        <v>98</v>
      </c>
      <c r="M20" t="s">
        <v>265</v>
      </c>
    </row>
    <row r="21" spans="1:21" x14ac:dyDescent="0.35">
      <c r="A21" t="s">
        <v>266</v>
      </c>
      <c r="B21" t="s">
        <v>61</v>
      </c>
      <c r="C21" t="s">
        <v>44</v>
      </c>
      <c r="D21" t="s">
        <v>267</v>
      </c>
      <c r="E21" t="s">
        <v>32</v>
      </c>
      <c r="F21" t="s">
        <v>92</v>
      </c>
      <c r="G21" s="3" t="s">
        <v>268</v>
      </c>
      <c r="H21" s="3" t="s">
        <v>269</v>
      </c>
      <c r="I21" t="s">
        <v>270</v>
      </c>
      <c r="J21" t="s">
        <v>271</v>
      </c>
      <c r="K21" t="s">
        <v>272</v>
      </c>
      <c r="L21" t="s">
        <v>98</v>
      </c>
      <c r="M21" t="s">
        <v>273</v>
      </c>
    </row>
    <row r="22" spans="1:21" x14ac:dyDescent="0.35">
      <c r="A22" t="s">
        <v>274</v>
      </c>
      <c r="B22" t="s">
        <v>124</v>
      </c>
      <c r="C22" t="s">
        <v>275</v>
      </c>
      <c r="D22" t="s">
        <v>276</v>
      </c>
      <c r="E22" t="s">
        <v>17</v>
      </c>
      <c r="F22" t="s">
        <v>127</v>
      </c>
      <c r="G22" s="3" t="s">
        <v>277</v>
      </c>
      <c r="H22" s="3" t="s">
        <v>278</v>
      </c>
      <c r="I22" t="s">
        <v>279</v>
      </c>
      <c r="J22" t="s">
        <v>280</v>
      </c>
      <c r="K22" t="s">
        <v>281</v>
      </c>
      <c r="L22" t="s">
        <v>98</v>
      </c>
      <c r="M22" t="s">
        <v>282</v>
      </c>
    </row>
    <row r="23" spans="1:21" x14ac:dyDescent="0.35">
      <c r="A23" t="s">
        <v>283</v>
      </c>
      <c r="B23" t="s">
        <v>284</v>
      </c>
      <c r="C23" t="s">
        <v>285</v>
      </c>
      <c r="D23" t="s">
        <v>286</v>
      </c>
      <c r="E23" t="s">
        <v>17</v>
      </c>
      <c r="F23" t="s">
        <v>287</v>
      </c>
      <c r="G23" s="3" t="s">
        <v>288</v>
      </c>
      <c r="H23" s="3" t="s">
        <v>289</v>
      </c>
      <c r="I23" t="s">
        <v>290</v>
      </c>
      <c r="J23" t="s">
        <v>291</v>
      </c>
      <c r="K23" t="s">
        <v>292</v>
      </c>
      <c r="L23" t="s">
        <v>98</v>
      </c>
      <c r="M23" t="s">
        <v>293</v>
      </c>
      <c r="T23" t="s">
        <v>55</v>
      </c>
    </row>
    <row r="24" spans="1:21" x14ac:dyDescent="0.35">
      <c r="A24" t="s">
        <v>294</v>
      </c>
      <c r="B24" t="s">
        <v>124</v>
      </c>
      <c r="C24" t="s">
        <v>295</v>
      </c>
      <c r="D24" t="s">
        <v>296</v>
      </c>
      <c r="E24" t="s">
        <v>17</v>
      </c>
      <c r="F24" t="s">
        <v>127</v>
      </c>
      <c r="G24" s="3" t="s">
        <v>297</v>
      </c>
      <c r="H24" s="3" t="s">
        <v>298</v>
      </c>
      <c r="I24" t="s">
        <v>299</v>
      </c>
      <c r="J24" t="s">
        <v>300</v>
      </c>
      <c r="K24" t="s">
        <v>301</v>
      </c>
      <c r="L24" t="s">
        <v>98</v>
      </c>
      <c r="M24" t="s">
        <v>302</v>
      </c>
    </row>
    <row r="25" spans="1:21" x14ac:dyDescent="0.35">
      <c r="A25" t="s">
        <v>303</v>
      </c>
      <c r="B25" t="s">
        <v>304</v>
      </c>
      <c r="C25" t="s">
        <v>43</v>
      </c>
      <c r="D25" t="s">
        <v>305</v>
      </c>
      <c r="E25" t="s">
        <v>27</v>
      </c>
      <c r="F25" t="s">
        <v>306</v>
      </c>
      <c r="G25" s="3" t="s">
        <v>307</v>
      </c>
      <c r="H25" s="3" t="s">
        <v>308</v>
      </c>
      <c r="I25" t="s">
        <v>309</v>
      </c>
      <c r="J25" t="s">
        <v>310</v>
      </c>
      <c r="K25" t="s">
        <v>311</v>
      </c>
      <c r="L25" t="s">
        <v>98</v>
      </c>
      <c r="M25" t="s">
        <v>312</v>
      </c>
    </row>
    <row r="26" spans="1:21" x14ac:dyDescent="0.35">
      <c r="A26" t="s">
        <v>313</v>
      </c>
      <c r="B26" t="s">
        <v>314</v>
      </c>
      <c r="C26" t="s">
        <v>315</v>
      </c>
      <c r="D26" t="s">
        <v>316</v>
      </c>
      <c r="E26" t="s">
        <v>17</v>
      </c>
      <c r="F26" t="s">
        <v>317</v>
      </c>
      <c r="G26" s="3" t="s">
        <v>318</v>
      </c>
      <c r="H26" s="3" t="s">
        <v>319</v>
      </c>
      <c r="I26" t="s">
        <v>320</v>
      </c>
      <c r="J26" t="s">
        <v>321</v>
      </c>
      <c r="K26" t="s">
        <v>322</v>
      </c>
      <c r="L26" t="s">
        <v>98</v>
      </c>
      <c r="M26" t="s">
        <v>323</v>
      </c>
      <c r="U26" t="s">
        <v>324</v>
      </c>
    </row>
    <row r="27" spans="1:21" x14ac:dyDescent="0.35">
      <c r="A27" t="s">
        <v>325</v>
      </c>
      <c r="B27" t="s">
        <v>80</v>
      </c>
      <c r="C27" t="s">
        <v>326</v>
      </c>
      <c r="D27" t="s">
        <v>327</v>
      </c>
      <c r="E27" t="s">
        <v>36</v>
      </c>
      <c r="F27" t="s">
        <v>191</v>
      </c>
      <c r="G27" s="3" t="s">
        <v>328</v>
      </c>
      <c r="H27" s="3" t="s">
        <v>329</v>
      </c>
      <c r="I27" t="s">
        <v>330</v>
      </c>
      <c r="J27" t="s">
        <v>331</v>
      </c>
      <c r="K27" t="s">
        <v>332</v>
      </c>
      <c r="L27" t="s">
        <v>98</v>
      </c>
      <c r="M27" t="s">
        <v>333</v>
      </c>
    </row>
    <row r="28" spans="1:21" x14ac:dyDescent="0.35">
      <c r="A28" t="s">
        <v>334</v>
      </c>
      <c r="B28" t="s">
        <v>80</v>
      </c>
      <c r="C28" t="s">
        <v>83</v>
      </c>
      <c r="D28" t="s">
        <v>335</v>
      </c>
      <c r="E28" t="s">
        <v>34</v>
      </c>
      <c r="F28" t="s">
        <v>191</v>
      </c>
      <c r="G28" s="3" t="s">
        <v>336</v>
      </c>
      <c r="H28" s="3" t="s">
        <v>337</v>
      </c>
      <c r="I28" t="s">
        <v>338</v>
      </c>
      <c r="J28" t="s">
        <v>339</v>
      </c>
      <c r="K28" t="s">
        <v>340</v>
      </c>
      <c r="L28" t="s">
        <v>98</v>
      </c>
      <c r="M28" t="s">
        <v>341</v>
      </c>
    </row>
    <row r="29" spans="1:21" x14ac:dyDescent="0.35">
      <c r="A29" t="s">
        <v>342</v>
      </c>
      <c r="B29" t="s">
        <v>64</v>
      </c>
      <c r="C29" t="s">
        <v>37</v>
      </c>
      <c r="D29" t="s">
        <v>343</v>
      </c>
      <c r="E29" t="s">
        <v>27</v>
      </c>
      <c r="F29" t="s">
        <v>344</v>
      </c>
      <c r="G29" s="3" t="s">
        <v>345</v>
      </c>
      <c r="H29" s="3" t="s">
        <v>346</v>
      </c>
      <c r="I29" t="s">
        <v>347</v>
      </c>
      <c r="J29" t="s">
        <v>348</v>
      </c>
      <c r="K29" t="s">
        <v>349</v>
      </c>
      <c r="L29" t="s">
        <v>98</v>
      </c>
      <c r="M29" t="s">
        <v>350</v>
      </c>
    </row>
    <row r="30" spans="1:21" x14ac:dyDescent="0.35">
      <c r="A30" t="s">
        <v>351</v>
      </c>
      <c r="B30" t="s">
        <v>80</v>
      </c>
      <c r="C30" t="s">
        <v>83</v>
      </c>
      <c r="D30" t="s">
        <v>352</v>
      </c>
      <c r="E30" t="s">
        <v>34</v>
      </c>
      <c r="F30" t="s">
        <v>191</v>
      </c>
      <c r="G30" s="3" t="s">
        <v>353</v>
      </c>
      <c r="H30" s="3" t="s">
        <v>354</v>
      </c>
      <c r="I30" t="s">
        <v>355</v>
      </c>
      <c r="J30" t="s">
        <v>356</v>
      </c>
      <c r="K30" t="s">
        <v>357</v>
      </c>
      <c r="L30" t="s">
        <v>98</v>
      </c>
      <c r="M30" t="s">
        <v>358</v>
      </c>
    </row>
    <row r="31" spans="1:21" x14ac:dyDescent="0.35">
      <c r="A31" t="s">
        <v>359</v>
      </c>
      <c r="B31" t="s">
        <v>80</v>
      </c>
      <c r="C31" t="s">
        <v>57</v>
      </c>
      <c r="D31" t="s">
        <v>360</v>
      </c>
      <c r="E31" t="s">
        <v>41</v>
      </c>
      <c r="F31" t="s">
        <v>191</v>
      </c>
      <c r="G31" s="3" t="s">
        <v>361</v>
      </c>
      <c r="H31" s="3" t="s">
        <v>362</v>
      </c>
      <c r="I31" t="s">
        <v>363</v>
      </c>
      <c r="J31" t="s">
        <v>364</v>
      </c>
      <c r="K31" t="s">
        <v>365</v>
      </c>
      <c r="L31" t="s">
        <v>98</v>
      </c>
      <c r="M31" t="s">
        <v>366</v>
      </c>
    </row>
    <row r="32" spans="1:21" x14ac:dyDescent="0.35">
      <c r="A32" t="s">
        <v>367</v>
      </c>
      <c r="B32" t="s">
        <v>368</v>
      </c>
      <c r="C32" t="s">
        <v>35</v>
      </c>
      <c r="D32" t="s">
        <v>369</v>
      </c>
      <c r="E32" t="s">
        <v>17</v>
      </c>
      <c r="F32" t="s">
        <v>370</v>
      </c>
      <c r="G32" s="3" t="s">
        <v>371</v>
      </c>
      <c r="H32" s="3" t="s">
        <v>372</v>
      </c>
      <c r="I32" t="s">
        <v>373</v>
      </c>
      <c r="J32" t="s">
        <v>374</v>
      </c>
      <c r="K32" t="s">
        <v>375</v>
      </c>
      <c r="L32" t="s">
        <v>98</v>
      </c>
      <c r="M32" t="s">
        <v>376</v>
      </c>
      <c r="T32" t="s">
        <v>33</v>
      </c>
    </row>
    <row r="33" spans="1:20" x14ac:dyDescent="0.35">
      <c r="A33" t="s">
        <v>377</v>
      </c>
      <c r="B33" t="s">
        <v>124</v>
      </c>
      <c r="C33" t="s">
        <v>378</v>
      </c>
      <c r="D33" t="s">
        <v>379</v>
      </c>
      <c r="E33" t="s">
        <v>20</v>
      </c>
      <c r="F33" t="s">
        <v>127</v>
      </c>
      <c r="G33" s="3" t="s">
        <v>380</v>
      </c>
      <c r="H33" s="3" t="s">
        <v>381</v>
      </c>
      <c r="I33" t="s">
        <v>382</v>
      </c>
      <c r="J33" t="s">
        <v>383</v>
      </c>
      <c r="K33" t="s">
        <v>384</v>
      </c>
      <c r="L33" t="s">
        <v>98</v>
      </c>
      <c r="M33" t="s">
        <v>385</v>
      </c>
    </row>
    <row r="34" spans="1:20" x14ac:dyDescent="0.35">
      <c r="A34" t="s">
        <v>386</v>
      </c>
      <c r="B34" t="s">
        <v>387</v>
      </c>
      <c r="C34" t="s">
        <v>388</v>
      </c>
      <c r="D34" t="s">
        <v>389</v>
      </c>
      <c r="E34" t="s">
        <v>27</v>
      </c>
      <c r="F34" t="s">
        <v>390</v>
      </c>
      <c r="G34" s="3" t="s">
        <v>391</v>
      </c>
      <c r="H34" s="3" t="s">
        <v>392</v>
      </c>
      <c r="I34" t="s">
        <v>393</v>
      </c>
      <c r="J34" t="s">
        <v>394</v>
      </c>
      <c r="K34" t="s">
        <v>395</v>
      </c>
      <c r="L34" t="s">
        <v>98</v>
      </c>
      <c r="M34" t="s">
        <v>396</v>
      </c>
      <c r="T34" t="s">
        <v>21</v>
      </c>
    </row>
    <row r="35" spans="1:20" x14ac:dyDescent="0.35">
      <c r="A35" t="s">
        <v>397</v>
      </c>
      <c r="B35" t="s">
        <v>80</v>
      </c>
      <c r="C35" t="s">
        <v>398</v>
      </c>
      <c r="D35" t="s">
        <v>399</v>
      </c>
      <c r="E35" t="s">
        <v>32</v>
      </c>
      <c r="F35" t="s">
        <v>191</v>
      </c>
      <c r="G35" s="3" t="s">
        <v>400</v>
      </c>
      <c r="H35" s="3" t="s">
        <v>401</v>
      </c>
      <c r="I35" t="s">
        <v>402</v>
      </c>
      <c r="J35" t="s">
        <v>403</v>
      </c>
      <c r="K35" t="s">
        <v>404</v>
      </c>
      <c r="L35" t="s">
        <v>98</v>
      </c>
      <c r="M35" t="s">
        <v>405</v>
      </c>
    </row>
    <row r="36" spans="1:20" x14ac:dyDescent="0.35">
      <c r="A36" t="s">
        <v>63</v>
      </c>
      <c r="B36" t="s">
        <v>64</v>
      </c>
      <c r="C36" t="s">
        <v>24</v>
      </c>
      <c r="D36" t="s">
        <v>406</v>
      </c>
      <c r="E36" t="s">
        <v>32</v>
      </c>
      <c r="F36" t="s">
        <v>344</v>
      </c>
      <c r="G36" s="3" t="s">
        <v>407</v>
      </c>
      <c r="H36" s="3" t="s">
        <v>408</v>
      </c>
      <c r="I36" t="s">
        <v>409</v>
      </c>
      <c r="J36" t="s">
        <v>410</v>
      </c>
      <c r="K36" t="s">
        <v>411</v>
      </c>
      <c r="L36" t="s">
        <v>98</v>
      </c>
      <c r="M36" t="s">
        <v>412</v>
      </c>
    </row>
    <row r="37" spans="1:20" x14ac:dyDescent="0.35">
      <c r="A37" t="s">
        <v>413</v>
      </c>
      <c r="B37" t="s">
        <v>64</v>
      </c>
      <c r="C37" t="s">
        <v>25</v>
      </c>
      <c r="D37" t="s">
        <v>414</v>
      </c>
      <c r="E37" t="s">
        <v>27</v>
      </c>
      <c r="F37" t="s">
        <v>344</v>
      </c>
      <c r="G37" s="3" t="s">
        <v>415</v>
      </c>
      <c r="H37" s="3" t="s">
        <v>416</v>
      </c>
      <c r="I37" t="s">
        <v>417</v>
      </c>
      <c r="J37" t="s">
        <v>418</v>
      </c>
      <c r="K37" t="s">
        <v>419</v>
      </c>
      <c r="L37" t="s">
        <v>98</v>
      </c>
      <c r="M37" t="s">
        <v>420</v>
      </c>
    </row>
    <row r="38" spans="1:20" x14ac:dyDescent="0.35">
      <c r="A38" t="s">
        <v>421</v>
      </c>
      <c r="B38" t="s">
        <v>124</v>
      </c>
      <c r="C38" t="s">
        <v>422</v>
      </c>
      <c r="D38" t="s">
        <v>423</v>
      </c>
      <c r="E38" t="s">
        <v>29</v>
      </c>
      <c r="F38" t="s">
        <v>127</v>
      </c>
      <c r="G38" s="3" t="s">
        <v>424</v>
      </c>
      <c r="H38" s="3" t="s">
        <v>425</v>
      </c>
      <c r="I38" t="s">
        <v>426</v>
      </c>
      <c r="J38" t="s">
        <v>427</v>
      </c>
      <c r="K38" t="s">
        <v>428</v>
      </c>
      <c r="L38" t="s">
        <v>98</v>
      </c>
      <c r="M38" t="s">
        <v>429</v>
      </c>
    </row>
    <row r="39" spans="1:20" x14ac:dyDescent="0.35">
      <c r="A39" t="s">
        <v>430</v>
      </c>
      <c r="B39" t="s">
        <v>431</v>
      </c>
      <c r="C39" t="s">
        <v>54</v>
      </c>
      <c r="D39" t="s">
        <v>432</v>
      </c>
      <c r="E39" t="s">
        <v>34</v>
      </c>
      <c r="F39" t="s">
        <v>433</v>
      </c>
      <c r="G39" s="3" t="s">
        <v>434</v>
      </c>
      <c r="H39" s="3" t="s">
        <v>435</v>
      </c>
      <c r="I39" t="s">
        <v>436</v>
      </c>
      <c r="J39" t="s">
        <v>437</v>
      </c>
      <c r="K39" t="s">
        <v>438</v>
      </c>
      <c r="L39" t="s">
        <v>98</v>
      </c>
      <c r="M39" t="s">
        <v>439</v>
      </c>
    </row>
    <row r="40" spans="1:20" x14ac:dyDescent="0.35">
      <c r="A40" t="s">
        <v>440</v>
      </c>
      <c r="B40" t="s">
        <v>441</v>
      </c>
      <c r="C40" t="s">
        <v>28</v>
      </c>
      <c r="D40" t="s">
        <v>442</v>
      </c>
      <c r="E40" t="s">
        <v>29</v>
      </c>
      <c r="F40" t="s">
        <v>443</v>
      </c>
      <c r="G40" s="3" t="s">
        <v>444</v>
      </c>
      <c r="H40" s="3" t="s">
        <v>445</v>
      </c>
      <c r="I40" t="s">
        <v>446</v>
      </c>
      <c r="J40" t="s">
        <v>447</v>
      </c>
      <c r="K40" t="s">
        <v>448</v>
      </c>
      <c r="L40" t="s">
        <v>98</v>
      </c>
      <c r="M40" t="s">
        <v>449</v>
      </c>
    </row>
    <row r="41" spans="1:20" x14ac:dyDescent="0.35">
      <c r="A41" t="s">
        <v>450</v>
      </c>
      <c r="B41" t="s">
        <v>441</v>
      </c>
      <c r="C41" t="s">
        <v>24</v>
      </c>
      <c r="D41" t="s">
        <v>451</v>
      </c>
      <c r="E41" t="s">
        <v>34</v>
      </c>
      <c r="F41" t="s">
        <v>443</v>
      </c>
      <c r="G41" s="3" t="s">
        <v>452</v>
      </c>
      <c r="H41" s="3" t="s">
        <v>453</v>
      </c>
      <c r="I41" t="s">
        <v>454</v>
      </c>
      <c r="J41" t="s">
        <v>455</v>
      </c>
      <c r="K41" t="s">
        <v>456</v>
      </c>
      <c r="L41" t="s">
        <v>98</v>
      </c>
      <c r="M41" t="s">
        <v>457</v>
      </c>
    </row>
    <row r="42" spans="1:20" x14ac:dyDescent="0.35">
      <c r="A42" t="s">
        <v>458</v>
      </c>
      <c r="B42" t="s">
        <v>284</v>
      </c>
      <c r="C42" t="s">
        <v>68</v>
      </c>
      <c r="D42" t="s">
        <v>459</v>
      </c>
      <c r="E42" t="s">
        <v>20</v>
      </c>
      <c r="F42" t="s">
        <v>287</v>
      </c>
      <c r="G42" s="3" t="s">
        <v>460</v>
      </c>
      <c r="H42" s="3" t="s">
        <v>461</v>
      </c>
      <c r="I42" t="s">
        <v>462</v>
      </c>
      <c r="J42" t="s">
        <v>67</v>
      </c>
      <c r="K42" t="s">
        <v>463</v>
      </c>
      <c r="L42" t="s">
        <v>98</v>
      </c>
      <c r="M42" t="s">
        <v>464</v>
      </c>
      <c r="T42" t="s">
        <v>69</v>
      </c>
    </row>
    <row r="43" spans="1:20" x14ac:dyDescent="0.35">
      <c r="A43" t="s">
        <v>465</v>
      </c>
      <c r="B43" t="s">
        <v>124</v>
      </c>
      <c r="C43" t="s">
        <v>466</v>
      </c>
      <c r="D43" t="s">
        <v>467</v>
      </c>
      <c r="E43" t="s">
        <v>32</v>
      </c>
      <c r="F43" t="s">
        <v>127</v>
      </c>
      <c r="G43" s="3" t="s">
        <v>468</v>
      </c>
      <c r="H43" s="3" t="s">
        <v>469</v>
      </c>
      <c r="I43" t="s">
        <v>470</v>
      </c>
      <c r="J43" t="s">
        <v>471</v>
      </c>
      <c r="K43" t="s">
        <v>472</v>
      </c>
      <c r="L43" t="s">
        <v>98</v>
      </c>
      <c r="M43" t="s">
        <v>473</v>
      </c>
    </row>
    <row r="44" spans="1:20" x14ac:dyDescent="0.35">
      <c r="A44" t="s">
        <v>474</v>
      </c>
      <c r="B44" t="s">
        <v>61</v>
      </c>
      <c r="C44" t="s">
        <v>40</v>
      </c>
      <c r="D44" t="s">
        <v>475</v>
      </c>
      <c r="E44" t="s">
        <v>36</v>
      </c>
      <c r="F44" t="s">
        <v>92</v>
      </c>
      <c r="G44" s="3" t="s">
        <v>476</v>
      </c>
      <c r="H44" s="3" t="s">
        <v>477</v>
      </c>
      <c r="I44" t="s">
        <v>478</v>
      </c>
      <c r="J44" t="s">
        <v>479</v>
      </c>
      <c r="K44" t="s">
        <v>480</v>
      </c>
      <c r="L44" t="s">
        <v>98</v>
      </c>
      <c r="M44" t="s">
        <v>481</v>
      </c>
    </row>
    <row r="45" spans="1:20" x14ac:dyDescent="0.35">
      <c r="A45" t="s">
        <v>482</v>
      </c>
      <c r="B45" t="s">
        <v>124</v>
      </c>
      <c r="C45" t="s">
        <v>483</v>
      </c>
      <c r="D45" t="s">
        <v>484</v>
      </c>
      <c r="E45" t="s">
        <v>27</v>
      </c>
      <c r="F45" t="s">
        <v>127</v>
      </c>
      <c r="G45" s="3" t="s">
        <v>485</v>
      </c>
      <c r="H45" s="3" t="s">
        <v>486</v>
      </c>
      <c r="I45" t="s">
        <v>487</v>
      </c>
      <c r="J45" t="s">
        <v>488</v>
      </c>
      <c r="K45" t="s">
        <v>489</v>
      </c>
      <c r="L45" t="s">
        <v>98</v>
      </c>
      <c r="M45" t="s">
        <v>490</v>
      </c>
    </row>
    <row r="46" spans="1:20" x14ac:dyDescent="0.35">
      <c r="A46" t="s">
        <v>491</v>
      </c>
      <c r="B46" t="s">
        <v>71</v>
      </c>
      <c r="C46" t="s">
        <v>69</v>
      </c>
      <c r="D46" t="s">
        <v>492</v>
      </c>
      <c r="E46" t="s">
        <v>27</v>
      </c>
      <c r="F46" t="s">
        <v>155</v>
      </c>
      <c r="G46" s="3" t="s">
        <v>493</v>
      </c>
      <c r="H46" s="3" t="s">
        <v>494</v>
      </c>
      <c r="I46" t="s">
        <v>495</v>
      </c>
      <c r="J46" t="s">
        <v>496</v>
      </c>
      <c r="K46" t="s">
        <v>497</v>
      </c>
      <c r="L46" t="s">
        <v>98</v>
      </c>
      <c r="M46" t="s">
        <v>498</v>
      </c>
    </row>
    <row r="47" spans="1:20" x14ac:dyDescent="0.35">
      <c r="A47" t="s">
        <v>499</v>
      </c>
      <c r="B47" t="s">
        <v>64</v>
      </c>
      <c r="C47" t="s">
        <v>42</v>
      </c>
      <c r="D47" t="s">
        <v>500</v>
      </c>
      <c r="E47" t="s">
        <v>23</v>
      </c>
      <c r="F47" t="s">
        <v>344</v>
      </c>
      <c r="G47" s="3" t="s">
        <v>501</v>
      </c>
      <c r="H47" s="3" t="s">
        <v>502</v>
      </c>
      <c r="I47" t="s">
        <v>503</v>
      </c>
      <c r="J47" t="s">
        <v>504</v>
      </c>
      <c r="K47" t="s">
        <v>505</v>
      </c>
      <c r="L47" t="s">
        <v>98</v>
      </c>
      <c r="M47" t="s">
        <v>506</v>
      </c>
    </row>
    <row r="48" spans="1:20" x14ac:dyDescent="0.35">
      <c r="A48" t="s">
        <v>507</v>
      </c>
      <c r="D48" t="s">
        <v>508</v>
      </c>
      <c r="E48" t="s">
        <v>23</v>
      </c>
      <c r="G48" s="3" t="s">
        <v>509</v>
      </c>
      <c r="H48" s="3" t="s">
        <v>510</v>
      </c>
      <c r="I48" t="s">
        <v>511</v>
      </c>
      <c r="J48" t="s">
        <v>512</v>
      </c>
      <c r="K48" t="s">
        <v>513</v>
      </c>
      <c r="L48" t="s">
        <v>107</v>
      </c>
      <c r="M48" t="s">
        <v>514</v>
      </c>
      <c r="N48" t="s">
        <v>109</v>
      </c>
      <c r="O48" t="s">
        <v>110</v>
      </c>
      <c r="P48" t="s">
        <v>111</v>
      </c>
      <c r="Q48" t="s">
        <v>112</v>
      </c>
      <c r="R48" t="s">
        <v>113</v>
      </c>
      <c r="S48" t="s">
        <v>114</v>
      </c>
    </row>
    <row r="49" spans="1:20" x14ac:dyDescent="0.35">
      <c r="A49" t="s">
        <v>515</v>
      </c>
      <c r="B49" t="s">
        <v>368</v>
      </c>
      <c r="C49" t="s">
        <v>28</v>
      </c>
      <c r="D49" t="s">
        <v>516</v>
      </c>
      <c r="E49" t="s">
        <v>20</v>
      </c>
      <c r="F49" t="s">
        <v>370</v>
      </c>
      <c r="G49" s="3" t="s">
        <v>517</v>
      </c>
      <c r="H49" s="3" t="s">
        <v>518</v>
      </c>
      <c r="I49" t="s">
        <v>519</v>
      </c>
      <c r="J49" t="s">
        <v>520</v>
      </c>
      <c r="K49" t="s">
        <v>521</v>
      </c>
      <c r="L49" t="s">
        <v>98</v>
      </c>
      <c r="M49" t="s">
        <v>522</v>
      </c>
      <c r="T49" t="s">
        <v>26</v>
      </c>
    </row>
  </sheetData>
  <hyperlinks>
    <hyperlink ref="G2" r:id="rId1" xr:uid="{00000000-0004-0000-0F00-000000000000}"/>
    <hyperlink ref="H2" r:id="rId2" xr:uid="{00000000-0004-0000-0F00-000001000000}"/>
    <hyperlink ref="G3" r:id="rId3" xr:uid="{00000000-0004-0000-0F00-000002000000}"/>
    <hyperlink ref="H3" r:id="rId4" xr:uid="{00000000-0004-0000-0F00-000003000000}"/>
    <hyperlink ref="G4" r:id="rId5" xr:uid="{00000000-0004-0000-0F00-000004000000}"/>
    <hyperlink ref="H4" r:id="rId6" xr:uid="{00000000-0004-0000-0F00-000005000000}"/>
    <hyperlink ref="G5" r:id="rId7" xr:uid="{00000000-0004-0000-0F00-000006000000}"/>
    <hyperlink ref="H5" r:id="rId8" xr:uid="{00000000-0004-0000-0F00-000007000000}"/>
    <hyperlink ref="G6" r:id="rId9" xr:uid="{00000000-0004-0000-0F00-000008000000}"/>
    <hyperlink ref="H6" r:id="rId10" xr:uid="{00000000-0004-0000-0F00-000009000000}"/>
    <hyperlink ref="G7" r:id="rId11" xr:uid="{00000000-0004-0000-0F00-00000A000000}"/>
    <hyperlink ref="H7" r:id="rId12" xr:uid="{00000000-0004-0000-0F00-00000B000000}"/>
    <hyperlink ref="G8" r:id="rId13" xr:uid="{00000000-0004-0000-0F00-00000C000000}"/>
    <hyperlink ref="H8" r:id="rId14" xr:uid="{00000000-0004-0000-0F00-00000D000000}"/>
    <hyperlink ref="G9" r:id="rId15" xr:uid="{00000000-0004-0000-0F00-00000E000000}"/>
    <hyperlink ref="H9" r:id="rId16" xr:uid="{00000000-0004-0000-0F00-00000F000000}"/>
    <hyperlink ref="G10" r:id="rId17" xr:uid="{00000000-0004-0000-0F00-000010000000}"/>
    <hyperlink ref="H10" r:id="rId18" xr:uid="{00000000-0004-0000-0F00-000011000000}"/>
    <hyperlink ref="G11" r:id="rId19" xr:uid="{00000000-0004-0000-0F00-000012000000}"/>
    <hyperlink ref="H11" r:id="rId20" xr:uid="{00000000-0004-0000-0F00-000013000000}"/>
    <hyperlink ref="G12" r:id="rId21" xr:uid="{00000000-0004-0000-0F00-000014000000}"/>
    <hyperlink ref="H12" r:id="rId22" xr:uid="{00000000-0004-0000-0F00-000015000000}"/>
    <hyperlink ref="G13" r:id="rId23" xr:uid="{00000000-0004-0000-0F00-000016000000}"/>
    <hyperlink ref="H13" r:id="rId24" xr:uid="{00000000-0004-0000-0F00-000017000000}"/>
    <hyperlink ref="G14" r:id="rId25" xr:uid="{00000000-0004-0000-0F00-000018000000}"/>
    <hyperlink ref="H14" r:id="rId26" xr:uid="{00000000-0004-0000-0F00-000019000000}"/>
    <hyperlink ref="G15" r:id="rId27" xr:uid="{00000000-0004-0000-0F00-00001A000000}"/>
    <hyperlink ref="H15" r:id="rId28" xr:uid="{00000000-0004-0000-0F00-00001B000000}"/>
    <hyperlink ref="G16" r:id="rId29" xr:uid="{00000000-0004-0000-0F00-00001C000000}"/>
    <hyperlink ref="H16" r:id="rId30" xr:uid="{00000000-0004-0000-0F00-00001D000000}"/>
    <hyperlink ref="G17" r:id="rId31" xr:uid="{00000000-0004-0000-0F00-00001E000000}"/>
    <hyperlink ref="H17" r:id="rId32" xr:uid="{00000000-0004-0000-0F00-00001F000000}"/>
    <hyperlink ref="G18" r:id="rId33" xr:uid="{00000000-0004-0000-0F00-000020000000}"/>
    <hyperlink ref="H18" r:id="rId34" xr:uid="{00000000-0004-0000-0F00-000021000000}"/>
    <hyperlink ref="G19" r:id="rId35" xr:uid="{00000000-0004-0000-0F00-000022000000}"/>
    <hyperlink ref="H19" r:id="rId36" xr:uid="{00000000-0004-0000-0F00-000023000000}"/>
    <hyperlink ref="G20" r:id="rId37" xr:uid="{00000000-0004-0000-0F00-000024000000}"/>
    <hyperlink ref="H20" r:id="rId38" xr:uid="{00000000-0004-0000-0F00-000025000000}"/>
    <hyperlink ref="G21" r:id="rId39" xr:uid="{00000000-0004-0000-0F00-000026000000}"/>
    <hyperlink ref="H21" r:id="rId40" xr:uid="{00000000-0004-0000-0F00-000027000000}"/>
    <hyperlink ref="G22" r:id="rId41" xr:uid="{00000000-0004-0000-0F00-000028000000}"/>
    <hyperlink ref="H22" r:id="rId42" xr:uid="{00000000-0004-0000-0F00-000029000000}"/>
    <hyperlink ref="G23" r:id="rId43" xr:uid="{00000000-0004-0000-0F00-00002A000000}"/>
    <hyperlink ref="H23" r:id="rId44" xr:uid="{00000000-0004-0000-0F00-00002B000000}"/>
    <hyperlink ref="G24" r:id="rId45" xr:uid="{00000000-0004-0000-0F00-00002C000000}"/>
    <hyperlink ref="H24" r:id="rId46" xr:uid="{00000000-0004-0000-0F00-00002D000000}"/>
    <hyperlink ref="G25" r:id="rId47" xr:uid="{00000000-0004-0000-0F00-00002E000000}"/>
    <hyperlink ref="H25" r:id="rId48" xr:uid="{00000000-0004-0000-0F00-00002F000000}"/>
    <hyperlink ref="G26" r:id="rId49" xr:uid="{00000000-0004-0000-0F00-000030000000}"/>
    <hyperlink ref="H26" r:id="rId50" xr:uid="{00000000-0004-0000-0F00-000031000000}"/>
    <hyperlink ref="G27" r:id="rId51" xr:uid="{00000000-0004-0000-0F00-000032000000}"/>
    <hyperlink ref="H27" r:id="rId52" xr:uid="{00000000-0004-0000-0F00-000033000000}"/>
    <hyperlink ref="G28" r:id="rId53" xr:uid="{00000000-0004-0000-0F00-000034000000}"/>
    <hyperlink ref="H28" r:id="rId54" xr:uid="{00000000-0004-0000-0F00-000035000000}"/>
    <hyperlink ref="G29" r:id="rId55" xr:uid="{00000000-0004-0000-0F00-000036000000}"/>
    <hyperlink ref="H29" r:id="rId56" xr:uid="{00000000-0004-0000-0F00-000037000000}"/>
    <hyperlink ref="G30" r:id="rId57" xr:uid="{00000000-0004-0000-0F00-000038000000}"/>
    <hyperlink ref="H30" r:id="rId58" xr:uid="{00000000-0004-0000-0F00-000039000000}"/>
    <hyperlink ref="G31" r:id="rId59" xr:uid="{00000000-0004-0000-0F00-00003A000000}"/>
    <hyperlink ref="H31" r:id="rId60" xr:uid="{00000000-0004-0000-0F00-00003B000000}"/>
    <hyperlink ref="G32" r:id="rId61" xr:uid="{00000000-0004-0000-0F00-00003C000000}"/>
    <hyperlink ref="H32" r:id="rId62" xr:uid="{00000000-0004-0000-0F00-00003D000000}"/>
    <hyperlink ref="G33" r:id="rId63" xr:uid="{00000000-0004-0000-0F00-00003E000000}"/>
    <hyperlink ref="H33" r:id="rId64" xr:uid="{00000000-0004-0000-0F00-00003F000000}"/>
    <hyperlink ref="G34" r:id="rId65" xr:uid="{00000000-0004-0000-0F00-000040000000}"/>
    <hyperlink ref="H34" r:id="rId66" xr:uid="{00000000-0004-0000-0F00-000041000000}"/>
    <hyperlink ref="G35" r:id="rId67" xr:uid="{00000000-0004-0000-0F00-000042000000}"/>
    <hyperlink ref="H35" r:id="rId68" xr:uid="{00000000-0004-0000-0F00-000043000000}"/>
    <hyperlink ref="G36" r:id="rId69" xr:uid="{00000000-0004-0000-0F00-000044000000}"/>
    <hyperlink ref="H36" r:id="rId70" xr:uid="{00000000-0004-0000-0F00-000045000000}"/>
    <hyperlink ref="G37" r:id="rId71" xr:uid="{00000000-0004-0000-0F00-000046000000}"/>
    <hyperlink ref="H37" r:id="rId72" xr:uid="{00000000-0004-0000-0F00-000047000000}"/>
    <hyperlink ref="G38" r:id="rId73" xr:uid="{00000000-0004-0000-0F00-000048000000}"/>
    <hyperlink ref="H38" r:id="rId74" xr:uid="{00000000-0004-0000-0F00-000049000000}"/>
    <hyperlink ref="G39" r:id="rId75" xr:uid="{00000000-0004-0000-0F00-00004A000000}"/>
    <hyperlink ref="H39" r:id="rId76" xr:uid="{00000000-0004-0000-0F00-00004B000000}"/>
    <hyperlink ref="G40" r:id="rId77" xr:uid="{00000000-0004-0000-0F00-00004C000000}"/>
    <hyperlink ref="H40" r:id="rId78" xr:uid="{00000000-0004-0000-0F00-00004D000000}"/>
    <hyperlink ref="G41" r:id="rId79" xr:uid="{00000000-0004-0000-0F00-00004E000000}"/>
    <hyperlink ref="H41" r:id="rId80" xr:uid="{00000000-0004-0000-0F00-00004F000000}"/>
    <hyperlink ref="G42" r:id="rId81" xr:uid="{00000000-0004-0000-0F00-000050000000}"/>
    <hyperlink ref="H42" r:id="rId82" xr:uid="{00000000-0004-0000-0F00-000051000000}"/>
    <hyperlink ref="G43" r:id="rId83" xr:uid="{00000000-0004-0000-0F00-000052000000}"/>
    <hyperlink ref="H43" r:id="rId84" xr:uid="{00000000-0004-0000-0F00-000053000000}"/>
    <hyperlink ref="G44" r:id="rId85" xr:uid="{00000000-0004-0000-0F00-000054000000}"/>
    <hyperlink ref="H44" r:id="rId86" xr:uid="{00000000-0004-0000-0F00-000055000000}"/>
    <hyperlink ref="G45" r:id="rId87" xr:uid="{00000000-0004-0000-0F00-000056000000}"/>
    <hyperlink ref="H45" r:id="rId88" xr:uid="{00000000-0004-0000-0F00-000057000000}"/>
    <hyperlink ref="G46" r:id="rId89" xr:uid="{00000000-0004-0000-0F00-000058000000}"/>
    <hyperlink ref="H46" r:id="rId90" xr:uid="{00000000-0004-0000-0F00-000059000000}"/>
    <hyperlink ref="G47" r:id="rId91" xr:uid="{00000000-0004-0000-0F00-00005A000000}"/>
    <hyperlink ref="H47" r:id="rId92" xr:uid="{00000000-0004-0000-0F00-00005B000000}"/>
    <hyperlink ref="G48" r:id="rId93" xr:uid="{00000000-0004-0000-0F00-00005C000000}"/>
    <hyperlink ref="H48" r:id="rId94" xr:uid="{00000000-0004-0000-0F00-00005D000000}"/>
    <hyperlink ref="G49" r:id="rId95" xr:uid="{00000000-0004-0000-0F00-00005E000000}"/>
    <hyperlink ref="H49" r:id="rId96" xr:uid="{00000000-0004-0000-0F00-00005F000000}"/>
  </hyperlinks>
  <pageMargins left="0.70000000000000007" right="0.70000000000000007" top="0.75" bottom="0.75" header="0.30000000000000004" footer="0.3000000000000000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X39"/>
  <sheetViews>
    <sheetView workbookViewId="0"/>
  </sheetViews>
  <sheetFormatPr defaultRowHeight="14.5" x14ac:dyDescent="0.35"/>
  <cols>
    <col min="1" max="1" width="8.7265625" customWidth="1"/>
  </cols>
  <sheetData>
    <row r="1" spans="1:22" x14ac:dyDescent="0.35">
      <c r="A1" s="1" t="s">
        <v>87</v>
      </c>
      <c r="B1" s="1" t="s">
        <v>88</v>
      </c>
      <c r="C1" s="1" t="s">
        <v>0</v>
      </c>
      <c r="D1" s="1" t="s">
        <v>1</v>
      </c>
      <c r="E1" s="1" t="s">
        <v>2</v>
      </c>
      <c r="F1" s="1" t="s">
        <v>4</v>
      </c>
      <c r="G1" s="1" t="s">
        <v>3</v>
      </c>
      <c r="H1" s="1" t="s">
        <v>5</v>
      </c>
      <c r="I1" s="1" t="s">
        <v>13</v>
      </c>
      <c r="J1" s="1" t="s">
        <v>14</v>
      </c>
      <c r="K1" s="1" t="s">
        <v>10</v>
      </c>
      <c r="L1" s="1" t="s">
        <v>6</v>
      </c>
      <c r="M1" s="1" t="s">
        <v>12</v>
      </c>
      <c r="N1" s="1" t="s">
        <v>11</v>
      </c>
      <c r="O1" s="1" t="s">
        <v>7</v>
      </c>
      <c r="P1" s="1" t="s">
        <v>8</v>
      </c>
      <c r="Q1" s="1" t="s">
        <v>16</v>
      </c>
      <c r="R1" s="1" t="s">
        <v>89</v>
      </c>
      <c r="S1" s="1" t="s">
        <v>90</v>
      </c>
      <c r="T1" s="1" t="s">
        <v>9</v>
      </c>
      <c r="U1" s="1" t="s">
        <v>15</v>
      </c>
      <c r="V1" s="2" t="s">
        <v>523</v>
      </c>
    </row>
    <row r="2" spans="1:22" x14ac:dyDescent="0.35">
      <c r="A2" t="s">
        <v>98</v>
      </c>
      <c r="B2" t="s">
        <v>524</v>
      </c>
      <c r="C2" t="s">
        <v>525</v>
      </c>
      <c r="D2" t="s">
        <v>526</v>
      </c>
      <c r="E2" t="s">
        <v>27</v>
      </c>
      <c r="F2" t="s">
        <v>527</v>
      </c>
      <c r="I2" t="s">
        <v>528</v>
      </c>
      <c r="K2" t="s">
        <v>529</v>
      </c>
      <c r="L2" s="3" t="s">
        <v>530</v>
      </c>
      <c r="M2" t="s">
        <v>531</v>
      </c>
      <c r="O2" s="3" t="s">
        <v>532</v>
      </c>
      <c r="P2" t="s">
        <v>533</v>
      </c>
      <c r="Q2" t="s">
        <v>534</v>
      </c>
      <c r="V2" t="e">
        <f t="array" ref="V2:V36">VLOOKUP(C2:C36,DirectScience_evaluation!A2:A49,1,FALSE)</f>
        <v>#N/A</v>
      </c>
    </row>
    <row r="3" spans="1:22" x14ac:dyDescent="0.35">
      <c r="A3" t="s">
        <v>98</v>
      </c>
      <c r="B3" t="s">
        <v>535</v>
      </c>
      <c r="C3" t="s">
        <v>536</v>
      </c>
      <c r="D3" t="s">
        <v>537</v>
      </c>
      <c r="E3" t="s">
        <v>17</v>
      </c>
      <c r="F3" t="s">
        <v>368</v>
      </c>
      <c r="I3" t="s">
        <v>35</v>
      </c>
      <c r="J3" t="s">
        <v>37</v>
      </c>
      <c r="K3" t="s">
        <v>538</v>
      </c>
      <c r="L3" s="3" t="s">
        <v>539</v>
      </c>
      <c r="M3" t="s">
        <v>370</v>
      </c>
      <c r="O3" s="3" t="s">
        <v>540</v>
      </c>
      <c r="P3" t="s">
        <v>541</v>
      </c>
      <c r="Q3" t="s">
        <v>542</v>
      </c>
      <c r="V3" t="e">
        <v>#N/A</v>
      </c>
    </row>
    <row r="4" spans="1:22" x14ac:dyDescent="0.35">
      <c r="A4" t="s">
        <v>98</v>
      </c>
      <c r="B4" t="s">
        <v>543</v>
      </c>
      <c r="C4" t="s">
        <v>544</v>
      </c>
      <c r="D4" t="s">
        <v>545</v>
      </c>
      <c r="E4" t="s">
        <v>23</v>
      </c>
      <c r="F4" t="s">
        <v>368</v>
      </c>
      <c r="I4" t="s">
        <v>25</v>
      </c>
      <c r="J4" t="s">
        <v>37</v>
      </c>
      <c r="K4" t="s">
        <v>546</v>
      </c>
      <c r="L4" s="3" t="s">
        <v>547</v>
      </c>
      <c r="M4" t="s">
        <v>370</v>
      </c>
      <c r="O4" s="3" t="s">
        <v>548</v>
      </c>
      <c r="P4" t="s">
        <v>549</v>
      </c>
      <c r="Q4" t="s">
        <v>550</v>
      </c>
      <c r="V4" t="e">
        <v>#N/A</v>
      </c>
    </row>
    <row r="5" spans="1:22" x14ac:dyDescent="0.35">
      <c r="A5" t="s">
        <v>98</v>
      </c>
      <c r="B5" t="s">
        <v>161</v>
      </c>
      <c r="C5" t="s">
        <v>75</v>
      </c>
      <c r="D5" t="s">
        <v>158</v>
      </c>
      <c r="E5" t="s">
        <v>23</v>
      </c>
      <c r="F5" t="s">
        <v>71</v>
      </c>
      <c r="I5" t="s">
        <v>76</v>
      </c>
      <c r="K5" t="s">
        <v>154</v>
      </c>
      <c r="L5" s="3" t="s">
        <v>156</v>
      </c>
      <c r="M5" t="s">
        <v>155</v>
      </c>
      <c r="O5" s="3" t="s">
        <v>157</v>
      </c>
      <c r="P5" t="s">
        <v>160</v>
      </c>
      <c r="Q5" t="s">
        <v>159</v>
      </c>
      <c r="V5" t="str">
        <v>Does text-based programming improve K-12 students’ CT skills? Evidence from a meta-analysis and synthesis of qualitative data in educational contexts</v>
      </c>
    </row>
    <row r="6" spans="1:22" x14ac:dyDescent="0.35">
      <c r="A6" t="s">
        <v>98</v>
      </c>
      <c r="B6" t="s">
        <v>551</v>
      </c>
      <c r="C6" t="s">
        <v>552</v>
      </c>
      <c r="E6" t="s">
        <v>17</v>
      </c>
      <c r="F6" t="s">
        <v>61</v>
      </c>
      <c r="I6" t="s">
        <v>45</v>
      </c>
      <c r="K6" t="s">
        <v>553</v>
      </c>
      <c r="L6" s="3" t="s">
        <v>554</v>
      </c>
      <c r="M6" t="s">
        <v>92</v>
      </c>
      <c r="O6" s="3" t="s">
        <v>555</v>
      </c>
      <c r="V6" t="e">
        <v>#N/A</v>
      </c>
    </row>
    <row r="7" spans="1:22" x14ac:dyDescent="0.35">
      <c r="A7" t="s">
        <v>98</v>
      </c>
      <c r="B7" t="s">
        <v>556</v>
      </c>
      <c r="C7" t="s">
        <v>557</v>
      </c>
      <c r="D7" t="s">
        <v>558</v>
      </c>
      <c r="E7" t="s">
        <v>27</v>
      </c>
      <c r="F7" t="s">
        <v>441</v>
      </c>
      <c r="I7" t="s">
        <v>18</v>
      </c>
      <c r="K7" t="s">
        <v>559</v>
      </c>
      <c r="L7" s="3" t="s">
        <v>560</v>
      </c>
      <c r="M7" t="s">
        <v>443</v>
      </c>
      <c r="O7" s="3" t="s">
        <v>561</v>
      </c>
      <c r="P7" t="s">
        <v>562</v>
      </c>
      <c r="V7" t="e">
        <v>#N/A</v>
      </c>
    </row>
    <row r="8" spans="1:22" x14ac:dyDescent="0.35">
      <c r="A8" t="s">
        <v>98</v>
      </c>
      <c r="B8" t="s">
        <v>241</v>
      </c>
      <c r="C8" t="s">
        <v>232</v>
      </c>
      <c r="D8" t="s">
        <v>238</v>
      </c>
      <c r="E8" t="s">
        <v>29</v>
      </c>
      <c r="F8" t="s">
        <v>233</v>
      </c>
      <c r="I8" t="s">
        <v>68</v>
      </c>
      <c r="K8" t="s">
        <v>234</v>
      </c>
      <c r="L8" s="3" t="s">
        <v>236</v>
      </c>
      <c r="M8" t="s">
        <v>235</v>
      </c>
      <c r="O8" s="3" t="s">
        <v>237</v>
      </c>
      <c r="P8" t="s">
        <v>240</v>
      </c>
      <c r="Q8" t="s">
        <v>239</v>
      </c>
      <c r="V8" t="str">
        <v>Preparing inservice science teachers to bring unplugged computational thinking to their students</v>
      </c>
    </row>
    <row r="9" spans="1:22" x14ac:dyDescent="0.35">
      <c r="A9" t="s">
        <v>98</v>
      </c>
      <c r="B9" t="s">
        <v>563</v>
      </c>
      <c r="C9" t="s">
        <v>564</v>
      </c>
      <c r="D9" t="s">
        <v>299</v>
      </c>
      <c r="E9" t="s">
        <v>32</v>
      </c>
      <c r="F9" t="s">
        <v>124</v>
      </c>
      <c r="I9" t="s">
        <v>565</v>
      </c>
      <c r="K9" t="s">
        <v>566</v>
      </c>
      <c r="L9" s="3" t="s">
        <v>567</v>
      </c>
      <c r="M9" t="s">
        <v>127</v>
      </c>
      <c r="O9" s="3" t="s">
        <v>568</v>
      </c>
      <c r="P9" t="s">
        <v>569</v>
      </c>
      <c r="Q9" t="s">
        <v>570</v>
      </c>
      <c r="V9" t="e">
        <v>#N/A</v>
      </c>
    </row>
    <row r="10" spans="1:22" x14ac:dyDescent="0.35">
      <c r="A10" t="s">
        <v>98</v>
      </c>
      <c r="B10" t="s">
        <v>571</v>
      </c>
      <c r="C10" t="s">
        <v>572</v>
      </c>
      <c r="D10" t="s">
        <v>573</v>
      </c>
      <c r="E10" t="s">
        <v>23</v>
      </c>
      <c r="F10" t="s">
        <v>368</v>
      </c>
      <c r="I10" t="s">
        <v>25</v>
      </c>
      <c r="J10" t="s">
        <v>42</v>
      </c>
      <c r="K10" t="s">
        <v>574</v>
      </c>
      <c r="L10" s="3" t="s">
        <v>575</v>
      </c>
      <c r="M10" t="s">
        <v>370</v>
      </c>
      <c r="O10" s="3" t="s">
        <v>576</v>
      </c>
      <c r="P10" t="s">
        <v>577</v>
      </c>
      <c r="Q10" t="s">
        <v>578</v>
      </c>
      <c r="V10" t="e">
        <v>#N/A</v>
      </c>
    </row>
    <row r="11" spans="1:22" x14ac:dyDescent="0.35">
      <c r="A11" t="s">
        <v>98</v>
      </c>
      <c r="B11" t="s">
        <v>579</v>
      </c>
      <c r="C11" t="s">
        <v>79</v>
      </c>
      <c r="D11" t="s">
        <v>580</v>
      </c>
      <c r="E11" t="s">
        <v>34</v>
      </c>
      <c r="F11" t="s">
        <v>80</v>
      </c>
      <c r="I11" t="s">
        <v>50</v>
      </c>
      <c r="K11" t="s">
        <v>581</v>
      </c>
      <c r="L11" s="3" t="s">
        <v>582</v>
      </c>
      <c r="M11" t="s">
        <v>191</v>
      </c>
      <c r="O11" s="3" t="s">
        <v>583</v>
      </c>
      <c r="P11" t="s">
        <v>584</v>
      </c>
      <c r="Q11" t="s">
        <v>585</v>
      </c>
      <c r="V11" t="e">
        <v>#N/A</v>
      </c>
    </row>
    <row r="12" spans="1:22" x14ac:dyDescent="0.35">
      <c r="A12" t="s">
        <v>98</v>
      </c>
      <c r="B12" t="s">
        <v>586</v>
      </c>
      <c r="C12" t="s">
        <v>587</v>
      </c>
      <c r="D12" t="s">
        <v>588</v>
      </c>
      <c r="E12" t="s">
        <v>32</v>
      </c>
      <c r="F12" t="s">
        <v>78</v>
      </c>
      <c r="I12" t="s">
        <v>33</v>
      </c>
      <c r="J12" t="s">
        <v>19</v>
      </c>
      <c r="L12" s="3" t="s">
        <v>86</v>
      </c>
      <c r="M12" t="s">
        <v>589</v>
      </c>
      <c r="O12" s="3" t="s">
        <v>590</v>
      </c>
      <c r="P12" t="s">
        <v>591</v>
      </c>
      <c r="Q12" t="s">
        <v>592</v>
      </c>
      <c r="V12" t="e">
        <v>#N/A</v>
      </c>
    </row>
    <row r="13" spans="1:22" x14ac:dyDescent="0.35">
      <c r="A13" t="s">
        <v>98</v>
      </c>
      <c r="B13" t="s">
        <v>265</v>
      </c>
      <c r="C13" t="s">
        <v>257</v>
      </c>
      <c r="D13" t="s">
        <v>262</v>
      </c>
      <c r="E13" t="s">
        <v>17</v>
      </c>
      <c r="F13" t="s">
        <v>124</v>
      </c>
      <c r="I13" t="s">
        <v>258</v>
      </c>
      <c r="K13" t="s">
        <v>259</v>
      </c>
      <c r="L13" s="3" t="s">
        <v>260</v>
      </c>
      <c r="M13" t="s">
        <v>127</v>
      </c>
      <c r="O13" s="3" t="s">
        <v>261</v>
      </c>
      <c r="P13" t="s">
        <v>264</v>
      </c>
      <c r="Q13" t="s">
        <v>263</v>
      </c>
      <c r="V13" t="str">
        <v>Advancing young students’ computational thinking: An investigation of structured curriculum in early years primary schooling</v>
      </c>
    </row>
    <row r="14" spans="1:22" x14ac:dyDescent="0.35">
      <c r="A14" t="s">
        <v>98</v>
      </c>
      <c r="B14" t="s">
        <v>593</v>
      </c>
      <c r="C14" t="s">
        <v>594</v>
      </c>
      <c r="D14" t="s">
        <v>595</v>
      </c>
      <c r="E14" t="s">
        <v>17</v>
      </c>
      <c r="F14" t="s">
        <v>124</v>
      </c>
      <c r="I14" t="s">
        <v>596</v>
      </c>
      <c r="K14" t="s">
        <v>597</v>
      </c>
      <c r="L14" s="3" t="s">
        <v>598</v>
      </c>
      <c r="M14" t="s">
        <v>127</v>
      </c>
      <c r="O14" s="3" t="s">
        <v>599</v>
      </c>
      <c r="P14" t="s">
        <v>600</v>
      </c>
      <c r="Q14" t="s">
        <v>601</v>
      </c>
      <c r="V14" t="e">
        <v>#N/A</v>
      </c>
    </row>
    <row r="15" spans="1:22" x14ac:dyDescent="0.35">
      <c r="A15" t="s">
        <v>98</v>
      </c>
      <c r="B15" t="s">
        <v>273</v>
      </c>
      <c r="C15" t="s">
        <v>266</v>
      </c>
      <c r="D15" t="s">
        <v>270</v>
      </c>
      <c r="E15" t="s">
        <v>32</v>
      </c>
      <c r="F15" t="s">
        <v>61</v>
      </c>
      <c r="I15" t="s">
        <v>44</v>
      </c>
      <c r="K15" t="s">
        <v>267</v>
      </c>
      <c r="L15" s="3" t="s">
        <v>268</v>
      </c>
      <c r="M15" t="s">
        <v>92</v>
      </c>
      <c r="O15" s="3" t="s">
        <v>269</v>
      </c>
      <c r="P15" t="s">
        <v>272</v>
      </c>
      <c r="Q15" t="s">
        <v>271</v>
      </c>
      <c r="V15" t="str">
        <v>Preschool children, robots, and computational thinking: A systematic review</v>
      </c>
    </row>
    <row r="16" spans="1:22" x14ac:dyDescent="0.35">
      <c r="A16" t="s">
        <v>98</v>
      </c>
      <c r="B16" t="s">
        <v>602</v>
      </c>
      <c r="C16" t="s">
        <v>70</v>
      </c>
      <c r="D16" t="s">
        <v>603</v>
      </c>
      <c r="E16" t="s">
        <v>56</v>
      </c>
      <c r="F16" t="s">
        <v>71</v>
      </c>
      <c r="I16" t="s">
        <v>72</v>
      </c>
      <c r="K16" t="s">
        <v>604</v>
      </c>
      <c r="L16" s="3" t="s">
        <v>605</v>
      </c>
      <c r="M16" t="s">
        <v>155</v>
      </c>
      <c r="O16" s="3" t="s">
        <v>606</v>
      </c>
      <c r="P16" t="s">
        <v>607</v>
      </c>
      <c r="Q16" t="s">
        <v>608</v>
      </c>
      <c r="V16" t="e">
        <v>#N/A</v>
      </c>
    </row>
    <row r="17" spans="1:22" x14ac:dyDescent="0.35">
      <c r="A17" t="s">
        <v>98</v>
      </c>
      <c r="B17" t="s">
        <v>312</v>
      </c>
      <c r="C17" t="s">
        <v>303</v>
      </c>
      <c r="D17" t="s">
        <v>309</v>
      </c>
      <c r="E17" t="s">
        <v>27</v>
      </c>
      <c r="F17" t="s">
        <v>304</v>
      </c>
      <c r="I17" t="s">
        <v>43</v>
      </c>
      <c r="K17" t="s">
        <v>305</v>
      </c>
      <c r="L17" s="3" t="s">
        <v>307</v>
      </c>
      <c r="M17" t="s">
        <v>306</v>
      </c>
      <c r="O17" s="3" t="s">
        <v>308</v>
      </c>
      <c r="P17" t="s">
        <v>311</v>
      </c>
      <c r="Q17" t="s">
        <v>310</v>
      </c>
      <c r="V17" t="str">
        <v>Understanding the use of physical computing in K-12 education: A systematic literature review</v>
      </c>
    </row>
    <row r="18" spans="1:22" x14ac:dyDescent="0.35">
      <c r="A18" t="s">
        <v>98</v>
      </c>
      <c r="B18" t="s">
        <v>609</v>
      </c>
      <c r="C18" t="s">
        <v>610</v>
      </c>
      <c r="D18" t="s">
        <v>611</v>
      </c>
      <c r="E18" t="s">
        <v>27</v>
      </c>
      <c r="F18" t="s">
        <v>612</v>
      </c>
      <c r="I18" t="s">
        <v>613</v>
      </c>
      <c r="K18" t="s">
        <v>614</v>
      </c>
      <c r="L18" s="3" t="s">
        <v>615</v>
      </c>
      <c r="M18" t="s">
        <v>616</v>
      </c>
      <c r="O18" s="3" t="s">
        <v>617</v>
      </c>
      <c r="P18" t="s">
        <v>618</v>
      </c>
      <c r="Q18" t="s">
        <v>619</v>
      </c>
      <c r="V18" t="e">
        <v>#N/A</v>
      </c>
    </row>
    <row r="19" spans="1:22" x14ac:dyDescent="0.35">
      <c r="A19" t="s">
        <v>98</v>
      </c>
      <c r="B19" t="s">
        <v>620</v>
      </c>
      <c r="C19" t="s">
        <v>81</v>
      </c>
      <c r="D19" t="s">
        <v>621</v>
      </c>
      <c r="E19" t="s">
        <v>34</v>
      </c>
      <c r="F19" t="s">
        <v>124</v>
      </c>
      <c r="I19" t="s">
        <v>82</v>
      </c>
      <c r="K19" t="s">
        <v>622</v>
      </c>
      <c r="L19" s="3" t="s">
        <v>623</v>
      </c>
      <c r="M19" t="s">
        <v>127</v>
      </c>
      <c r="O19" s="3" t="s">
        <v>624</v>
      </c>
      <c r="P19" t="s">
        <v>625</v>
      </c>
      <c r="Q19" t="s">
        <v>626</v>
      </c>
      <c r="V19" t="e">
        <v>#N/A</v>
      </c>
    </row>
    <row r="20" spans="1:22" x14ac:dyDescent="0.35">
      <c r="A20" t="s">
        <v>98</v>
      </c>
      <c r="B20" t="s">
        <v>376</v>
      </c>
      <c r="C20" t="s">
        <v>367</v>
      </c>
      <c r="D20" t="s">
        <v>627</v>
      </c>
      <c r="E20" t="s">
        <v>17</v>
      </c>
      <c r="F20" t="s">
        <v>368</v>
      </c>
      <c r="I20" t="s">
        <v>35</v>
      </c>
      <c r="J20" t="s">
        <v>33</v>
      </c>
      <c r="K20" t="s">
        <v>369</v>
      </c>
      <c r="L20" s="3" t="s">
        <v>371</v>
      </c>
      <c r="M20" t="s">
        <v>370</v>
      </c>
      <c r="O20" s="3" t="s">
        <v>372</v>
      </c>
      <c r="P20" t="s">
        <v>375</v>
      </c>
      <c r="Q20" t="s">
        <v>374</v>
      </c>
      <c r="V20" t="str">
        <v>Enhancing computational thinking in early childhood education with educational robotics: A meta-analysis</v>
      </c>
    </row>
    <row r="21" spans="1:22" x14ac:dyDescent="0.35">
      <c r="A21" t="s">
        <v>98</v>
      </c>
      <c r="B21" t="s">
        <v>628</v>
      </c>
      <c r="C21" t="s">
        <v>74</v>
      </c>
      <c r="D21" t="s">
        <v>629</v>
      </c>
      <c r="E21" t="s">
        <v>17</v>
      </c>
      <c r="F21" t="s">
        <v>61</v>
      </c>
      <c r="I21" t="s">
        <v>52</v>
      </c>
      <c r="K21" t="s">
        <v>630</v>
      </c>
      <c r="L21" s="3" t="s">
        <v>631</v>
      </c>
      <c r="M21" t="s">
        <v>92</v>
      </c>
      <c r="O21" s="3" t="s">
        <v>632</v>
      </c>
      <c r="P21" t="s">
        <v>633</v>
      </c>
      <c r="Q21" t="s">
        <v>634</v>
      </c>
      <c r="V21" t="e">
        <v>#N/A</v>
      </c>
    </row>
    <row r="22" spans="1:22" x14ac:dyDescent="0.35">
      <c r="A22" t="s">
        <v>98</v>
      </c>
      <c r="B22" t="s">
        <v>635</v>
      </c>
      <c r="C22" t="s">
        <v>636</v>
      </c>
      <c r="D22" t="s">
        <v>637</v>
      </c>
      <c r="E22" t="s">
        <v>20</v>
      </c>
      <c r="F22" t="s">
        <v>61</v>
      </c>
      <c r="I22" t="s">
        <v>18</v>
      </c>
      <c r="K22" t="s">
        <v>638</v>
      </c>
      <c r="L22" s="3" t="s">
        <v>639</v>
      </c>
      <c r="M22" t="s">
        <v>92</v>
      </c>
      <c r="O22" s="3" t="s">
        <v>640</v>
      </c>
      <c r="V22" t="e">
        <v>#N/A</v>
      </c>
    </row>
    <row r="23" spans="1:22" x14ac:dyDescent="0.35">
      <c r="A23" t="s">
        <v>98</v>
      </c>
      <c r="B23" t="s">
        <v>641</v>
      </c>
      <c r="C23" t="s">
        <v>642</v>
      </c>
      <c r="D23" t="s">
        <v>643</v>
      </c>
      <c r="E23" t="s">
        <v>32</v>
      </c>
      <c r="F23" t="s">
        <v>124</v>
      </c>
      <c r="I23" t="s">
        <v>644</v>
      </c>
      <c r="K23" t="s">
        <v>645</v>
      </c>
      <c r="L23" s="3" t="s">
        <v>646</v>
      </c>
      <c r="M23" t="s">
        <v>127</v>
      </c>
      <c r="O23" s="3" t="s">
        <v>647</v>
      </c>
      <c r="P23" t="s">
        <v>648</v>
      </c>
      <c r="Q23" t="s">
        <v>649</v>
      </c>
      <c r="V23" t="e">
        <v>#N/A</v>
      </c>
    </row>
    <row r="24" spans="1:22" x14ac:dyDescent="0.35">
      <c r="A24" t="s">
        <v>98</v>
      </c>
      <c r="B24" t="s">
        <v>650</v>
      </c>
      <c r="C24" t="s">
        <v>651</v>
      </c>
      <c r="D24" t="s">
        <v>652</v>
      </c>
      <c r="E24" t="s">
        <v>27</v>
      </c>
      <c r="F24" t="s">
        <v>653</v>
      </c>
      <c r="I24" t="s">
        <v>31</v>
      </c>
      <c r="K24" t="s">
        <v>654</v>
      </c>
      <c r="L24" s="3" t="s">
        <v>655</v>
      </c>
      <c r="M24" t="s">
        <v>656</v>
      </c>
      <c r="O24" s="3" t="s">
        <v>657</v>
      </c>
      <c r="P24" t="s">
        <v>658</v>
      </c>
      <c r="Q24" t="s">
        <v>659</v>
      </c>
      <c r="V24" t="e">
        <v>#N/A</v>
      </c>
    </row>
    <row r="25" spans="1:22" x14ac:dyDescent="0.35">
      <c r="A25" t="s">
        <v>98</v>
      </c>
      <c r="B25" t="s">
        <v>660</v>
      </c>
      <c r="C25" t="s">
        <v>73</v>
      </c>
      <c r="D25" t="s">
        <v>661</v>
      </c>
      <c r="E25" t="s">
        <v>27</v>
      </c>
      <c r="F25" t="s">
        <v>64</v>
      </c>
      <c r="I25" t="s">
        <v>25</v>
      </c>
      <c r="K25" t="s">
        <v>662</v>
      </c>
      <c r="L25" s="3" t="s">
        <v>663</v>
      </c>
      <c r="M25" t="s">
        <v>344</v>
      </c>
      <c r="O25" s="3" t="s">
        <v>664</v>
      </c>
      <c r="P25" t="s">
        <v>665</v>
      </c>
      <c r="Q25" t="s">
        <v>666</v>
      </c>
      <c r="V25" t="e">
        <v>#N/A</v>
      </c>
    </row>
    <row r="26" spans="1:22" x14ac:dyDescent="0.35">
      <c r="A26" t="s">
        <v>107</v>
      </c>
      <c r="B26" t="s">
        <v>667</v>
      </c>
      <c r="C26" t="s">
        <v>668</v>
      </c>
      <c r="D26" t="s">
        <v>669</v>
      </c>
      <c r="E26" t="s">
        <v>27</v>
      </c>
      <c r="G26" t="s">
        <v>670</v>
      </c>
      <c r="H26" t="s">
        <v>671</v>
      </c>
      <c r="K26" t="s">
        <v>672</v>
      </c>
      <c r="L26" s="3" t="s">
        <v>673</v>
      </c>
      <c r="N26" t="s">
        <v>674</v>
      </c>
      <c r="O26" s="3" t="s">
        <v>675</v>
      </c>
      <c r="P26" t="s">
        <v>676</v>
      </c>
      <c r="Q26" t="s">
        <v>677</v>
      </c>
      <c r="R26" t="s">
        <v>678</v>
      </c>
      <c r="S26" t="s">
        <v>679</v>
      </c>
      <c r="T26" t="s">
        <v>113</v>
      </c>
      <c r="V26" t="e">
        <v>#N/A</v>
      </c>
    </row>
    <row r="27" spans="1:22" x14ac:dyDescent="0.35">
      <c r="A27" t="s">
        <v>98</v>
      </c>
      <c r="B27" t="s">
        <v>680</v>
      </c>
      <c r="C27" t="s">
        <v>681</v>
      </c>
      <c r="D27" t="s">
        <v>682</v>
      </c>
      <c r="E27" t="s">
        <v>29</v>
      </c>
      <c r="F27" t="s">
        <v>61</v>
      </c>
      <c r="I27" t="s">
        <v>51</v>
      </c>
      <c r="K27" t="s">
        <v>683</v>
      </c>
      <c r="L27" s="3" t="s">
        <v>684</v>
      </c>
      <c r="M27" t="s">
        <v>92</v>
      </c>
      <c r="O27" s="3" t="s">
        <v>685</v>
      </c>
      <c r="P27" t="s">
        <v>686</v>
      </c>
      <c r="Q27" t="s">
        <v>687</v>
      </c>
      <c r="V27" t="e">
        <v>#N/A</v>
      </c>
    </row>
    <row r="28" spans="1:22" x14ac:dyDescent="0.35">
      <c r="A28" t="s">
        <v>98</v>
      </c>
      <c r="B28" t="s">
        <v>420</v>
      </c>
      <c r="C28" t="s">
        <v>413</v>
      </c>
      <c r="D28" t="s">
        <v>417</v>
      </c>
      <c r="E28" t="s">
        <v>27</v>
      </c>
      <c r="F28" t="s">
        <v>64</v>
      </c>
      <c r="I28" t="s">
        <v>25</v>
      </c>
      <c r="K28" t="s">
        <v>414</v>
      </c>
      <c r="L28" s="3" t="s">
        <v>415</v>
      </c>
      <c r="M28" t="s">
        <v>344</v>
      </c>
      <c r="O28" s="3" t="s">
        <v>416</v>
      </c>
      <c r="P28" t="s">
        <v>419</v>
      </c>
      <c r="Q28" t="s">
        <v>418</v>
      </c>
      <c r="V28" t="str">
        <v>Supporting interest development in gifted software education through computational thinking and project-based learning</v>
      </c>
    </row>
    <row r="29" spans="1:22" x14ac:dyDescent="0.35">
      <c r="A29" t="s">
        <v>98</v>
      </c>
      <c r="B29" t="s">
        <v>688</v>
      </c>
      <c r="C29" t="s">
        <v>689</v>
      </c>
      <c r="D29" t="s">
        <v>690</v>
      </c>
      <c r="E29" t="s">
        <v>23</v>
      </c>
      <c r="F29" t="s">
        <v>691</v>
      </c>
      <c r="I29" t="s">
        <v>37</v>
      </c>
      <c r="J29" t="s">
        <v>39</v>
      </c>
      <c r="K29" t="s">
        <v>692</v>
      </c>
      <c r="L29" s="3" t="s">
        <v>693</v>
      </c>
      <c r="M29" t="s">
        <v>694</v>
      </c>
      <c r="O29" s="3" t="s">
        <v>695</v>
      </c>
      <c r="P29" t="s">
        <v>696</v>
      </c>
      <c r="Q29" t="s">
        <v>697</v>
      </c>
      <c r="V29" t="e">
        <v>#N/A</v>
      </c>
    </row>
    <row r="30" spans="1:22" x14ac:dyDescent="0.35">
      <c r="A30" t="s">
        <v>98</v>
      </c>
      <c r="B30" t="s">
        <v>698</v>
      </c>
      <c r="C30" t="s">
        <v>77</v>
      </c>
      <c r="D30" t="s">
        <v>699</v>
      </c>
      <c r="E30" t="s">
        <v>23</v>
      </c>
      <c r="F30" t="s">
        <v>61</v>
      </c>
      <c r="I30" t="s">
        <v>49</v>
      </c>
      <c r="K30" t="s">
        <v>700</v>
      </c>
      <c r="L30" s="3" t="s">
        <v>701</v>
      </c>
      <c r="M30" t="s">
        <v>92</v>
      </c>
      <c r="O30" s="3" t="s">
        <v>702</v>
      </c>
      <c r="P30" t="s">
        <v>703</v>
      </c>
      <c r="Q30" t="s">
        <v>704</v>
      </c>
      <c r="V30" t="e">
        <v>#N/A</v>
      </c>
    </row>
    <row r="31" spans="1:22" x14ac:dyDescent="0.35">
      <c r="A31" t="s">
        <v>98</v>
      </c>
      <c r="B31" t="s">
        <v>705</v>
      </c>
      <c r="C31" t="s">
        <v>706</v>
      </c>
      <c r="D31" t="s">
        <v>707</v>
      </c>
      <c r="E31" t="s">
        <v>34</v>
      </c>
      <c r="F31" t="s">
        <v>708</v>
      </c>
      <c r="I31" t="s">
        <v>53</v>
      </c>
      <c r="J31" t="s">
        <v>28</v>
      </c>
      <c r="K31" t="s">
        <v>709</v>
      </c>
      <c r="L31" s="3" t="s">
        <v>710</v>
      </c>
      <c r="M31" t="s">
        <v>711</v>
      </c>
      <c r="O31" s="3" t="s">
        <v>712</v>
      </c>
      <c r="P31" t="s">
        <v>713</v>
      </c>
      <c r="Q31" t="s">
        <v>714</v>
      </c>
      <c r="U31" t="s">
        <v>715</v>
      </c>
      <c r="V31" t="e">
        <v>#N/A</v>
      </c>
    </row>
    <row r="32" spans="1:22" x14ac:dyDescent="0.35">
      <c r="A32" t="s">
        <v>98</v>
      </c>
      <c r="B32" t="s">
        <v>716</v>
      </c>
      <c r="C32" t="s">
        <v>717</v>
      </c>
      <c r="D32" t="s">
        <v>718</v>
      </c>
      <c r="E32" t="s">
        <v>29</v>
      </c>
      <c r="F32" t="s">
        <v>71</v>
      </c>
      <c r="I32" t="s">
        <v>719</v>
      </c>
      <c r="K32" t="s">
        <v>720</v>
      </c>
      <c r="L32" s="3" t="s">
        <v>721</v>
      </c>
      <c r="M32" t="s">
        <v>155</v>
      </c>
      <c r="O32" s="3" t="s">
        <v>722</v>
      </c>
      <c r="P32" t="s">
        <v>723</v>
      </c>
      <c r="Q32" t="s">
        <v>724</v>
      </c>
      <c r="V32" t="e">
        <v>#N/A</v>
      </c>
    </row>
    <row r="33" spans="1:24" x14ac:dyDescent="0.35">
      <c r="A33" t="s">
        <v>98</v>
      </c>
      <c r="B33" t="s">
        <v>725</v>
      </c>
      <c r="C33" t="s">
        <v>726</v>
      </c>
      <c r="D33" t="s">
        <v>699</v>
      </c>
      <c r="E33" t="s">
        <v>27</v>
      </c>
      <c r="F33" t="s">
        <v>727</v>
      </c>
      <c r="I33" t="s">
        <v>613</v>
      </c>
      <c r="K33" t="s">
        <v>728</v>
      </c>
      <c r="L33" s="3" t="s">
        <v>729</v>
      </c>
      <c r="M33" t="s">
        <v>730</v>
      </c>
      <c r="O33" s="3" t="s">
        <v>731</v>
      </c>
      <c r="P33" t="s">
        <v>732</v>
      </c>
      <c r="Q33" t="s">
        <v>733</v>
      </c>
      <c r="V33" t="e">
        <v>#N/A</v>
      </c>
    </row>
    <row r="34" spans="1:24" x14ac:dyDescent="0.35">
      <c r="A34" t="s">
        <v>98</v>
      </c>
      <c r="B34" t="s">
        <v>734</v>
      </c>
      <c r="C34" t="s">
        <v>735</v>
      </c>
      <c r="D34" t="s">
        <v>736</v>
      </c>
      <c r="E34" t="s">
        <v>23</v>
      </c>
      <c r="F34" t="s">
        <v>653</v>
      </c>
      <c r="I34" t="s">
        <v>26</v>
      </c>
      <c r="K34" t="s">
        <v>737</v>
      </c>
      <c r="L34" s="3" t="s">
        <v>738</v>
      </c>
      <c r="M34" t="s">
        <v>656</v>
      </c>
      <c r="O34" s="3" t="s">
        <v>739</v>
      </c>
      <c r="P34" t="s">
        <v>740</v>
      </c>
      <c r="Q34" t="s">
        <v>741</v>
      </c>
      <c r="V34" t="e">
        <v>#N/A</v>
      </c>
    </row>
    <row r="35" spans="1:24" x14ac:dyDescent="0.35">
      <c r="A35" t="s">
        <v>98</v>
      </c>
      <c r="B35" t="s">
        <v>742</v>
      </c>
      <c r="C35" t="s">
        <v>743</v>
      </c>
      <c r="D35" t="s">
        <v>744</v>
      </c>
      <c r="E35" t="s">
        <v>17</v>
      </c>
      <c r="F35" t="s">
        <v>441</v>
      </c>
      <c r="I35" t="s">
        <v>31</v>
      </c>
      <c r="K35" t="s">
        <v>745</v>
      </c>
      <c r="L35" s="3" t="s">
        <v>746</v>
      </c>
      <c r="M35" t="s">
        <v>443</v>
      </c>
      <c r="O35" s="3" t="s">
        <v>747</v>
      </c>
      <c r="P35" t="s">
        <v>748</v>
      </c>
      <c r="Q35" t="s">
        <v>749</v>
      </c>
      <c r="V35" t="e">
        <v>#N/A</v>
      </c>
    </row>
    <row r="36" spans="1:24" x14ac:dyDescent="0.35">
      <c r="A36" t="s">
        <v>98</v>
      </c>
      <c r="B36" t="s">
        <v>750</v>
      </c>
      <c r="C36" t="s">
        <v>751</v>
      </c>
      <c r="D36" t="s">
        <v>752</v>
      </c>
      <c r="E36" t="s">
        <v>23</v>
      </c>
      <c r="F36" t="s">
        <v>753</v>
      </c>
      <c r="I36" t="s">
        <v>48</v>
      </c>
      <c r="K36" t="s">
        <v>754</v>
      </c>
      <c r="L36" s="3" t="s">
        <v>755</v>
      </c>
      <c r="M36" t="s">
        <v>756</v>
      </c>
      <c r="O36" s="3" t="s">
        <v>757</v>
      </c>
      <c r="P36" t="s">
        <v>758</v>
      </c>
      <c r="Q36" t="s">
        <v>759</v>
      </c>
      <c r="V36" t="e">
        <v>#N/A</v>
      </c>
    </row>
    <row r="37" spans="1:24" x14ac:dyDescent="0.35">
      <c r="U37" s="4" t="s">
        <v>760</v>
      </c>
      <c r="V37" s="4">
        <f>COUNTIF(_xlfn.ANCHORARRAY(V2),"#N/A")</f>
        <v>28</v>
      </c>
      <c r="W37" s="4" t="s">
        <v>761</v>
      </c>
      <c r="X37" s="4">
        <v>48</v>
      </c>
    </row>
    <row r="38" spans="1:24" x14ac:dyDescent="0.35">
      <c r="U38" s="4" t="s">
        <v>762</v>
      </c>
      <c r="V38" s="4">
        <f>COUNTIF(_xlfn.ANCHORARRAY(V2),"&lt;&gt;#N/A")</f>
        <v>7</v>
      </c>
      <c r="W38" s="4" t="s">
        <v>84</v>
      </c>
      <c r="X38" s="4">
        <f>V37+X37</f>
        <v>76</v>
      </c>
    </row>
    <row r="39" spans="1:24" x14ac:dyDescent="0.35">
      <c r="U39" s="4" t="s">
        <v>85</v>
      </c>
      <c r="V39" s="4">
        <f>SUM(V37:V38)</f>
        <v>35</v>
      </c>
      <c r="W39" s="4"/>
      <c r="X39" s="4"/>
    </row>
  </sheetData>
  <autoFilter ref="A1:V39" xr:uid="{00000000-0009-0000-0000-000010000000}"/>
  <hyperlinks>
    <hyperlink ref="L2" r:id="rId1" xr:uid="{00000000-0004-0000-1000-000000000000}"/>
    <hyperlink ref="O2" r:id="rId2" xr:uid="{00000000-0004-0000-1000-000001000000}"/>
    <hyperlink ref="L3" r:id="rId3" xr:uid="{00000000-0004-0000-1000-000002000000}"/>
    <hyperlink ref="O3" r:id="rId4" xr:uid="{00000000-0004-0000-1000-000003000000}"/>
    <hyperlink ref="L4" r:id="rId5" xr:uid="{00000000-0004-0000-1000-000004000000}"/>
    <hyperlink ref="O4" r:id="rId6" xr:uid="{00000000-0004-0000-1000-000005000000}"/>
    <hyperlink ref="L5" r:id="rId7" xr:uid="{00000000-0004-0000-1000-000006000000}"/>
    <hyperlink ref="O5" r:id="rId8" xr:uid="{00000000-0004-0000-1000-000007000000}"/>
    <hyperlink ref="L6" r:id="rId9" xr:uid="{00000000-0004-0000-1000-000008000000}"/>
    <hyperlink ref="O6" r:id="rId10" xr:uid="{00000000-0004-0000-1000-000009000000}"/>
    <hyperlink ref="L7" r:id="rId11" xr:uid="{00000000-0004-0000-1000-00000A000000}"/>
    <hyperlink ref="O7" r:id="rId12" xr:uid="{00000000-0004-0000-1000-00000B000000}"/>
    <hyperlink ref="L8" r:id="rId13" xr:uid="{00000000-0004-0000-1000-00000C000000}"/>
    <hyperlink ref="O8" r:id="rId14" xr:uid="{00000000-0004-0000-1000-00000D000000}"/>
    <hyperlink ref="L9" r:id="rId15" xr:uid="{00000000-0004-0000-1000-00000E000000}"/>
    <hyperlink ref="O9" r:id="rId16" xr:uid="{00000000-0004-0000-1000-00000F000000}"/>
    <hyperlink ref="L10" r:id="rId17" xr:uid="{00000000-0004-0000-1000-000010000000}"/>
    <hyperlink ref="O10" r:id="rId18" xr:uid="{00000000-0004-0000-1000-000011000000}"/>
    <hyperlink ref="L11" r:id="rId19" xr:uid="{00000000-0004-0000-1000-000012000000}"/>
    <hyperlink ref="O11" r:id="rId20" xr:uid="{00000000-0004-0000-1000-000013000000}"/>
    <hyperlink ref="L12" r:id="rId21" xr:uid="{00000000-0004-0000-1000-000014000000}"/>
    <hyperlink ref="O12" r:id="rId22" xr:uid="{00000000-0004-0000-1000-000015000000}"/>
    <hyperlink ref="L13" r:id="rId23" xr:uid="{00000000-0004-0000-1000-000016000000}"/>
    <hyperlink ref="O13" r:id="rId24" xr:uid="{00000000-0004-0000-1000-000017000000}"/>
    <hyperlink ref="L14" r:id="rId25" xr:uid="{00000000-0004-0000-1000-000018000000}"/>
    <hyperlink ref="O14" r:id="rId26" xr:uid="{00000000-0004-0000-1000-000019000000}"/>
    <hyperlink ref="L15" r:id="rId27" xr:uid="{00000000-0004-0000-1000-00001A000000}"/>
    <hyperlink ref="O15" r:id="rId28" xr:uid="{00000000-0004-0000-1000-00001B000000}"/>
    <hyperlink ref="L16" r:id="rId29" xr:uid="{00000000-0004-0000-1000-00001C000000}"/>
    <hyperlink ref="O16" r:id="rId30" xr:uid="{00000000-0004-0000-1000-00001D000000}"/>
    <hyperlink ref="L17" r:id="rId31" xr:uid="{00000000-0004-0000-1000-00001E000000}"/>
    <hyperlink ref="O17" r:id="rId32" xr:uid="{00000000-0004-0000-1000-00001F000000}"/>
    <hyperlink ref="L18" r:id="rId33" xr:uid="{00000000-0004-0000-1000-000020000000}"/>
    <hyperlink ref="O18" r:id="rId34" xr:uid="{00000000-0004-0000-1000-000021000000}"/>
    <hyperlink ref="L19" r:id="rId35" xr:uid="{00000000-0004-0000-1000-000022000000}"/>
    <hyperlink ref="O19" r:id="rId36" xr:uid="{00000000-0004-0000-1000-000023000000}"/>
    <hyperlink ref="L20" r:id="rId37" xr:uid="{00000000-0004-0000-1000-000024000000}"/>
    <hyperlink ref="O20" r:id="rId38" xr:uid="{00000000-0004-0000-1000-000025000000}"/>
    <hyperlink ref="L21" r:id="rId39" xr:uid="{00000000-0004-0000-1000-000026000000}"/>
    <hyperlink ref="O21" r:id="rId40" xr:uid="{00000000-0004-0000-1000-000027000000}"/>
    <hyperlink ref="L22" r:id="rId41" xr:uid="{00000000-0004-0000-1000-000028000000}"/>
    <hyperlink ref="O22" r:id="rId42" xr:uid="{00000000-0004-0000-1000-000029000000}"/>
    <hyperlink ref="L23" r:id="rId43" xr:uid="{00000000-0004-0000-1000-00002A000000}"/>
    <hyperlink ref="O23" r:id="rId44" xr:uid="{00000000-0004-0000-1000-00002B000000}"/>
    <hyperlink ref="L24" r:id="rId45" xr:uid="{00000000-0004-0000-1000-00002C000000}"/>
    <hyperlink ref="O24" r:id="rId46" xr:uid="{00000000-0004-0000-1000-00002D000000}"/>
    <hyperlink ref="L25" r:id="rId47" xr:uid="{00000000-0004-0000-1000-00002E000000}"/>
    <hyperlink ref="O25" r:id="rId48" xr:uid="{00000000-0004-0000-1000-00002F000000}"/>
    <hyperlink ref="L26" r:id="rId49" xr:uid="{00000000-0004-0000-1000-000030000000}"/>
    <hyperlink ref="O26" r:id="rId50" xr:uid="{00000000-0004-0000-1000-000031000000}"/>
    <hyperlink ref="L27" r:id="rId51" xr:uid="{00000000-0004-0000-1000-000032000000}"/>
    <hyperlink ref="O27" r:id="rId52" xr:uid="{00000000-0004-0000-1000-000033000000}"/>
    <hyperlink ref="L28" r:id="rId53" xr:uid="{00000000-0004-0000-1000-000034000000}"/>
    <hyperlink ref="O28" r:id="rId54" xr:uid="{00000000-0004-0000-1000-000035000000}"/>
    <hyperlink ref="L29" r:id="rId55" xr:uid="{00000000-0004-0000-1000-000036000000}"/>
    <hyperlink ref="O29" r:id="rId56" xr:uid="{00000000-0004-0000-1000-000037000000}"/>
    <hyperlink ref="L30" r:id="rId57" xr:uid="{00000000-0004-0000-1000-000038000000}"/>
    <hyperlink ref="O30" r:id="rId58" xr:uid="{00000000-0004-0000-1000-000039000000}"/>
    <hyperlink ref="L31" r:id="rId59" xr:uid="{00000000-0004-0000-1000-00003A000000}"/>
    <hyperlink ref="O31" r:id="rId60" xr:uid="{00000000-0004-0000-1000-00003B000000}"/>
    <hyperlink ref="L32" r:id="rId61" xr:uid="{00000000-0004-0000-1000-00003C000000}"/>
    <hyperlink ref="O32" r:id="rId62" xr:uid="{00000000-0004-0000-1000-00003D000000}"/>
    <hyperlink ref="L33" r:id="rId63" xr:uid="{00000000-0004-0000-1000-00003E000000}"/>
    <hyperlink ref="O33" r:id="rId64" xr:uid="{00000000-0004-0000-1000-00003F000000}"/>
    <hyperlink ref="L34" r:id="rId65" xr:uid="{00000000-0004-0000-1000-000040000000}"/>
    <hyperlink ref="O34" r:id="rId66" xr:uid="{00000000-0004-0000-1000-000041000000}"/>
    <hyperlink ref="L35" r:id="rId67" xr:uid="{00000000-0004-0000-1000-000042000000}"/>
    <hyperlink ref="O35" r:id="rId68" xr:uid="{00000000-0004-0000-1000-000043000000}"/>
    <hyperlink ref="L36" r:id="rId69" xr:uid="{00000000-0004-0000-1000-000044000000}"/>
    <hyperlink ref="O36" r:id="rId70" xr:uid="{00000000-0004-0000-1000-000045000000}"/>
  </hyperlinks>
  <pageMargins left="0.70000000000000007" right="0.70000000000000007" top="0.75" bottom="0.75" header="0.30000000000000004" footer="0.30000000000000004"/>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DirectScience_evaluation</vt:lpstr>
      <vt:lpstr>DirectScience_intervention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Tania Fernanda Ugarte Guzmán</dc:creator>
  <cp:lastModifiedBy>Tania Fernanda Ugarte Guzmán</cp:lastModifiedBy>
  <dcterms:created xsi:type="dcterms:W3CDTF">2025-10-30T10:54:53Z</dcterms:created>
  <dcterms:modified xsi:type="dcterms:W3CDTF">2026-05-22T22:18:19Z</dcterms:modified>
</cp:coreProperties>
</file>