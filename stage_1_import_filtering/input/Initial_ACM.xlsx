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tania\Desktop\programino\papers\Authomatic initial analysis\"/>
    </mc:Choice>
  </mc:AlternateContent>
  <xr:revisionPtr revIDLastSave="0" documentId="13_ncr:40009_{337C6315-48AB-484F-8A18-C240A00F70B1}" xr6:coauthVersionLast="47" xr6:coauthVersionMax="47" xr10:uidLastSave="{00000000-0000-0000-0000-000000000000}"/>
  <bookViews>
    <workbookView xWindow="-110" yWindow="-110" windowWidth="19420" windowHeight="10300" activeTab="1"/>
  </bookViews>
  <sheets>
    <sheet name="ACM_evaluation" sheetId="1" r:id="rId1"/>
    <sheet name="ACM_interven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58" i="2" l="1"/>
  <c r="W146" i="2"/>
  <c r="W136" i="2"/>
  <c r="W128" i="2"/>
  <c r="W120" i="2"/>
  <c r="W112" i="2"/>
  <c r="W104" i="2"/>
  <c r="W96" i="2"/>
  <c r="W88" i="2"/>
  <c r="W80" i="2"/>
  <c r="W72" i="2"/>
  <c r="W64" i="2"/>
  <c r="W56" i="2"/>
  <c r="W48" i="2"/>
  <c r="W40" i="2"/>
  <c r="W32" i="2"/>
  <c r="W24" i="2"/>
  <c r="W16" i="2"/>
  <c r="W8" i="2"/>
  <c r="W2" i="2" a="1"/>
  <c r="W159" i="2" s="1"/>
  <c r="X170" i="2"/>
  <c r="X167" i="2"/>
  <c r="X166" i="2"/>
  <c r="X165" i="2"/>
  <c r="X163" i="2"/>
  <c r="X162" i="2"/>
  <c r="X161" i="2"/>
  <c r="X160" i="2"/>
  <c r="X159" i="2"/>
  <c r="X157" i="2"/>
  <c r="X156" i="2"/>
  <c r="X151" i="2"/>
  <c r="X150" i="2"/>
  <c r="X149" i="2"/>
  <c r="X148" i="2"/>
  <c r="X146" i="2"/>
  <c r="X144" i="2"/>
  <c r="X141" i="2"/>
  <c r="X140" i="2"/>
  <c r="X137" i="2"/>
  <c r="X133" i="2"/>
  <c r="X132" i="2"/>
  <c r="X131" i="2"/>
  <c r="X130" i="2"/>
  <c r="X128" i="2"/>
  <c r="X127" i="2"/>
  <c r="X126" i="2"/>
  <c r="X125" i="2"/>
  <c r="X123" i="2"/>
  <c r="X122" i="2"/>
  <c r="X121" i="2"/>
  <c r="X120" i="2"/>
  <c r="X119" i="2"/>
  <c r="X118" i="2"/>
  <c r="X117" i="2"/>
  <c r="X115" i="2"/>
  <c r="X114" i="2"/>
  <c r="X113" i="2"/>
  <c r="X109" i="2"/>
  <c r="X108" i="2"/>
  <c r="X107" i="2"/>
  <c r="X105" i="2"/>
  <c r="X104" i="2"/>
  <c r="X103" i="2"/>
  <c r="X102" i="2"/>
  <c r="X101" i="2"/>
  <c r="X100" i="2"/>
  <c r="X99" i="2"/>
  <c r="X98" i="2"/>
  <c r="X97" i="2"/>
  <c r="X96" i="2"/>
  <c r="X95" i="2"/>
  <c r="X93" i="2"/>
  <c r="X92" i="2"/>
  <c r="X91" i="2"/>
  <c r="X90" i="2"/>
  <c r="X89" i="2"/>
  <c r="X88" i="2"/>
  <c r="X83" i="2"/>
  <c r="X82" i="2"/>
  <c r="X81" i="2"/>
  <c r="X80" i="2"/>
  <c r="X79" i="2"/>
  <c r="X78" i="2"/>
  <c r="X76" i="2"/>
  <c r="X74" i="2"/>
  <c r="X73" i="2"/>
  <c r="X72" i="2"/>
  <c r="X71" i="2"/>
  <c r="X70" i="2"/>
  <c r="X68" i="2"/>
  <c r="X67" i="2"/>
  <c r="X66" i="2"/>
  <c r="X65" i="2"/>
  <c r="X64" i="2"/>
  <c r="X63" i="2"/>
  <c r="X60" i="2"/>
  <c r="X59" i="2"/>
  <c r="X58" i="2"/>
  <c r="X57" i="2"/>
  <c r="X56" i="2"/>
  <c r="X55" i="2"/>
  <c r="X54" i="2"/>
  <c r="X53" i="2"/>
  <c r="X52" i="2"/>
  <c r="X51" i="2"/>
  <c r="X50" i="2"/>
  <c r="X49" i="2"/>
  <c r="X48" i="2"/>
  <c r="X47" i="2"/>
  <c r="X46" i="2"/>
  <c r="X45" i="2"/>
  <c r="X42" i="2"/>
  <c r="X38" i="2"/>
  <c r="X37" i="2"/>
  <c r="X35" i="2"/>
  <c r="X34" i="2"/>
  <c r="X33" i="2"/>
  <c r="X32" i="2"/>
  <c r="X31" i="2"/>
  <c r="X29" i="2"/>
  <c r="X28" i="2"/>
  <c r="X27" i="2"/>
  <c r="X26" i="2"/>
  <c r="X25" i="2"/>
  <c r="X23" i="2"/>
  <c r="X22" i="2"/>
  <c r="X21" i="2"/>
  <c r="X20" i="2"/>
  <c r="X19" i="2"/>
  <c r="X18" i="2"/>
  <c r="X17" i="2"/>
  <c r="X15" i="2"/>
  <c r="X14" i="2"/>
  <c r="X8" i="2"/>
  <c r="X7" i="2"/>
  <c r="X5" i="2"/>
  <c r="X4" i="2"/>
  <c r="X3" i="2"/>
  <c r="X168" i="2" l="1"/>
  <c r="W7" i="2"/>
  <c r="W15" i="2"/>
  <c r="W23" i="2"/>
  <c r="W31" i="2"/>
  <c r="W39" i="2"/>
  <c r="W47" i="2"/>
  <c r="W55" i="2"/>
  <c r="W63" i="2"/>
  <c r="W71" i="2"/>
  <c r="W79" i="2"/>
  <c r="W87" i="2"/>
  <c r="W95" i="2"/>
  <c r="W103" i="2"/>
  <c r="W111" i="2"/>
  <c r="W119" i="2"/>
  <c r="W127" i="2"/>
  <c r="W135" i="2"/>
  <c r="W145" i="2"/>
  <c r="W157" i="2"/>
  <c r="W167" i="2"/>
  <c r="W2" i="2"/>
  <c r="W9" i="2"/>
  <c r="W17" i="2"/>
  <c r="W25" i="2"/>
  <c r="W33" i="2"/>
  <c r="W41" i="2"/>
  <c r="W49" i="2"/>
  <c r="W57" i="2"/>
  <c r="W65" i="2"/>
  <c r="W73" i="2"/>
  <c r="W81" i="2"/>
  <c r="W89" i="2"/>
  <c r="W97" i="2"/>
  <c r="W105" i="2"/>
  <c r="W113" i="2"/>
  <c r="W121" i="2"/>
  <c r="W129" i="2"/>
  <c r="W137" i="2"/>
  <c r="W149" i="2"/>
  <c r="W164" i="2"/>
  <c r="W156" i="2"/>
  <c r="W148" i="2"/>
  <c r="W140" i="2"/>
  <c r="W163" i="2"/>
  <c r="W155" i="2"/>
  <c r="W147" i="2"/>
  <c r="W139" i="2"/>
  <c r="W10" i="2"/>
  <c r="W18" i="2"/>
  <c r="W26" i="2"/>
  <c r="W34" i="2"/>
  <c r="W42" i="2"/>
  <c r="W50" i="2"/>
  <c r="W58" i="2"/>
  <c r="W66" i="2"/>
  <c r="W74" i="2"/>
  <c r="W82" i="2"/>
  <c r="W90" i="2"/>
  <c r="W98" i="2"/>
  <c r="W106" i="2"/>
  <c r="W114" i="2"/>
  <c r="W122" i="2"/>
  <c r="W130" i="2"/>
  <c r="W138" i="2"/>
  <c r="W150" i="2"/>
  <c r="W160" i="2"/>
  <c r="W3" i="2"/>
  <c r="W11" i="2"/>
  <c r="W19" i="2"/>
  <c r="W27" i="2"/>
  <c r="W35" i="2"/>
  <c r="W43" i="2"/>
  <c r="W51" i="2"/>
  <c r="W59" i="2"/>
  <c r="W67" i="2"/>
  <c r="W75" i="2"/>
  <c r="W83" i="2"/>
  <c r="W91" i="2"/>
  <c r="W99" i="2"/>
  <c r="W107" i="2"/>
  <c r="W115" i="2"/>
  <c r="W123" i="2"/>
  <c r="W131" i="2"/>
  <c r="W141" i="2"/>
  <c r="W151" i="2"/>
  <c r="W161" i="2"/>
  <c r="W4" i="2"/>
  <c r="W12" i="2"/>
  <c r="W20" i="2"/>
  <c r="W28" i="2"/>
  <c r="W36" i="2"/>
  <c r="W44" i="2"/>
  <c r="W52" i="2"/>
  <c r="W60" i="2"/>
  <c r="W68" i="2"/>
  <c r="W76" i="2"/>
  <c r="W84" i="2"/>
  <c r="W92" i="2"/>
  <c r="W100" i="2"/>
  <c r="W108" i="2"/>
  <c r="W116" i="2"/>
  <c r="W124" i="2"/>
  <c r="W132" i="2"/>
  <c r="W142" i="2"/>
  <c r="W152" i="2"/>
  <c r="W162" i="2"/>
  <c r="W5" i="2"/>
  <c r="W13" i="2"/>
  <c r="W21" i="2"/>
  <c r="W29" i="2"/>
  <c r="W37" i="2"/>
  <c r="W45" i="2"/>
  <c r="W53" i="2"/>
  <c r="W61" i="2"/>
  <c r="W69" i="2"/>
  <c r="W77" i="2"/>
  <c r="W85" i="2"/>
  <c r="W93" i="2"/>
  <c r="W101" i="2"/>
  <c r="W109" i="2"/>
  <c r="W117" i="2"/>
  <c r="W125" i="2"/>
  <c r="W133" i="2"/>
  <c r="W143" i="2"/>
  <c r="W153" i="2"/>
  <c r="W165" i="2"/>
  <c r="W6" i="2"/>
  <c r="W14" i="2"/>
  <c r="W22" i="2"/>
  <c r="W30" i="2"/>
  <c r="W38" i="2"/>
  <c r="W46" i="2"/>
  <c r="W54" i="2"/>
  <c r="W62" i="2"/>
  <c r="W70" i="2"/>
  <c r="W78" i="2"/>
  <c r="W86" i="2"/>
  <c r="W94" i="2"/>
  <c r="W102" i="2"/>
  <c r="W110" i="2"/>
  <c r="W118" i="2"/>
  <c r="W126" i="2"/>
  <c r="W134" i="2"/>
  <c r="W144" i="2"/>
  <c r="W154" i="2"/>
  <c r="W166" i="2"/>
  <c r="X169" i="2" l="1"/>
  <c r="X171" i="2" s="1"/>
</calcChain>
</file>

<file path=xl/sharedStrings.xml><?xml version="1.0" encoding="utf-8"?>
<sst xmlns="http://schemas.openxmlformats.org/spreadsheetml/2006/main" count="6287" uniqueCount="2667">
  <si>
    <t>ID</t>
  </si>
  <si>
    <t>title</t>
  </si>
  <si>
    <t>author</t>
  </si>
  <si>
    <t>year</t>
  </si>
  <si>
    <t>booktitle</t>
  </si>
  <si>
    <t>journal</t>
  </si>
  <si>
    <t>publisher</t>
  </si>
  <si>
    <t>doi</t>
  </si>
  <si>
    <t>url</t>
  </si>
  <si>
    <t>abstract</t>
  </si>
  <si>
    <t>address</t>
  </si>
  <si>
    <t>pages</t>
  </si>
  <si>
    <t>isbn</t>
  </si>
  <si>
    <t>issn</t>
  </si>
  <si>
    <t>volume</t>
  </si>
  <si>
    <t>number</t>
  </si>
  <si>
    <t>series</t>
  </si>
  <si>
    <t>note</t>
  </si>
  <si>
    <t>articleno</t>
  </si>
  <si>
    <t>numpages</t>
  </si>
  <si>
    <t>keywords</t>
  </si>
  <si>
    <t>location</t>
  </si>
  <si>
    <t>issue_date</t>
  </si>
  <si>
    <t>notation</t>
  </si>
  <si>
    <t>evaluation</t>
  </si>
  <si>
    <t>10.1145/3689535.3689545</t>
  </si>
  <si>
    <t>Computational Thinking Assessment Tools: A Systematic Review of the Literature (Initial Findings).</t>
  </si>
  <si>
    <t>Sheridan, Frances and Stynes, Paul and Pathak, Pramod and Quille, Keith</t>
  </si>
  <si>
    <t>2024</t>
  </si>
  <si>
    <t>Proceedings of the 2024 Conference on United Kingdom &amp;amp; Ireland Computing Education Research</t>
  </si>
  <si>
    <t>Association for Computing Machinery</t>
  </si>
  <si>
    <t>https://doi.org/10.1145/3689535.3689545</t>
  </si>
  <si>
    <t xml:space="preserve">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 </t>
  </si>
  <si>
    <t>New York, NY, USA</t>
  </si>
  <si>
    <t>9798400711770</t>
  </si>
  <si>
    <t>UKICER '24</t>
  </si>
  <si>
    <t>19</t>
  </si>
  <si>
    <t>1</t>
  </si>
  <si>
    <t>Assessment, Computational Thinking, Computing, Higher Education</t>
  </si>
  <si>
    <t>Manchester, United Kingdom</t>
  </si>
  <si>
    <t>10.1145/3362789.3362803</t>
  </si>
  <si>
    <t>Interpretation of computational thinking evaluation results for enrollment prediction</t>
  </si>
  <si>
    <t>Rojas-L\'{o</t>
  </si>
  <si>
    <t>2019</t>
  </si>
  <si>
    <t>Proceedings of the Seventh International Conference on Technological Ecosystems for Enhancing Multiculturality</t>
  </si>
  <si>
    <t>https://doi.org/10.1145/3362789.3362803</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</si>
  <si>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</si>
  <si>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13–18</t>
  </si>
  <si>
    <t>9781450371919</t>
  </si>
  <si>
    <t>TEEM'19</t>
  </si>
  <si>
    <t>6</t>
  </si>
  <si>
    <t>Programming teaching, Programming Learning, Problem solving, Higher education, Computational thinking</t>
  </si>
  <si>
    <t>Le\'{o</t>
  </si>
  <si>
    <t>10.1145/3362789.3362802</t>
  </si>
  <si>
    <t>Initial learning scenarios based on the computational thinking evaluation for the course Programming fundamentals at INACAP</t>
  </si>
  <si>
    <t>https://doi.org/10.1145/3362789.3362802</t>
  </si>
  <si>
    <t>The paper's objective is present the design and the planning of initial learning scenarios for the course Programming Fundamentals, from the evaluation of computational thinking to new students of the careers Computer engineering and Programmer analyst of the Technological University of Chile and Training Center Technical respectively at INACAP, to favor the motivation and autonomy of study through the recognition of skills and the use of the instructional design of the face-to-face course. The proposal is based on correspondence with three of five change trends that integrated the educational model. Regarding the Knowledge society, promote recognition of the individuality of the student as a person who will do university studies, that is, the scenarios respond to the fact that each person learns differently. In the Training of competences, contribute with preventive actions that the teacher communicates when there is a lack of specific skills. Finally, in the Flexibility and articulation, provide a diagnostic tool that favors the recognition of previous competences to have an articulated beginning of studies based on the needs of the student. Consequently, contribute to the INACAP's educational model.</t>
  </si>
  <si>
    <t>6–12</t>
  </si>
  <si>
    <t>7</t>
  </si>
  <si>
    <t>10.1145/3587103.3594218</t>
  </si>
  <si>
    <t>Modeling of the System for Computational Thinking Automatic Assessment</t>
  </si>
  <si>
    <t>Masiulionyte-Dagiene, Vaida</t>
  </si>
  <si>
    <t>2023</t>
  </si>
  <si>
    <t>Proceedings of the 2023 Conference on Innovation and Technology in Computer Science Education V. 2</t>
  </si>
  <si>
    <t>https://doi.org/10.1145/3587103.3594218</t>
  </si>
  <si>
    <t>The aim of the doctoral thesis is to model an automated computational thinking (CT) assessment system based on solving processes of the interactive tasks. Currently, a literature review and analysis has been carried out, which has shown that among current CT assessment tools most popular ones still remain different types of tests. A study, comparing the two computational thinking assessment tests has been conducted and it has been observed that using only the tests causes data loss as tests do not collect information on the solution processes. An experiment was carried out to collect and analyze action information while solving the task and using this data to extract the possible different solution methods of an interactive task.</t>
  </si>
  <si>
    <t>603–604</t>
  </si>
  <si>
    <t>9798400701399</t>
  </si>
  <si>
    <t>ITiCSE 2023</t>
  </si>
  <si>
    <t>2</t>
  </si>
  <si>
    <t>automatic assessment, computational thinking, computational thinking assessment, learning analytics</t>
  </si>
  <si>
    <t>Turku, Finland</t>
  </si>
  <si>
    <t>10.1145/3361721.3361729</t>
  </si>
  <si>
    <t>Cognitive Correlates of Computational Thinking: Evaluation of a Blended Unplugged/Plugged-In Course</t>
  </si>
  <si>
    <t>Tsarava, Katerina and Leifheit, Luzia and Ninaus, Manuel and Rom\'{a</t>
  </si>
  <si>
    <t>Proceedings of the 14th Workshop in Primary and Secondary Computing Education</t>
  </si>
  <si>
    <t>https://doi.org/10.1145/3361721.3361729</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</si>
  <si>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</si>
  <si>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9781450377041</t>
  </si>
  <si>
    <t>WiPSCE '19</t>
  </si>
  <si>
    <t>24</t>
  </si>
  <si>
    <t>9</t>
  </si>
  <si>
    <t>computational thinking curriculum, computational thinking assessment, computational thinking, cognitive skills</t>
  </si>
  <si>
    <t>Glasgow, Scotland, Uk</t>
  </si>
  <si>
    <t>10.1145/3677619.3678110</t>
  </si>
  <si>
    <t>Improvement of Computational Thinking skills through unplugged activities in Upper Secondary Education</t>
  </si>
  <si>
    <t>Benavides-Escola, Christian Andr\'{e</t>
  </si>
  <si>
    <t>Proceedings of the 19th WiPSCE Conference on Primary and Secondary Computing Education Research</t>
  </si>
  <si>
    <t>https://doi.org/10.1145/3677619.3678110</t>
  </si>
  <si>
    <t>The adoption of Computational Thinking (CT) in the educational worldwide curricula is progressively gaining importance from various perspectives. One particular approach, known as unplugged, does not require electronic devices and offers notable benefits as it is replicable and adaptable. Moreover, it serves to dismantle the misconception that computer science is exclusively confined to the digital realm. While both plugged and unplugged methodologies are recognized, further exploration of the unplugged approach is required, especially in Upper Secondary Education, where there is less evidence of its effectiveness. This paper presents a summary of a quasi-experimental study conducted with 11th grade students (approximately 16 years old) in a Spanish public high school. 57 students participated: 28 in the control group and 29 in the experimental group. The conducted research, based on a quantitative and experimental design, aimed to investigate the effectiveness of unplugged activities to improve CT abilities in Upper Secondary Education. The results indicated improved skills in the experimental group, suggesting the potential efficacy of unplugged methods in fostering CT abilities.</t>
  </si>
  <si>
    <t>9798400710056</t>
  </si>
  <si>
    <t>WiPSCE '24</t>
  </si>
  <si>
    <t>11</t>
  </si>
  <si>
    <t>Computational Thinking, Computational Thinking Evaluation, Computer Science Education, Unplugged Activities, Upper Secondary Education</t>
  </si>
  <si>
    <t>Munich, Germany</t>
  </si>
  <si>
    <t>10.1145/3767723</t>
  </si>
  <si>
    <t>How do Swedish primary teachers introduce programming in their classrooms, and what strategies are used?</t>
  </si>
  <si>
    <t>\r{A</t>
  </si>
  <si>
    <t>2025</t>
  </si>
  <si>
    <t>ACM Trans. Comput. Educ.</t>
  </si>
  <si>
    <t>https://doi.org/10.1145/3767723</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</si>
  <si>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</si>
  <si>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Just Accepted</t>
  </si>
  <si>
    <t>K-12 education, teaching programming</t>
  </si>
  <si>
    <t>10.1145/3641555.3705131</t>
  </si>
  <si>
    <t>Assessing Elementary Teachers' Knowledge of Integrated Computational Thinking</t>
  </si>
  <si>
    <t>Joshi, Deepti and Joswick, Candace and Albert, Jennifer and Jocius, Robin and Blanton, Melanie and Petrulis, Robert and Dawson, Trent</t>
  </si>
  <si>
    <t>Proceedings of the 56th ACM Technical Symposium on Computer Science Education V. 2</t>
  </si>
  <si>
    <t>https://doi.org/10.1145/3641555.3705131</t>
  </si>
  <si>
    <t>During the UnboxingCT project summer professional development, the Integrated CT Assessment was piloted with 72 elementary teachers. The assessment is based on computational thinking integration literature and asks teachers to identify different computational thinking concepts in content area scenarios. The assessment allowed us to identify which computational thinking concepts teachers were most familiar with prior to the professional development and assess changes in their understanding following the professional development. Our next step will be validation of the assessment with a larger group of teachers.</t>
  </si>
  <si>
    <t>1501–1502</t>
  </si>
  <si>
    <t>9798400705328</t>
  </si>
  <si>
    <t>SIGCSETS 2025</t>
  </si>
  <si>
    <t>assessment, computational thinking, integrated assessment, teacher assessment, teacher professional development</t>
  </si>
  <si>
    <t>Pittsburgh, PA, USA</t>
  </si>
  <si>
    <t>10.1145/3724363.3729025</t>
  </si>
  <si>
    <t>A Proposal for a Programming Skills Framework Integrating Computational Thinking and Python Programming Concepts</t>
  </si>
  <si>
    <t>Hoarau, S\'{e</t>
  </si>
  <si>
    <t>Proceedings of the 30th ACM Conference on Innovation and Technology in Computer Science Education V. 1</t>
  </si>
  <si>
    <t>https://doi.org/10.1145/3724363.3729025</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</si>
  <si>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</si>
  <si>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417–423</t>
  </si>
  <si>
    <t>9798400715679</t>
  </si>
  <si>
    <t>ITiCSE 2025</t>
  </si>
  <si>
    <t>computational thinking, python, skills</t>
  </si>
  <si>
    <t>Nijmegen, Netherlands</t>
  </si>
  <si>
    <t>10.1145/3748269.3749380</t>
  </si>
  <si>
    <t>From Playmobil to Product Lines: towards a visual instrument for variability thinking measurement</t>
  </si>
  <si>
    <t>Romero-Organvidez, David and Moreno-Le\'{o</t>
  </si>
  <si>
    <t>Proceedings of the 29th ACM International Systems and Software Product Line Conference - Volume B</t>
  </si>
  <si>
    <t>https://doi.org/10.1145/3748269.3749380</t>
  </si>
  <si>
    <t>Variability is a key concept in Software Product Line Engineering (SPLE), but there is no standardized method to assess the ability to reason about variation points, dependencies, or configuration rules. This absence hinders the evaluation of training outcomes and the empirical analysis of SPL-related practices. This article presents an assessment instrument designed to measure variability in thinking through visual reasoning tasks. The test consists of multiple-choice items that depict configuration scenarios using stylized illustrations inspired by Playmobil figures and settings. Each item focuses on a specific aspect of variability reasoning, such as dependency constraints or valid product derivation. The proposed approach adapts computational thinking assessment techniques to the Software Product Line (SPL) domain. It enables a structured measurement of variability-related reasoning patterns and contributes to the development of assessment methods and the design of educational activities.</t>
  </si>
  <si>
    <t>76–80</t>
  </si>
  <si>
    <t>9798400720802</t>
  </si>
  <si>
    <t>SPLC-B '25</t>
  </si>
  <si>
    <t>5</t>
  </si>
  <si>
    <t>Software Product Lines, Variability Reasoning, Assessment, Computational Thinking, Variability Thinking, Visual Test, Feature Models, SPL Education, Playmobil</t>
  </si>
  <si>
    <t xml:space="preserve">
</t>
  </si>
  <si>
    <t>10.1145/3287324.3293798</t>
  </si>
  <si>
    <t>Assessing Middle School Students' Computational Thinking Through Programming Trajectory Analysis</t>
  </si>
  <si>
    <t>Akram, Bita and Min, Wookhee and Wiebe, Eric and Mott, Bradford and Boyer, Kristy Elizabeth and Lester, James</t>
  </si>
  <si>
    <t>Proceedings of the 50th ACM Technical Symposium on Computer Science Education</t>
  </si>
  <si>
    <t>https://doi.org/10.1145/3287324.3293798</t>
  </si>
  <si>
    <t xml:space="preserve">With national K-12 education initiatives such as </t>
  </si>
  <si>
    <t>1269</t>
  </si>
  <si>
    <t>9781450358903</t>
  </si>
  <si>
    <t>SIGCSE '19</t>
  </si>
  <si>
    <t>programming trajectories, game-based learning, evidence-centered design, computational thinking assessment, block-based programming</t>
  </si>
  <si>
    <t>Minneapolis, MN, USA</t>
  </si>
  <si>
    <t>10.1145/2591708.2591724</t>
  </si>
  <si>
    <t>Early validation of computational thinking pattern analysis</t>
  </si>
  <si>
    <t>Koh, Kyu Han and Nickerson, Hilarie and Basawapatna, Ashok and Repenning, Alexander</t>
  </si>
  <si>
    <t>2014</t>
  </si>
  <si>
    <t>Proceedings of the 2014 Conference on Innovation &amp;amp; Technology in Computer Science Education</t>
  </si>
  <si>
    <t>https://doi.org/10.1145/2591708.2591724</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</si>
  <si>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</si>
  <si>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213–218</t>
  </si>
  <si>
    <t>9781450328333</t>
  </si>
  <si>
    <t>ITiCSE '14</t>
  </si>
  <si>
    <t>end user programming, cyberlearning infrastructure, computational thinking pattern analysis, computational thinking assessment, computational thinking</t>
  </si>
  <si>
    <t>Uppsala, Sweden</t>
  </si>
  <si>
    <t>10.1145/3471573</t>
  </si>
  <si>
    <t>Coding with Minecraft: The Development of Middle School Students’ Computational Thinking</t>
  </si>
  <si>
    <t>Kutay, Emine and Oner, Diler</t>
  </si>
  <si>
    <t>2022</t>
  </si>
  <si>
    <t>https://doi.org/10.1145/3471573</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</si>
  <si>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</si>
  <si>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22</t>
  </si>
  <si>
    <t>21</t>
  </si>
  <si>
    <t>low-income, middle school, coding, Minecraft, computational thinking practices, Knowledge of computational concepts</t>
  </si>
  <si>
    <t>June 2022</t>
  </si>
  <si>
    <t>10.1145/3568813.3600143</t>
  </si>
  <si>
    <t>How are Elementary Students Demonstrating Understanding of Decomposition within Elementary Mathematics?</t>
  </si>
  <si>
    <t>Israel, Maya and Li, Jiehan and Yan, Wei and Elagha, Noor A. and Huggins-Manley, Corinne A. and Luo, Feiya and Franklin, Diana</t>
  </si>
  <si>
    <t>Proceedings of the 2023 ACM Conference on International Computing Education Research - Volume 1</t>
  </si>
  <si>
    <t>https://doi.org/10.1145/3568813.3600143</t>
  </si>
  <si>
    <t>Decomposition is a foundational computational thinking construct that is often introduced early as students are learning computer science in the elementary grades. Although decomposition is often described in early computational activities, little research exists about how to teach and assess students’ understanding of decomposition. In this mixed-methods research study, 173 third-grade students from eight elementary school classrooms in the Midwest were taught eight lessons that integrated decomposition as well as other computational thinking practices into their mathematics instruction. They completed a computational thinking assessment after the first four lessons and again after the second four lessons. Analyses included the distribution of correct decomposition item responses, confirmatory factor analysis, and item-level error analysis. Results indicate wide variability in students’ performance on the decomposition assessment items as well as in performance on items contextualized within mathematics. This study highlights the need for additional considerations about assessing computational understanding, implications for assessment within integrated contexts, and the use of paper-and-pencil tests compared to embedded assessments.</t>
  </si>
  <si>
    <t>222–235</t>
  </si>
  <si>
    <t>9781450399760</t>
  </si>
  <si>
    <t>ICER '23</t>
  </si>
  <si>
    <t>14</t>
  </si>
  <si>
    <t>Computational Thinking, Decomposition, Elementary Computer Science, Integration</t>
  </si>
  <si>
    <t>Chicago, IL, USA</t>
  </si>
  <si>
    <t>10.1145/3641554.3701782</t>
  </si>
  <si>
    <t>Exploring the Impact of Quizzes Interleaved with Write-Code Tasks in Elementary-Level Visual Programming</t>
  </si>
  <si>
    <t>Ghosh, Ahana and Malva, Liina and Gotovos, Alkis and Hooshyar, Danial and Singla, Adish</t>
  </si>
  <si>
    <t>Proceedings of the 56th ACM Technical Symposium on Computer Science Education V. 1</t>
  </si>
  <si>
    <t>https://doi.org/10.1145/3641554.3701782</t>
  </si>
  <si>
    <t>We explore the role of quizzes in elementary visual programming domains popularly used for K-8 computing education. Prior work has studied various quiz types, such as fill-in-the-gap write-code questions. However, the overall impact of these quizzes is unclear: studies often show utility in the learning phase when enhanced with quizzes, though limited transfer of utility in the post-learning phase. In this paper, we aim to better understand the impact of different quiz types and whether quizzes focusing on diverse skills (e.g., code debugging and task design) would have higher utility. We design a study with Hour of Code: Maze Challenge by code.org as the base curriculum, interleaved with different quiz types. Specifically, we examine two learning groups: (i) HoC-ACE with diverse quizzes including solution tracing, code debugging, code equivalence, and task design; (ii) HoC-Fill with simple quizzes on solution finding. We conducted a large-scale study with 405 students in grades 6--7. Our results highlight that the curriculum enhanced with richer quizzes led to higher utility during the post-learning phase.</t>
  </si>
  <si>
    <t>381–387</t>
  </si>
  <si>
    <t>9798400705311</t>
  </si>
  <si>
    <t>block-based visual programming, k-8 students, quizzes</t>
  </si>
  <si>
    <t>10.1145/3430665.3456380</t>
  </si>
  <si>
    <t>What Do We Know about Assessing Computational Thinking? A New Methodological Perspective from the Literature</t>
  </si>
  <si>
    <t>Liu, Ruohan and Luo, Feiya and Israel, Maya</t>
  </si>
  <si>
    <t>2021</t>
  </si>
  <si>
    <t>Proceedings of the 26th ACM Conference on Innovation and Technology in Computer Science Education V. 1</t>
  </si>
  <si>
    <t>https://doi.org/10.1145/3430665.3456380</t>
  </si>
  <si>
    <t>Developing computational thinking (CT) assessment methods appropriate for elementary students is attracting growing attention as CT research in elementary education progresses. To review the current elementary CT assessments for potential gaps, and seek additional methodologies to expand our understanding of CT, an integrative literature review of 75 research papers was performed in two phases. In Phase One, we conducted a critical analysis of existing elementary CT assessment studies. Key results include: 1) Artifact analysis, CT assessment items, and interviews are the most common methods utilized to assess CT in elementary grades; 2) Existing CT assessments primarily focus on students' computational artifacts and performance on CT tests; however, strategies to study students' thought processes during CT problem-solving are limited and under-utilized. Guided by the results of phase one, along with the theoretical perspective that connected CT to visual processing ability, in phase two we performed a survey of literature in the area of understanding cognitive processes through eye-tracking (i.e., visual attention) and think-aloud methodologies (i.e., verbalization). We focused on eye-tracking and think-aloud methodologies as these have been used to understand students' cognitive processes during problem-solving in other areas. Based on these findings, we proposed that in addition to current established methodologies, eye-tracking with the think-aloud technique can provide new insights into students' CT.</t>
  </si>
  <si>
    <t>269–275</t>
  </si>
  <si>
    <t>9781450382144</t>
  </si>
  <si>
    <t>ITiCSE '21</t>
  </si>
  <si>
    <t>assessment, computational thinking, elementary education</t>
  </si>
  <si>
    <t>Virtual Event, Germany</t>
  </si>
  <si>
    <t>10.1145/3501385.3543979</t>
  </si>
  <si>
    <t>A Pair of ACES: An Analysis of Isomorphic Questions on an Elementary Computing Assessment</t>
  </si>
  <si>
    <t>Parker, Miranda C. and Garcia, Leiny and Kao, Yvonne S. and Franklin, Diana and Krause, Susan and Warschauer, Mark</t>
  </si>
  <si>
    <t>Proceedings of the 2022 ACM Conference on International Computing Education Research - Volume 1</t>
  </si>
  <si>
    <t>https://doi.org/10.1145/3501385.3543979</t>
  </si>
  <si>
    <t>Background and Context. With increasing efforts to bring computing education opportunities into elementary schools, there is a growing need for assessments, with arguments for validity, to support research evaluation at these grade levels. After successfully piloting a 10-question computational thinking assessment (Assessment of Computing for Elementary Students – ACES) for 4th graders in Spring 2020, we used our analyses of item difficulty and discrimination to iterate on the assessment. Objectives. To increase the number of potential items for ACES, we created isomorphic versions of existing questions. The nature of the changes varied from incidental changes that we did not believe would impact student performance to more radical changes that seemed likely to influence question difficulty. We sought to understand the impact of these changes on student performance. Method. Using these isomorphic questions, we created two versions of our assessment and piloted them in Spring 2021 with 235 upper-elementary (4th grade) students. We analyzed the reliability of the assessments using Cronbach’s alpha. We used Chi-squared tests to analyze questions that were identical across the two assessments to form a baseline of comparison and then ran Chi-Squared and Kruskal-Wallis H tests to analyze the differences between the isomorphic copies of the questions. Findings. Both assessment versions demonstrated good reliability, with identical Cronbach’s alphas of 0.868. We found statistically similar performance on the identical questions between our two groups of students, allowing us to compare their performance on the isomorphic questions. Students performed differently on the isomorphic questions, indicating the changes to the questions had a differential impact on student performance. Implications. This paper builds on existing work by presenting methods for creating isomorphic questions. We provide valuable lessons learned, both on those methods and on the impact of specific types of changes on student performance.</t>
  </si>
  <si>
    <t>2–14</t>
  </si>
  <si>
    <t>9781450391948</t>
  </si>
  <si>
    <t>ICER '22</t>
  </si>
  <si>
    <t>13</t>
  </si>
  <si>
    <t>Lugano and Virtual Event, Switzerland</t>
  </si>
  <si>
    <t>10.1145/3543407.3543414</t>
  </si>
  <si>
    <t>Construction of Evaluation Index System for College Students' Text Programming Computational Thinking</t>
  </si>
  <si>
    <t>Zhang, Wei and Wang, Jihan and Zeng, Xinyao</t>
  </si>
  <si>
    <t>Proceedings of the 4th International Conference on Modern Educational Technology</t>
  </si>
  <si>
    <t>https://doi.org/10.1145/3543407.3543414</t>
  </si>
  <si>
    <t>38–43</t>
  </si>
  <si>
    <t>9781450396790</t>
  </si>
  <si>
    <t>ICMET '22</t>
  </si>
  <si>
    <t>text programming, Exploratory factor analysis, Evaluation index system, Confirmatory factor analysis, Computational thinking</t>
  </si>
  <si>
    <t>Macau, China</t>
  </si>
  <si>
    <t>10.1145/3486011.3486429</t>
  </si>
  <si>
    <t>Initial performance analysis in the evaluation of computational thinking from a gender perspective in higher education</t>
  </si>
  <si>
    <t>Rojas L\'{o</t>
  </si>
  <si>
    <t>Ninth International Conference on Technological Ecosystems for Enhancing Multiculturality (TEEM'21)</t>
  </si>
  <si>
    <t>https://doi.org/10.1145/3486011.3486429</t>
  </si>
  <si>
    <t>The computational thinking evaluation in last five years (2016-2020) has allowed to stablish a diagnosis for new students of Information Technologies division at the Universidad Tecnol\'{o</t>
  </si>
  <si>
    <t>109–114</t>
  </si>
  <si>
    <t>9781450390668</t>
  </si>
  <si>
    <t>TEEM'21</t>
  </si>
  <si>
    <t>Higher education, STEM, computational thinking, gender</t>
  </si>
  <si>
    <t>Barcelona, Spain</t>
  </si>
  <si>
    <t>10.1145/3373165.3373173</t>
  </si>
  <si>
    <t>Progression Of Computational Thinking Skills In Swedish Compulsory Schools With Block-based Programming</t>
  </si>
  <si>
    <t>Zhang, LeChen and Nouri, Jalal and Rolandsson, Lennart</t>
  </si>
  <si>
    <t>2020</t>
  </si>
  <si>
    <t>Proceedings of the Twenty-Second Australasian Computing Education Conference</t>
  </si>
  <si>
    <t>https://doi.org/10.1145/3373165.3373173</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</si>
  <si>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</si>
  <si>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66–75</t>
  </si>
  <si>
    <t>9781450376860</t>
  </si>
  <si>
    <t>ACE'20</t>
  </si>
  <si>
    <t>10</t>
  </si>
  <si>
    <t>Progression, Programming, Computational thinking, Compulsory education, Block-based programming, Assessment</t>
  </si>
  <si>
    <t>Melbourne, VIC, Australia</t>
  </si>
  <si>
    <t>10.1145/3631802.3631807</t>
  </si>
  <si>
    <t>What Skills Do You Need When Developing Software Using ChatGPT? (Discussion Paper)</t>
  </si>
  <si>
    <t>Jeuring, Johan and Groot, Roel and Keuning, Hieke</t>
  </si>
  <si>
    <t>Proceedings of the 23rd Koli Calling International Conference on Computing Education Research</t>
  </si>
  <si>
    <t>https://doi.org/10.1145/3631802.3631807</t>
  </si>
  <si>
    <t>Since the release of LLM-based tools such as GitHub Copilot and ChatGPT the media and popular scientific literature, but also journals such as the Communications of the ACM, have been flooded with opinions how these tools will change programming. The opinions range from “machines will program themselves”, to “AI does not help programmers”. Of course, these statements are meant to to stir up a discussion, and should be taken with a grain of salt, but we argue that such unfounded statements are potentially harmful. Instead, we propose to investigate which skills are required to develop software using LLM-based tools. In this paper we report on an experiment in which we explore if Computational Thinking (CT) skills predict the ability to develop software using LLM-based tools. Our results show that the ability to develop software using LLM-based tools can indeed be predicted by the score on a CT assessment. There are many limitations to our experiment, and this paper is also a call to discuss how to approach, preferably experimentally, the question of which skills are required to develop software using LLM-based tools. We propose to rephrase this question to include by what kind of people/programmers, to develop what kind of software using what kind of LLM-based tools.</t>
  </si>
  <si>
    <t>9798400716539</t>
  </si>
  <si>
    <t>Koli Calling '23</t>
  </si>
  <si>
    <t>38</t>
  </si>
  <si>
    <t>ChatGPT, Computational thinking skills, LLM-based tools, Software development skills</t>
  </si>
  <si>
    <t>Koli, Finland</t>
  </si>
  <si>
    <t>10.1145/3279720.3279735</t>
  </si>
  <si>
    <t>Improving Assessment of Computational Thinking Through a Comprehensive Framework</t>
  </si>
  <si>
    <t>Basso, Demis and Fronza, Ilenia and Colombi, Alessandro and Pahl, Claus</t>
  </si>
  <si>
    <t>2018</t>
  </si>
  <si>
    <t>Proceedings of the 18th Koli Calling International Conference on Computing Education Research</t>
  </si>
  <si>
    <t>https://doi.org/10.1145/3279720.3279735</t>
  </si>
  <si>
    <t>In recent years, Computational Thinking (CT) made its way into K-12 as a key set of 21st-century skills. However, the issue of assessing student's learning of CT remains a challenging one: it is indeed not clear how to achieve a comprehensive evaluation that is able to assess not only the technical and domain-specific skills, but also the domain-independent meta-skills of CT. Finding a solution to this issue is crucial, because assessment not only determines whether or not educational goals are being met, but also supports the design of a curriculum. Multiple forms of assessments have been proposed within the main perspective of programming skills, neglecting the possible generalization of CT training on other skills. In this work, we first review the existing approaches to CT assessment. Then, we discuss what non-technical skills (relational skills and cognitive life-skills) should be included in a comprehensive CT assessment framework. Moreover, we provide an indication of possible solutions to capitalize on the existing experiences in order to achieve a feasible integration of different types of assessment.</t>
  </si>
  <si>
    <t>9781450365352</t>
  </si>
  <si>
    <t>Koli Calling '18</t>
  </si>
  <si>
    <t>15</t>
  </si>
  <si>
    <t>Software Engineering Training and Education, K-12, End-User Software Engineering</t>
  </si>
  <si>
    <t>10.1145/3545945.3569856</t>
  </si>
  <si>
    <t>Confidence is the Key: Unlocking Predictive Factors of Latinx Elementary Students on a Computational Thinking Measure</t>
  </si>
  <si>
    <t>Garcia, Leiny Y. and Parker, Miranda C. and Ojeda-Ramirez, Santiago and Warschauer, Mark</t>
  </si>
  <si>
    <t>Proceedings of the 54th ACM Technical Symposium on Computer Science Education V. 1</t>
  </si>
  <si>
    <t>https://doi.org/10.1145/3545945.3569856</t>
  </si>
  <si>
    <t>As computing education begins to grow in K-12 classrooms, it is increasingly important to understand the relationships between a student's coding attitudes and computing outcomes. While work has been done at the undergraduate and high school level, less is known about elementary students, and even less about Latinx students. We sought to explore the connections between Latinx elementary students' coding attitudes and computational thinking (CT) skills after participating in a year-long, remote computing curriculum in a public school district in Southern California. We collected validated measures on coding attitudes and CT skills for 164 fourth-grade students. We used structural equation modeling to analyze the relationship between the coding attitude constructs (i.e., confidence, utility, perception of coders, social influences, and interest) and scores on a CT assessment while controlling for demographic factors (i.e., gender, English language fluency, free or reduced lunch status, reading and math standardized test scores). In a model demonstrating acceptable fit, only math scores were a significant predictor of CT scores and coding confidence. Confidence was found to be significantly associated with the other attitude constructs except for perception of coders. Our results indicate that confidence plays a prominent role in student computing learning, especially at a young age. Efforts to better support Latinx students in computer science should include strategies that address students' coding confidence, such as developing positive perceptions of a student's learning process (e.g., failures as learning opportunities) in specific coding skills and practices (e.g., tinkering, debugging).</t>
  </si>
  <si>
    <t>326–332</t>
  </si>
  <si>
    <t>9781450394314</t>
  </si>
  <si>
    <t>SIGCSE 2023</t>
  </si>
  <si>
    <t>confidence, early coding attitudes, elementary school, latinx</t>
  </si>
  <si>
    <t>Toronto ON, Canada</t>
  </si>
  <si>
    <t>10.1145/3626252.3630778</t>
  </si>
  <si>
    <t>Analyzing-Evaluating-Creating: Assessing Computational Thinking and Problem Solving in Visual Programming Domains</t>
  </si>
  <si>
    <t>Ghosh, Ahana and Malva, Liina and Singla, Adish</t>
  </si>
  <si>
    <t>Proceedings of the 55th ACM Technical Symposium on Computer Science Education V. 1</t>
  </si>
  <si>
    <t>https://doi.org/10.1145/3626252.3630778</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</si>
  <si>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</si>
  <si>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387–393</t>
  </si>
  <si>
    <t>9798400704239</t>
  </si>
  <si>
    <t>SIGCSE 2024</t>
  </si>
  <si>
    <t>assessment tools, bloom's taxonomy, computational thinking</t>
  </si>
  <si>
    <t>Portland, OR, USA</t>
  </si>
  <si>
    <t>10.1145/3328778.3366845</t>
  </si>
  <si>
    <t>Understanding Students' Computational Thinking through Cognitive Interviews: A Learning Trajectory-based Analysis</t>
  </si>
  <si>
    <t>Luo, Feiya and Israel, Maya and Liu, Ruohan and Yan, Wei and Gane, Brian and Hampton, John</t>
  </si>
  <si>
    <t>Proceedings of the 51st ACM Technical Symposium on Computer Science Education</t>
  </si>
  <si>
    <t>https://doi.org/10.1145/3328778.3366845</t>
  </si>
  <si>
    <t xml:space="preserve">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 </t>
  </si>
  <si>
    <t>919–925</t>
  </si>
  <si>
    <t>9781450367936</t>
  </si>
  <si>
    <t>SIGCSE '20</t>
  </si>
  <si>
    <t>learning trajectories, k-8 computer science education, computational thinking</t>
  </si>
  <si>
    <t>10.1145/3012430.3012499</t>
  </si>
  <si>
    <t>Relationship of knowledge to learn in programming methodology and evaluation of computational thinking</t>
  </si>
  <si>
    <t>L\'{o</t>
  </si>
  <si>
    <t>2016</t>
  </si>
  <si>
    <t>Proceedings of the Fourth International Conference on Technological Ecosystems for Enhancing Multiculturality</t>
  </si>
  <si>
    <t>https://doi.org/10.1145/3012430.3012499</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</si>
  <si>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</si>
  <si>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73–77</t>
  </si>
  <si>
    <t>9781450347471</t>
  </si>
  <si>
    <t>TEEM '16</t>
  </si>
  <si>
    <t>work in progress, teaching, students, programming teaching, programming, learning programming, introductory programming course, higher education, first year students, engineering problems, engineering education, engineering course, educational programming, curriculum design, computer programming course, computational thinking</t>
  </si>
  <si>
    <t>Salamanca, Spain</t>
  </si>
  <si>
    <t>10.1145/3478432.3499214</t>
  </si>
  <si>
    <t>Cross-grade Comparison of Computational Thinking in Young Children Using Normalized Unplugged Assessment Scores</t>
  </si>
  <si>
    <t>Relkin, Emily</t>
  </si>
  <si>
    <t>Proceedings of the 53rd ACM Technical Symposium on Computer Science Education V. 2</t>
  </si>
  <si>
    <t>https://doi.org/10.1145/3478432.3499214</t>
  </si>
  <si>
    <t>The acquisition of Computational Thinking (CT) skills is an essential goal of Computer Science (CS) education. Assessment of CT is critical for CS teaching and research. However, there is a paucity of developmentally appropriate CT measures designed for early elementary school children. Among existing measures, there has been little attention paid to methods for comparing CT skills across grades. In the present study, I examined the use of a normalized scoring system for comparing performance on three grade-specific versions of the TechCheck CT assessment. TechCheck is a brief, unplugged, multiple-choice instrument for children 5-9 years of age that probes six domains of CT. Baseline raw score TechCheck data from 596 students showed normal distributions with significant differences in means between grades. I calculated Z-scores and percentile ranks by grade. This normalization allowed for the comparison of CT skills within and across grades in the context of a pilot longitudinal study of the CAL-ScratchJr coding curriculum. Application of the normative scoring system showed a difference in the outcome of only 4 percentile ranks between first and second graders while raw scores indicated an improbable 45% difference. This study demonstrates that normalized TechCheck scores that take into account differences in the score distributions across grades can improve the measurement of CT skills in the context of early childhood CS educational interventions.</t>
  </si>
  <si>
    <t>1175</t>
  </si>
  <si>
    <t>9781450390712</t>
  </si>
  <si>
    <t>SIGCSE 2022</t>
  </si>
  <si>
    <t>unplugged, normalization, early childhood, computer science, coding, assessment</t>
  </si>
  <si>
    <t>Providence, RI, USA</t>
  </si>
  <si>
    <t>10.1145/3341525.3394002</t>
  </si>
  <si>
    <t>The Design, Development, and Evaluation of a Novel Computer-based Competency Assessment of Computational Thinking</t>
  </si>
  <si>
    <t>Lai, Rina P.Y.</t>
  </si>
  <si>
    <t>Proceedings of the 2020 ACM Conference on Innovation and Technology in Computer Science Education</t>
  </si>
  <si>
    <t>https://doi.org/10.1145/3341525.3394002</t>
  </si>
  <si>
    <t>There is a long-standing question in the computational thinking (CT) literature regarding CT assessment methods. To address this, this project takes a multidisciplinary approach to design, develop, and evaluate a novel computer-based competency assessment of CT. Several pilot studies have suggested promising results regarding its reliability; the evaluation phase will be conducted using a psychometric model and data mining techniques to investigate item properties and extract performance patterns.</t>
  </si>
  <si>
    <t>573–574</t>
  </si>
  <si>
    <t>9781450368742</t>
  </si>
  <si>
    <t>ITiCSE '20</t>
  </si>
  <si>
    <t>parson's problem, formative assessment, computer-based assessment, computational thinking, computational problems</t>
  </si>
  <si>
    <t>Trondheim, Norway</t>
  </si>
  <si>
    <t>10.1145/3486598</t>
  </si>
  <si>
    <t>Beyond Programming: A Computer-Based Assessment of Computational Thinking Competency</t>
  </si>
  <si>
    <t>Lai, Rina P. Y.</t>
  </si>
  <si>
    <t>https://doi.org/10.1145/3486598</t>
  </si>
  <si>
    <t>Computational Thinking (CT), entailing both domain-general and domain-specific skills, is a competency fundamental to computing education and beyond. However, as a cross-domain competency, appropriate assessment design and method remain equivocal. Indeed, the majority of the existing assessments have a predominant focus on measuring programming proficiency and neglecting other contexts in which CT can also be manifested. To broaden the promotion and practice of CT, it is necessary to integrate diverse problem types and item formats using a competency-based assessment method to measure CT. Taking a psychometric approach, this article evaluates a novel computer-based assessment of CT competency, Computational Thinking Challenge. The assessment was administered to 119 British upper secondary school students (M = 16.11; SD = 1.19) with a range of prior programming experiences. Results from several reliability analyses, a convergent validity analysis, and a Rasch analysis, provided evidence to support the quality of the assessment. Taken together, the study demonstrated the feasibility to expand from traditional assessment methods to integrating multiple contexts, problem types, and item formats in measuring CT competency in a comprehensive manner.</t>
  </si>
  <si>
    <t>27</t>
  </si>
  <si>
    <t>problem-solving, computing education, computer-based assessment, Computational thinking competency</t>
  </si>
  <si>
    <t>10.1145/3421590.3421598</t>
  </si>
  <si>
    <t>Programming in primary education: towards a research based assessment framework</t>
  </si>
  <si>
    <t>Mannila, Linda and Heintz, Fredrik and Kj\</t>
  </si>
  <si>
    <t>Proceedings of the 15th Workshop on Primary and Secondary Computing Education</t>
  </si>
  <si>
    <t>https://doi.org/10.1145/3421590.3421598</t>
  </si>
  <si>
    <t>In March 2017, the Swedish government decided to introduce digital competence - including programming - in primary school. As a consequence, every math and technology teacher in grades 1-9 in Sweden is expected to integrate programming in their teaching. Furthermore, the Swedish school law requires that teaching is based on scientific evidence and proven experience. In addition to professional development for teachers, it is hence crucial to also conduct research on different aspects of programming in the classroom. In this paper, we describe the process of developing a scientifically grounded instrument for assessing students' programming skills, as part of a longitudinal research project investigating how students in primary school learn programming. We also present the main findings related to the suitability of the instrument based on a pilot study conducted in spring 2019, collecting data from 310 students.</t>
  </si>
  <si>
    <t>9781450387590</t>
  </si>
  <si>
    <t>WiPSCE '20</t>
  </si>
  <si>
    <t>programming, assessment, K-12 education</t>
  </si>
  <si>
    <t>10.1145/3669947.3669951</t>
  </si>
  <si>
    <t>The Influence of CodeCombat on Computational Thinking in Python Programming Learning at Primary School</t>
  </si>
  <si>
    <t>Choi, Wan Chong and Choi, Iek Chong</t>
  </si>
  <si>
    <t>Proceedings of the 2024 5th International Conference on Education Development and Studies</t>
  </si>
  <si>
    <t>https://doi.org/10.1145/3669947.3669951</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</si>
  <si>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</si>
  <si>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26–32</t>
  </si>
  <si>
    <t>9798400718083</t>
  </si>
  <si>
    <t>ICEDS '24</t>
  </si>
  <si>
    <t>CodeCombat, Computational thinking, Gamification of learning, K-12 Programming education, Python programming, Serious game</t>
  </si>
  <si>
    <t>Cambridge, United Kingdom</t>
  </si>
  <si>
    <t>10.1145/3287324.3287390</t>
  </si>
  <si>
    <t>Development of a Lean Computational Thinking Abilities Assessment for Middle Grades Students</t>
  </si>
  <si>
    <t>Wiebe, Eric and London, Jennifer and Aksit, Osman and Mott, Bradford W. and Boyer, Kristy Elizabeth and Lester, James C.</t>
  </si>
  <si>
    <t>https://doi.org/10.1145/3287324.3287390</t>
  </si>
  <si>
    <t xml:space="preserve">The recognition of middle grades as a critical juncture in CS education has led to the widespread development of CS curricula and integration efforts. The goal of many of these interventions is to develop a set of underlying abilities that has been termed computational thinking (CT). This goal presents a key challenge for assessing student learning: we must identify assessment items associated with an emergent understanding of key cognitive abilities underlying CT that avoid specialized knowledge of specific programming languages. In this work we explore the psychometric properties of assessment items appropriate for use with middle grades (US grades 6-8; ages 11-13) students. We also investigate whether these items measure a single ability dimension. Finally, we strive to recommend a </t>
  </si>
  <si>
    <t>456–461</t>
  </si>
  <si>
    <t>10.1145/3311927.3323152</t>
  </si>
  <si>
    <t>Is My Game OK Dr. Scratch? Exploring Programming and Computational Thinking Development via Metrics in Student-Designed Serious Games for STEM</t>
  </si>
  <si>
    <t>Troiano, Giovanni Maria and Snodgrass, Sam and Arg\i{</t>
  </si>
  <si>
    <t>Proceedings of the 18th ACM International Conference on Interaction Design and Children</t>
  </si>
  <si>
    <t>https://doi.org/10.1145/3311927.3323152</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</si>
  <si>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</si>
  <si>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208–219</t>
  </si>
  <si>
    <t>9781450366908</t>
  </si>
  <si>
    <t>IDC '19</t>
  </si>
  <si>
    <t>12</t>
  </si>
  <si>
    <t>metrics, game design, constructionist learning, assessment, Scratch, STEM, Dr. Scratch, Computational thinking</t>
  </si>
  <si>
    <t>Boise, ID, USA</t>
  </si>
  <si>
    <t>10.1145/3626252.3630882</t>
  </si>
  <si>
    <t>Intersectional Biases Within an Introductory Computing Assessment</t>
  </si>
  <si>
    <t>Parker, Miranda C. and Ren, He and Li, Min and Wang, Chun</t>
  </si>
  <si>
    <t>https://doi.org/10.1145/3626252.3630882</t>
  </si>
  <si>
    <t>Assessments that can measure student understanding of concepts in a reliable and valid way are incredibly valuable in research. Unfortunately, assessments can be a source of bias, differentially impacting students along various demographic lines. Differential Item Functioning (DIF) is a method to explore assessment bias. However, DIF is primarily limited to a single binary demographic variable (e.g. white and non-white; male and female). In this paper, we describe a novel expansion of DIF methods to explore intersections of student identities. We demonstrate the use of classic DIF on a data set of 255 complete responses to a CS1 assessment using binary race and gender variables in our analyses. Then, we present the importance of intersectional DIF by running a similar analysis on intersectional data. Using these methods, we identify problematic items on the assessment that are biased against certain groups of test-takers. Our work contributes an innovative method to help interpret assessment results and inform changes to assessments.</t>
  </si>
  <si>
    <t>1021–1027</t>
  </si>
  <si>
    <t>cs1, differential item functioning, equity, intersectionality, validity</t>
  </si>
  <si>
    <t>10.1145/3678726.3678729</t>
  </si>
  <si>
    <t>The Students' Perspective on Computational Thinking through Flipped Classroom in K-12 Programming Course</t>
  </si>
  <si>
    <t>Choi, Wan Chong and Chang, Chi In</t>
  </si>
  <si>
    <t>Proceedings of the 2024 8th International Conference on Education and Multimedia Technology</t>
  </si>
  <si>
    <t>https://doi.org/10.1145/3678726.3678729</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</si>
  <si>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</si>
  <si>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106–113</t>
  </si>
  <si>
    <t>9798400717611</t>
  </si>
  <si>
    <t>ICEMT '24</t>
  </si>
  <si>
    <t>8</t>
  </si>
  <si>
    <t>Codey-Rocky, Computational Thinking, Flipped Classroom, K-12 Block-based Programming Course, Primary School Programming Education</t>
  </si>
  <si>
    <t>Tokyo, Japan</t>
  </si>
  <si>
    <t>10.1145/3502718.3524790</t>
  </si>
  <si>
    <t>Toward More Generalizable CS and CT Instruments: Examining the Interaction of Country and Gender at the Middle Grades Level</t>
  </si>
  <si>
    <t>Rachmatullah, Arif and Vandenberg, Jessica and Wiebe, Eric</t>
  </si>
  <si>
    <t>Proceedings of the 27th ACM Conference on on Innovation and Technology in Computer Science Education Vol. 1</t>
  </si>
  <si>
    <t>https://doi.org/10.1145/3502718.3524790</t>
  </si>
  <si>
    <t>The lack of gender diversity in the computer science (CS) field and workforce is a well-documented challenge that many, but not all, countries face. Such a challenge may tie to socio-cultural issues that have impacted K-12 CS education, eventually creating a gender gap in CS performance and attitudes. The current study compared American and Indonesian middle school students' computational thinking (CT) skills and CS attitudes. Concurrently, this study also examined whether the items in the instruments we used exhibit country, gender, or prior CS experience measurement biases. A total of 592 American n = 242 and Indonesian n = 350 middle school students took a CT assessment and CS attitudes scale. Differential item functioning (DIF) was used to detect biased items, and a two-way ANOVA was utilized to examine the interaction effects of country and gender in the two constructs. The results showed some items were flagged as having country-specific DIF. The results also indicated that the American students had higher CT scores than Indonesian students. However, Indonesian students obtained higher CS attitudes scores compared to American students. Further results showed a significant gender difference in CS attitudes in the American samples; however, such a significant difference was not found in the Indonesian sample. These findings underscore the importance of a country's socio-cultural context in influencing gender diversity in the CS field.</t>
  </si>
  <si>
    <t>179–185</t>
  </si>
  <si>
    <t>9781450392013</t>
  </si>
  <si>
    <t>ITiCSE '22</t>
  </si>
  <si>
    <t>international study, gender, cs attitudes, computational thinking</t>
  </si>
  <si>
    <t>Dublin, Ireland</t>
  </si>
  <si>
    <t>10.1145/3653666.3656091</t>
  </si>
  <si>
    <t>Intersectional Factors that Influence K-2 Students' Computer Science Learning</t>
  </si>
  <si>
    <t>Jacob, Sharin and Gillen, Benjamin and Ojeda-Ramirez, Santiago and Baek, Clare and Barrera, Carlos and Franklin, Diana and Warschauer, Mark</t>
  </si>
  <si>
    <t>Proceedings of the 2024 on RESPECT Annual Conference</t>
  </si>
  <si>
    <t>https://doi.org/10.1145/3653666.3656091</t>
  </si>
  <si>
    <t>Understanding issues of intersectionality in education is vital for creating equitable learning environments. Intersectionality emphasizes the complexity of students' identities, including race, gender, and socioeconomic status, and how they interact to characterize their diverse group membership. Examining data intersectionality underscores students' heterogeneous needs, circumstances, and outcomes, advancing researchers' and policymakers' understanding of the types of interventions that ameliorate disparities for marginalized students. This study examines the intersectional factors influencing K-2 students' coding skills. We employ a hierarchical linear model on a validated pre-and-post coding assessment to examine a year-long Coding as Another Language curriculum for Latine, multilingual, and low-socioeconomic students. Findings indicated initial performance gaps for students with historically marginalized and intersecting backgrounds. After receiving the curriculum, these students demonstrated significant improvement, closing the coding skills gap with their more privileged peers. These findings underscore the importance of investigating and mitigating disparities in coding education for students with intersecting identities.</t>
  </si>
  <si>
    <t>21–29</t>
  </si>
  <si>
    <t>9798400706264</t>
  </si>
  <si>
    <t>RESPECT 2024</t>
  </si>
  <si>
    <t>coding, computer science education, early childhood education, english learner, intersectionality, k-2, latine, multilingual</t>
  </si>
  <si>
    <t>Atlanta, GA, USA</t>
  </si>
  <si>
    <t>10.5555/3205191.3205223</t>
  </si>
  <si>
    <t>Students' understanding of basic computational concepts in an introduction to mobile development course</t>
  </si>
  <si>
    <t>Jin, Karen H.</t>
  </si>
  <si>
    <t>J. Comput. Sci. Coll.</t>
  </si>
  <si>
    <t>Consortium for Computing Sciences in Colleges</t>
  </si>
  <si>
    <t>Building basic computational thinking skills is an important goal in courses that introduce computing to students with limited programming background. Among choices of tools and platforms, MIT App Inventor is a popular mobile app development environment particularly suitable for engaging novice learners. Users are able to create their own mobile apps with real-world usefulness without having to deal with difficult language syntax. However, a study of computational thinking assessment showed students had difficulties in learning abstract concepts such as procedure and flow control using App Inventor [1]. Meanwhile, non-CS major students demonstrated a lack of continuous growth in computational thinking skills compared to CS major students [1]. In another recent study [2], students reported increased interests in computing after being exposed to modern responsive web development, but it is unclear if having an HTML/CSS background makes it more effective in learning abstract computational concepts when using App Inventor.</t>
  </si>
  <si>
    <t>Evansville, IN, USA</t>
  </si>
  <si>
    <t>183–185</t>
  </si>
  <si>
    <t>1937-4771</t>
  </si>
  <si>
    <t>33</t>
  </si>
  <si>
    <t>3</t>
  </si>
  <si>
    <t>June 2018</t>
  </si>
  <si>
    <t>10.1145/3287324.3287470</t>
  </si>
  <si>
    <t>Assessing In-service Teachers' Development of Computational Thinking Practices in Teacher Development Courses</t>
  </si>
  <si>
    <t>Kong, Siu-Cheung and Lao, Andrew Chan-Chio</t>
  </si>
  <si>
    <t>https://doi.org/10.1145/3287324.3287470</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</si>
  <si>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</si>
  <si>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976–982</t>
  </si>
  <si>
    <t>teacher development, in-service teacher, computational thinking practices (ct practices), computational thinking (ct), assessment</t>
  </si>
  <si>
    <t>10.1145/3507951.3519285</t>
  </si>
  <si>
    <t>Coding as another language: computational thinking, robotics and literacy in first and second grade</t>
  </si>
  <si>
    <t>Bers, Marina Umaschi and Govind, Madhu and Relkin, Emily</t>
  </si>
  <si>
    <t>Computational Thinking in PreK-5: Empirical Evidence for Integration and Future Directions</t>
  </si>
  <si>
    <t>https://doi.org/10.1145/3507951.3519285</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</si>
  <si>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</si>
  <si>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30–38</t>
  </si>
  <si>
    <t>9781450396158</t>
  </si>
  <si>
    <t>10.1145/3675812.3675864</t>
  </si>
  <si>
    <t>Current Situation and Trend of Computational Thinking Research of Primary School Students in Recent Ten Years in China: An Analysis Based on Visualization Software</t>
  </si>
  <si>
    <t>Chen, MingQi and Xu, JiHong and Wang, YiChuan</t>
  </si>
  <si>
    <t>Proceedings of the 2024 9th International Conference on Distance Education and Learning</t>
  </si>
  <si>
    <t>https://doi.org/10.1145/3675812.3675864</t>
  </si>
  <si>
    <t>With the continuous development of information technology, computational thinking has become a necessary quality for students to adapt to the era of artificial intelligence in the 21st century. After the release of the Information Technology Curriculum Standards for Compulsory Education (2022 edition), computational thinking has rapidly attracted wide attention. This paper adopts the bibliometrics method to study the core journals and dissertations on the training of primary school students' computational thinking collected by CNKI (China National Knowledge Network) from 2012 to 2023, and analyzes the current situation and trend of the training of primary school students' computational thinking from the aspects of the number of literatures, sources, research hotspots and frontiers, combined with Citespace software. It provides useful reference for related researchers.</t>
  </si>
  <si>
    <t>301–307</t>
  </si>
  <si>
    <t>9798400716805</t>
  </si>
  <si>
    <t>ICDEL '24</t>
  </si>
  <si>
    <t>Bibliometric method, Citespace software, Primary school student, computational thinking</t>
  </si>
  <si>
    <t>Guangzhou, China</t>
  </si>
  <si>
    <t>10.1145/3641555.3705122</t>
  </si>
  <si>
    <t>An Analysis of K-12 Programming Education Utilizing the Minecraft Metaverse Amidst the COVID-19 Pandemic</t>
  </si>
  <si>
    <t>Sawada, Chiyoko and Terazono, Masafumi and Hagino, Tatsuya and Hattori, Takashi</t>
  </si>
  <si>
    <t>https://doi.org/10.1145/3641555.3705122</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</si>
  <si>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</si>
  <si>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1615–1616</t>
  </si>
  <si>
    <t>K-12 education, commands, computational thinking, game elements, metaverse</t>
  </si>
  <si>
    <t>10.1145/3585088.3589364</t>
  </si>
  <si>
    <t>Concepts, practices, and perspectives for developing computational data literacy: Insights from workshops with a new data programming system</t>
  </si>
  <si>
    <t>Cheng, Ruijia and Dangol, Aayushi and Ello, Frances Marie Tabio and Wang, Lingyu and Dasgupta, Sayamindu</t>
  </si>
  <si>
    <t>Proceedings of the 22nd Annual ACM Interaction Design and Children Conference</t>
  </si>
  <si>
    <t>https://doi.org/10.1145/3585088.3589364</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</si>
  <si>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</si>
  <si>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100–111</t>
  </si>
  <si>
    <t>9798400701313</t>
  </si>
  <si>
    <t>IDC '23</t>
  </si>
  <si>
    <t>block-based programming, data literacy, visualization</t>
  </si>
  <si>
    <t>10.1145/3704637.3734766</t>
  </si>
  <si>
    <t>Designing for All: Universal Design for Learning Meets Computational Thinking for Multilingual Students</t>
  </si>
  <si>
    <t>Jacob, Sharin and Montoya, Jonathan and Prado, Yenda and Coenraad, Merijke and Burke, William and Warschauer, Mark</t>
  </si>
  <si>
    <t>Proceedings of the 2025 Conference on Research on Equitable and Sustained Participation in Engineering, Computing, and Technology</t>
  </si>
  <si>
    <t>https://doi.org/10.1145/3704637.3734766</t>
  </si>
  <si>
    <t>This study examines barriers to inclusion for multilingual students in computer science, highlighting the role of Universal Design for Learning (UDL) strategies in an elementary computational thinking (CT) curriculum. Data from five classrooms including observations, field notes, pre-and-post-CT tests, and student artifacts were analyzed. Findings show that teachers employed various UDL strategies to teach CT, with their frequency positively correlated with higher CT scores. Additionally, this research extends existing UDL frameworks by integrating empirically observed strategies tailored for multilingual students. Ultimately, this study offers a universe of pedagogical strategies, rooted in UDL, aimed at enhancing multilingual student participation in computer science.</t>
  </si>
  <si>
    <t>309–316</t>
  </si>
  <si>
    <t>RESPECT 2025</t>
  </si>
  <si>
    <t>access, computational thinking, computer science, english learner, multilingual, universal design for learning</t>
  </si>
  <si>
    <t>Newark, NJ, USA</t>
  </si>
  <si>
    <t>10.1145/3364510.3364521</t>
  </si>
  <si>
    <t>A Systematic Review of Computational Thinking Approach for Programming Education in Higher Education Institutions</t>
  </si>
  <si>
    <t>Agbo, Friday Joseph and Oyelere, Solomon Sunday and Suhonen, Jarkko and Adewumi, Sunday</t>
  </si>
  <si>
    <t>Proceedings of the 19th Koli Calling International Conference on Computing Education Research</t>
  </si>
  <si>
    <t>https://doi.org/10.1145/3364510.3364521</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</si>
  <si>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</si>
  <si>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9781450377157</t>
  </si>
  <si>
    <t>Koli Calling '19</t>
  </si>
  <si>
    <t>undergraduates, smart learning, programming, problem-solving, higher education, computational thinking</t>
  </si>
  <si>
    <t>10.1109/TNET.2021.3123507</t>
  </si>
  <si>
    <t>The Invisible Side of Certificate Transparency: Exploring the Reliability of Monitors in the Wild</t>
  </si>
  <si>
    <t>Li, Bingyu and Lin, Jingqiang and Li, Fengjun and Wang, Qiongxiao and Wang, Wei and Li, Qi and Cheng, Guangshen and Jing, Jiwu and Wang, Congli</t>
  </si>
  <si>
    <t>IEEE/ACM Trans. Netw.</t>
  </si>
  <si>
    <t>IEEE Press</t>
  </si>
  <si>
    <t>https://doi.org/10.1109/TNET.2021.3123507</t>
  </si>
  <si>
    <t>To detect fraudulent TLS server certificates and improve the accountability of certification authorities (CAs), certificate transparency (CT) is proposed to record certificates in publicly-visible logs, from which the monitors fetch all certificates and watch for suspicious ones. However, if the monitors, either domain owners themselves or third-party services, fail to return a complete set of certificates issued for a domain of interest, potentially fraudulent certificates may not be detected and then the CT framework becomes less reliable. This paper presents the first systematic study on CT monitors. We analyze the data in 88 public logs and the services of 5 active third-party monitors regarding 3,000,431 certificates of 6,000 selected Alexa Top-1M websites. We find that although CT allows ordinary domain owners to act as monitors, it is impractical for them to perform reliable processing by themselves, due to the rapidly increasing volume of certificates in public logs (e.g., on average about 5 million records or 28.29 GB daily for the minimal set of logs that need to be monitored in 2018, or more than 7 million records per day in 2020, according to the Chrome CT policy). Moreover, our study discloses that (&amp;lt;inline-formula&amp;gt; &amp;lt;tex-math notation=</t>
  </si>
  <si>
    <t>749–765</t>
  </si>
  <si>
    <t>1063-6692</t>
  </si>
  <si>
    <t>30</t>
  </si>
  <si>
    <t>17</t>
  </si>
  <si>
    <t>April 2022</t>
  </si>
  <si>
    <t>LaTeX</t>
  </si>
  <si>
    <t>10.1145/3724363.3729057</t>
  </si>
  <si>
    <t>Evaluating Computational Thinking Practices in Early Childhood Education: Insights from an Intervention Bridging Research and Practice</t>
  </si>
  <si>
    <t>Bahr, Tobias</t>
  </si>
  <si>
    <t>https://doi.org/10.1145/3724363.3729057</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</si>
  <si>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</si>
  <si>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653–659</t>
  </si>
  <si>
    <t>computational thinking, early childhood education, kindergarten</t>
  </si>
  <si>
    <t>10.1145/3626253.3635523</t>
  </si>
  <si>
    <t>Validation of a Bebras-Based Test to Assess Computational Thinking Abilities in First-Year College Students</t>
  </si>
  <si>
    <t>Meza, Federico and V\'{a</t>
  </si>
  <si>
    <t>Proceedings of the 55th ACM Technical Symposium on Computer Science Education V. 2</t>
  </si>
  <si>
    <t>https://doi.org/10.1145/3626253.3635523</t>
  </si>
  <si>
    <t>The lack of clarity about the definition of Computational Thinking (CT) undermines its assessment and the formulation of effective learning strategies for its development. We propose an assessment tool in Spanish, designed by carefully selecting Bebras tasks, to measure four specific CT skills in first-year university students with no prior programming experience. The test was validated with a sample of 980 students from a Latin American university. We found a high, positive correlation between test results and Math test results from the National University Selection System, and a medium, positive correlation between test results and grades from the midterm exam in a Programming course. An acceptable level of internal consistency was found (Cronbach's alpha=0.70). We examined the validity of the test using Classical Test Theory. One question showed poor discrimination potential. Its elimination from the test increased the internal consistency, so we propose to replace it.</t>
  </si>
  <si>
    <t>1750–1751</t>
  </si>
  <si>
    <t>9798400704246</t>
  </si>
  <si>
    <t>assessment, bebras, computational thinking, validation</t>
  </si>
  <si>
    <t>10.1145/3104982</t>
  </si>
  <si>
    <t>Developing Computational Thinking through a Virtual Robotics Programming Curriculum</t>
  </si>
  <si>
    <t>Witherspoon, Eben B. and Higashi, Ross M. and Schunn, Christian D. and Baehr, Emily C. and Shoop, Robin</t>
  </si>
  <si>
    <t>2017</t>
  </si>
  <si>
    <t>https://doi.org/10.1145/3104982</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</si>
  <si>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</si>
  <si>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18</t>
  </si>
  <si>
    <t>4</t>
  </si>
  <si>
    <t>20</t>
  </si>
  <si>
    <t>robotics, programming, curriculum design, K-12, Computational thinking</t>
  </si>
  <si>
    <t>March 2018</t>
  </si>
  <si>
    <t>10.1145/3593663.3593677</t>
  </si>
  <si>
    <t>Towards a feature-based didactic framework for generating individualized programming tasks for an e-learning environment</t>
  </si>
  <si>
    <t>Willert, Nico and Eriksson, Janik</t>
  </si>
  <si>
    <t>Proceedings of the 5th European Conference on Software Engineering Education</t>
  </si>
  <si>
    <t>https://doi.org/10.1145/3593663.3593677</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</si>
  <si>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</si>
  <si>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246–255</t>
  </si>
  <si>
    <t>9781450399562</t>
  </si>
  <si>
    <t>ECSEE '23</t>
  </si>
  <si>
    <t>instructional design, computational thinking, assessment, adaptivity</t>
  </si>
  <si>
    <t>Seeon/Bavaria, Germany</t>
  </si>
  <si>
    <t>10.1145/3702163.3702417</t>
  </si>
  <si>
    <t>Developing a Digital Game to Assess Lower Primary Students' Computational Thinking Practices based on Evidence-Centered Game Design</t>
  </si>
  <si>
    <t>Luo, Qi and Zhang, Shuhan</t>
  </si>
  <si>
    <t>Proceedings of the 2024 16th International Conference on Education Technology and Computers</t>
  </si>
  <si>
    <t>https://doi.org/10.1145/3702163.3702417</t>
  </si>
  <si>
    <t xml:space="preserve">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 </t>
  </si>
  <si>
    <t>219–225</t>
  </si>
  <si>
    <t>9798400717819</t>
  </si>
  <si>
    <t>ICETC '24</t>
  </si>
  <si>
    <t>Computational thinking practices, Evidence-Centered Game Design, Game-based assessment, Primary education</t>
  </si>
  <si>
    <t>10.1145/3544548.3580981</t>
  </si>
  <si>
    <t>Visual StoryCoder: A Multimodal Programming Environment for Children’s Creation of Stories</t>
  </si>
  <si>
    <t>Dietz, Griffin and Tamer, Nadin and Ly, Carina and Le, Jimmy K and Landay, James A.</t>
  </si>
  <si>
    <t>Proceedings of the 2023 CHI Conference on Human Factors in Computing Systems</t>
  </si>
  <si>
    <t>https://doi.org/10.1145/3544548.3580981</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</si>
  <si>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</si>
  <si>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9781450394215</t>
  </si>
  <si>
    <t>CHI '23</t>
  </si>
  <si>
    <t>96</t>
  </si>
  <si>
    <t>16</t>
  </si>
  <si>
    <t>children, computational thinking, multimodal interface, storytelling</t>
  </si>
  <si>
    <t>Hamburg, Germany</t>
  </si>
  <si>
    <t>10.1145/3336126</t>
  </si>
  <si>
    <t>Programming Embodied Interactions with a Remotely Controlled Educational Robot</t>
  </si>
  <si>
    <t>Merkouris, Alexandros and Chorianopoulos, Konstantinos</t>
  </si>
  <si>
    <t>https://doi.org/10.1145/3336126</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</si>
  <si>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</si>
  <si>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40</t>
  </si>
  <si>
    <t>human–robot interaction, embodiment, educational robotics, computational thinking, children, assessment, Embodied learning</t>
  </si>
  <si>
    <t>December 2019</t>
  </si>
  <si>
    <t>10.1145/3713043.3731507</t>
  </si>
  <si>
    <t>Exploring the Role of Cross-stitch Craft in Development of Children’s Computational Thinking: An Unplugged Approach</t>
  </si>
  <si>
    <t>undefinedlbay, Elif and Boga, Miray and Baykal, G\</t>
  </si>
  <si>
    <t>Proceedings of the 24th Interaction Design and Children</t>
  </si>
  <si>
    <t>https://doi.org/10.1145/3713043.3731507</t>
  </si>
  <si>
    <t>Cross-stitching, a traditional craft practiced across cultures, holds potential as an educational tool for developing computational thinking (CT) skills in children. While CT is increasingly recognized as essential in modern education, the role of unplugged activities like cross-stitching remains underexplored. This study examines cross-stitching through Kolb’s experiential learning theory and key CT categories, including abstraction, decomposition, algorithmic thinking, evaluation and generalization. Using a qualitative approach, data were collected through interviews with cross-stitch instructors, a preschool teacher, and parents of children engaged in cross-stitching. A priori content analysis identified key aspects: (1) numerical thinking and visual representation ; (2) task breakdown and progressive learning ; (3) sequencing and debugging ; (4) problem solving and learning by doing ; (5) persistence and pattern recognition. The study offers an exemplar for applying an analytical lens to understand the interplay between unplugged activities and computational thinking.</t>
  </si>
  <si>
    <t>923–926</t>
  </si>
  <si>
    <t>9798400714733</t>
  </si>
  <si>
    <t>IDC '25</t>
  </si>
  <si>
    <t>cross-stitch; cultural heritage; computational thinking; Kolb’s Experiential Learning Theory; unplugged learning</t>
  </si>
  <si>
    <t>10.1145/3489410.3489422</t>
  </si>
  <si>
    <t>Programming Human-Robot Interactions for Teaching Robotics within a Collaborative Learning Open Space: Robots Playing Capture the Flag Game: Programming Human-Robot Interactions within a Collaborative Learning Open Space</t>
  </si>
  <si>
    <t>Merkouris, Alexandros and Garneli, Varvara and Chorianopoulos, Konstantinos</t>
  </si>
  <si>
    <t>CHI Greece 2021: 1st International Conference of the ACM Greek SIGCHI Chapter</t>
  </si>
  <si>
    <t>https://doi.org/10.1145/3489410.3489422</t>
  </si>
  <si>
    <t>Game-based competitive or cooperative robotics activities constitute an effective approach to exploit the child-robot interaction perspective. However, in most game-based robotics activities robots act autonomously to achieve the goal. In this work, we aim to promote the child-robot interaction aspect through a multiplayer game where one team of robots and humans collaborates to compete with another team of humans and cobots. We describe the design of an open space that will allow children to gain access, locally and remotely, and program robotic agents to play the traditional “Capture the Flag” game in a physical stadium-arena. Through this space, we intend to teach robotics, while programming human-robot interfaces, within a computer-supported game-based learning environment. We give insights on the initial design of such an open space and the educational benefits of its use in the comprehension of abstract computational and STEM concepts.</t>
  </si>
  <si>
    <t>9781450385787</t>
  </si>
  <si>
    <t>CHI Greece 2021</t>
  </si>
  <si>
    <t>Online (Athens, Greece), Greece</t>
  </si>
  <si>
    <t>10.1145/2462476.2466518</t>
  </si>
  <si>
    <t>Computational thinking in educational activities: an evaluation of the educational game light-bot</t>
  </si>
  <si>
    <t>Gouws, Lindsey Ann and Bradshaw, Karen and Wentworth, Peter</t>
  </si>
  <si>
    <t>2013</t>
  </si>
  <si>
    <t>Proceedings of the 18th ACM Conference on Innovation and Technology in Computer Science Education</t>
  </si>
  <si>
    <t>https://doi.org/10.1145/2462476.2466518</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</si>
  <si>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</si>
  <si>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10–15</t>
  </si>
  <si>
    <t>9781450320788</t>
  </si>
  <si>
    <t>ITiCSE '13</t>
  </si>
  <si>
    <t>evaluation framework, computer science education, computational thinking</t>
  </si>
  <si>
    <t>Canterbury, England, UK</t>
  </si>
  <si>
    <t>10.1145/3706598.3713368</t>
  </si>
  <si>
    <t>CT4ALL: Towards Putting Teachers in the Loop to Advance Automated Computational Thinking Metric Assessments in Game-Based Learning</t>
  </si>
  <si>
    <t>Troiano, Giovanni M and Cassidy, Michael and Morales, Daniel Escobar and Pons, Guillermo and Abdollahi, Amir and Robles, Gregorio and Puttick, Gillian and Harteveld, Casper</t>
  </si>
  <si>
    <t>Proceedings of the 2025 CHI Conference on Human Factors in Computing Systems</t>
  </si>
  <si>
    <t>https://doi.org/10.1145/3706598.3713368</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</si>
  <si>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</si>
  <si>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9798400713941</t>
  </si>
  <si>
    <t>CHI '25</t>
  </si>
  <si>
    <t>124</t>
  </si>
  <si>
    <t>23</t>
  </si>
  <si>
    <t>Computational thinking, automated metrics, computer science education, STEM, assessment</t>
  </si>
  <si>
    <t>10.1145/3328778.3366849</t>
  </si>
  <si>
    <t>A Principled Approach to Designing a Computational Thinking Practices Assessment for Early Grades</t>
  </si>
  <si>
    <t>Basu, Satabdi and Rutstein, Daisy and Xu, Yuning and Shear, Linda</t>
  </si>
  <si>
    <t>https://doi.org/10.1145/3328778.3366849</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</si>
  <si>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</si>
  <si>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912–918</t>
  </si>
  <si>
    <t>evidence-centered design, computational thinking, assessment</t>
  </si>
  <si>
    <t>10.1145/3362789.3362957</t>
  </si>
  <si>
    <t>Computational thinking and robotics in education</t>
  </si>
  <si>
    <t>Garc\'{\i</t>
  </si>
  <si>
    <t>https://doi.org/10.1145/3362789.3362957</t>
  </si>
  <si>
    <t>After the computational thinking sessions in the previous 2016-2018 editions of TEEM Conference, the fourth edition of this track has been organized in the current 2019 edition. Computational thinking is still a very significant topic, especially, but not only, in pre-university education. In this edition, the robotic has a special role in the track, with a strength relationship with the STEM and STEAM education of children at the pre-university levels, seeding the future of our society.</t>
  </si>
  <si>
    <t>2–5</t>
  </si>
  <si>
    <t>robots, programming, computer science in K-12, computational thinking skills and curriculum, coding in schools, STEM, STEAM, Computational thinking</t>
  </si>
  <si>
    <t>10.1145/3328778.3366840</t>
  </si>
  <si>
    <t>A Large-scale Evaluation of a Rubric for the Automatic Assessment of Algorithms and Programming Concepts</t>
  </si>
  <si>
    <t>Alves, Nathalia da Cruz and von Wangenheim, Christiane Gresse and Hauck, Jean Carlo Rossa and Borgatto, Adriano Ferreti</t>
  </si>
  <si>
    <t>https://doi.org/10.1145/3328778.3366840</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</si>
  <si>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</si>
  <si>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556–562</t>
  </si>
  <si>
    <t>rubric, performance-based assessment, automated grading, algorithms and programming</t>
  </si>
  <si>
    <t>10.1145/3547522.3547680</t>
  </si>
  <si>
    <t>KnitxCode: Exploring a Craftsmanship-driven Approach to Computational Thinking</t>
  </si>
  <si>
    <t>S\o{</t>
  </si>
  <si>
    <t>Adjunct Proceedings of the 2022 Nordic Human-Computer Interaction Conference</t>
  </si>
  <si>
    <t>https://doi.org/10.1145/3547522.3547680</t>
  </si>
  <si>
    <t>In recent years, computational thinking (CT) has focused on how children and citizens develop basic computing skills which empower them to participate in a digitised society and broaden participation and engagement with CT. We present the exploration of a craftsmanship-driven approach to engage people in CT. To explore this approach a team of knitters, a computer scientist and a computing education expert iteratively designed the KnitxCode workshop. KnitxCode utilises knitting in combination with CT concepts as the foundation for the activities. The workshop was evaluated by 12 participants with no programming experience and with knitting experience ranging from 2-25 years (M = 6). From the evaluation we found that the craftsmanship-driven approach seemed to provide the participants with confidence to learning CT, as shared concepts and practices between knitting and computing supported transitioning from knitting craftsmanship to computing and in this way served to demystify computing.</t>
  </si>
  <si>
    <t>9781450394482</t>
  </si>
  <si>
    <t>NordiCHI '22 Adjunct</t>
  </si>
  <si>
    <t>48</t>
  </si>
  <si>
    <t>computational thinking, craftsmanship, knitting, novice programming</t>
  </si>
  <si>
    <t>Aarhus, Denmark</t>
  </si>
  <si>
    <t>10.1145/3578269</t>
  </si>
  <si>
    <t>The Landscape of Computational Thinking Problems for Practice and Assessment</t>
  </si>
  <si>
    <t>Pel\'{a</t>
  </si>
  <si>
    <t>https://doi.org/10.1145/3578269</t>
  </si>
  <si>
    <t>To provide practice and assessment of computational thinking, we need specific problems students can solve. There are many such problems, but they are hard to find. Learning environments and assessments often use only specific types of problems and thus do not cover computational thinking in its whole scope. We provide an extensive catalog of well-structured computational thinking problem sets together with a systematic encoding of their features. Based on this encoding, we propose a four-level taxonomy that provides an organization of a wide variety of problems. The catalog, taxonomy, and problem features are useful for content authors, designers of learning environments, and researchers studying computational thinking.</t>
  </si>
  <si>
    <t>29</t>
  </si>
  <si>
    <t>taxonomy, well-structured problems, Skills</t>
  </si>
  <si>
    <t>June 2023</t>
  </si>
  <si>
    <t>10.5555/3717781.3717798</t>
  </si>
  <si>
    <t>BlueAI: Designing Artificial Intelligence for Environment Science and Climate Change Learning Experiences for K12 Students</t>
  </si>
  <si>
    <t>Dogan, Gulustan and Sahin, Elif and Wilkinson, Catherine Fay and Moody, Amelia K. and Song, Yang</t>
  </si>
  <si>
    <t>The subject of teaching artificial intelligence (AI) in K-12 settings is rapidly expanding and will significantly affect computer education. While AI is currently a required part of computing curricula at universities, there are unique challenges in incorporating AI into K-12 education. The goal of BlueAI is to prepare K-12 educators to use game-based lessons to teach computational thinking, AI, and computer science skills that will interest children while incorporating important environmental and marine science subjects. We conducted assessments where we taught lessons at two different schools, and presented our findings.</t>
  </si>
  <si>
    <t>127–137</t>
  </si>
  <si>
    <t>November 2024</t>
  </si>
  <si>
    <t>10.1145/2960310.2960347</t>
  </si>
  <si>
    <t>Mixed Methods for the Assessment and Incorporation of Computational Thinking in K-12 and Higher Education</t>
  </si>
  <si>
    <t>Weese, Joshua Levi</t>
  </si>
  <si>
    <t>Proceedings of the 2016 ACM Conference on International Computing Education Research</t>
  </si>
  <si>
    <t>https://doi.org/10.1145/2960310.2960347</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</si>
  <si>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</si>
  <si>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279–280</t>
  </si>
  <si>
    <t>9781450344494</t>
  </si>
  <si>
    <t>ICER '16</t>
  </si>
  <si>
    <t>self-efficacy, outreach, computational thinking, assessment</t>
  </si>
  <si>
    <t>10.1145/3568739.3568752</t>
  </si>
  <si>
    <t>Algorithmic thinking in early childhood</t>
  </si>
  <si>
    <t>Kanaki, Kalliopi and Kalogiannakis, Michail</t>
  </si>
  <si>
    <t>Proceedings of the 6th International Conference on Digital Technology in Education</t>
  </si>
  <si>
    <t>https://doi.org/10.1145/3568739.3568752</t>
  </si>
  <si>
    <t>The rising interest of educators, researchers, and policymakers around the world as far as the development of computational thinking skills in compulsory education is concerned is echoed in the plethora of research studies discussed in the pertinent literature. However, the successful injection of computation thinking in formal educational settings demands the construction of developmentally appropriate assessment tools. In this paper, we discuss a novel framework for assessing computational thinking skills in early childhood settings. The proposed framework was employed in a relevant quantitative research study conducted in the city of Heraklion, Crete, from February to June 2019, with a sample of 435 first and second graders and within the context of the Environmental Study course. This paper also provides evidence regarding the examination of age, gender, and learning achievements in the Environmental Study course as predictive factors of one of the core computational thinking competencies, namely algorithmic thinking. The research findings revealed that age and learning achievements in the Environmental Study course constitute predictive factors for algorithmic thinking skills in the first and second grade level of primary school. On the contrary, algorithmic thinking skills are not related to first and second graders’ gender. The results of this study provide a solid background for designing and implementing developmentally appropriate tools for cultivating and assessing computational thinking skills in the early years of schooling.</t>
  </si>
  <si>
    <t>66–71</t>
  </si>
  <si>
    <t>9781450398091</t>
  </si>
  <si>
    <t>ICDTE '22</t>
  </si>
  <si>
    <t>Age, Algorithmic thinking, Early childhood education, Gender</t>
  </si>
  <si>
    <t>Hangzhou, China</t>
  </si>
  <si>
    <t>10.1145/3689535</t>
  </si>
  <si>
    <t>UKICER '24: Proceedings of the 2024 Conference on United Kingdom &amp;amp; Ireland Computing Education Research</t>
  </si>
  <si>
    <t>10.1145/3202185.3202738</t>
  </si>
  <si>
    <t>A survey of computational kits for young children</t>
  </si>
  <si>
    <t>Yu, Junnan and Roque, Ricarose</t>
  </si>
  <si>
    <t>Proceedings of the 17th ACM Conference on Interaction Design and Children</t>
  </si>
  <si>
    <t>https://doi.org/10.1145/3202185.3202738</t>
  </si>
  <si>
    <t>This paper presents a survey of computational kits that enable young children (ages 7 years old and under) to explore computing ideas and practices. We examined physical, virtual, and hybrid kits across three different perspectives: how they are designed, how they support children to explore computational concepts and practices, and how they enable children to engage in a range of projects and activities. Based on our analysis, we present design suggestions and opportunities to expand the possibilities in how children can engage in computing, what kinds of projects children can make, and what kinds of computational ideas children can explore.</t>
  </si>
  <si>
    <t>289–299</t>
  </si>
  <si>
    <t>9781450351522</t>
  </si>
  <si>
    <t>IDC '18</t>
  </si>
  <si>
    <t>early childhood, computational thinking, coding</t>
  </si>
  <si>
    <t>10.1145/3291533.3291537</t>
  </si>
  <si>
    <t>Programming touch and full-body interaction with a remotely controlled robot in a secondary education STEM course</t>
  </si>
  <si>
    <t>Merkouris, Alexandres and Chorianopoulos, Konstantinos</t>
  </si>
  <si>
    <t>Proceedings of the 22nd Pan-Hellenic Conference on Informatics</t>
  </si>
  <si>
    <t>https://doi.org/10.1145/3291533.3291537</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</si>
  <si>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</si>
  <si>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225–229</t>
  </si>
  <si>
    <t>9781450366106</t>
  </si>
  <si>
    <t>PCI '18</t>
  </si>
  <si>
    <t>human-robot interaction, embodied learning, educational robotics, computational thinking, children, assessment</t>
  </si>
  <si>
    <t>Athens, Greece</t>
  </si>
  <si>
    <t>10.1145/2897073.2897096</t>
  </si>
  <si>
    <t>Blending mobile programming and liberal education in a social-economic high school</t>
  </si>
  <si>
    <t>Fronza, Ilenia and El Ioini, Nabil and Corral, Luis</t>
  </si>
  <si>
    <t>Proceedings of the International Conference on Mobile Software Engineering and Systems</t>
  </si>
  <si>
    <t>https://doi.org/10.1145/2897073.2897096</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</si>
  <si>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</si>
  <si>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123–126</t>
  </si>
  <si>
    <t>9781450341783</t>
  </si>
  <si>
    <t>MOBILESoft '16</t>
  </si>
  <si>
    <t>software engineering education, mobile programming, computational thinking</t>
  </si>
  <si>
    <t>Austin, Texas</t>
  </si>
  <si>
    <t>10.1145/3706468.3706474</t>
  </si>
  <si>
    <t>Scaling Up Collaborative Dialogue Analysis: An AI-driven Approach to Understanding Dialogue Patterns in Computational Thinking Education</t>
  </si>
  <si>
    <t>Yin, Stella Xin and Liu, Zhengyuan and Goh, Dion Hoe-Lian and Quek, Choon Lang and Chen, Nancy F.</t>
  </si>
  <si>
    <t>Proceedings of the 15th International Learning Analytics and Knowledge Conference</t>
  </si>
  <si>
    <t>https://doi.org/10.1145/3706468.3706474</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</si>
  <si>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</si>
  <si>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47–57</t>
  </si>
  <si>
    <t>9798400707018</t>
  </si>
  <si>
    <t>LAK '25</t>
  </si>
  <si>
    <t>Collaborative learning, Computational thinking, Dialogue analysis, Large language models, Pair programming, Speech and language processing</t>
  </si>
  <si>
    <t>10.1145/3383923.3383935</t>
  </si>
  <si>
    <t>Effects of a Computational Thinking Experimental Course on Students' Perceptions of Their Problem-Solving Skills</t>
  </si>
  <si>
    <t>Vourletsis, Ioannis and Politis, Panagiotis</t>
  </si>
  <si>
    <t>Proceedings of the 2020 9th International Conference on Educational and Information Technology</t>
  </si>
  <si>
    <t>https://doi.org/10.1145/3383923.3383935</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</si>
  <si>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</si>
  <si>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14–20</t>
  </si>
  <si>
    <t>9781450375085</t>
  </si>
  <si>
    <t>ICEIT 2020</t>
  </si>
  <si>
    <t>students' perceptions, problem-solving skills, block-based visual programming, Computational Thinking (CT)</t>
  </si>
  <si>
    <t>Oxford, United Kingdom</t>
  </si>
  <si>
    <t>10.1145/2493394.2493403</t>
  </si>
  <si>
    <t>Modeling the learning progressions of computational thinking of primary grade students</t>
  </si>
  <si>
    <t>Seiter, Linda and Foreman, Brendan</t>
  </si>
  <si>
    <t>Proceedings of the Ninth Annual International ACM Conference on International Computing Education Research</t>
  </si>
  <si>
    <t>https://doi.org/10.1145/2493394.2493403</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</si>
  <si>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</si>
  <si>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59–66</t>
  </si>
  <si>
    <t>9781450322430</t>
  </si>
  <si>
    <t>ICER '13</t>
  </si>
  <si>
    <t>scratch, programming, computational thinking, assessment</t>
  </si>
  <si>
    <t>San Diego, San California, USA</t>
  </si>
  <si>
    <t>10.1145/3328778.3366813</t>
  </si>
  <si>
    <t>Development and Validation of the Computational Thinking Concepts and Skills Test</t>
  </si>
  <si>
    <t>Peteranetz, Markeya S. and Morrow, Patrick M. and Soh, Leen-Kiat</t>
  </si>
  <si>
    <t>https://doi.org/10.1145/3328778.3366813</t>
  </si>
  <si>
    <t>Calls for standardized and validated measures of computational thinking have been made repeatedly in recent years. Still, few such tests have been created and even fewer have undergone rigorous psychometric evaluation and been made available to researchers. The purpose of this study is to report our work in developing and validating a test of computational thinking concepts and skills and to compare different scoring methods for the test. This computational thinking exam is intended to be used in computing education research as a common measure of computational thinking so that the research community will be able to make more meaningful comparisons across samples and studies. The Computational Thinking Concepts and Skills Test (CTCAST) was administered to students in several courses, evaluated and revised, and then administered to another group of students. Part of the revision included changing half of the items to a multiple-select format. The test scores using the three scoring methods were compared to each other and to scores on a different test of core computer science knowledge. Results indicate the CTCAST and the test of core computer science knowledge measure similar, but not identical, aspects of students' knowledge and skills, and that item-level statistics vary according to the scoring method that is used. Recommendations for using and scoring the test are presented.</t>
  </si>
  <si>
    <t>926–932</t>
  </si>
  <si>
    <t>test development, multiple-select items, computational thinking, assessment</t>
  </si>
  <si>
    <t>10.1145/3756580.3756611</t>
  </si>
  <si>
    <t>Developing Students' Computational Thinking through Project-Based Learning Empowered by Generative AI: A Practical Study</t>
  </si>
  <si>
    <t>Gou, Pingzhang and Ren, Xuanyu</t>
  </si>
  <si>
    <t>Proceedings of the 2025 6th International Conference on Education, Knowledge and Information Management</t>
  </si>
  <si>
    <t>https://doi.org/10.1145/3756580.3756611</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</si>
  <si>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</si>
  <si>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190–195</t>
  </si>
  <si>
    <t>9798400715624</t>
  </si>
  <si>
    <t>ICEKIM '25</t>
  </si>
  <si>
    <t>computational thinking, generative artificial intelligence, human-computer collaboration, project-based teaching</t>
  </si>
  <si>
    <t>10.1145/3587103.3594151</t>
  </si>
  <si>
    <t>A Computational Thinking Test for Senior High School Students</t>
  </si>
  <si>
    <t>Hu, Chiu-Fan and Wu, Cheng-Chih</t>
  </si>
  <si>
    <t>https://doi.org/10.1145/3587103.3594151</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</si>
  <si>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</si>
  <si>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587–588</t>
  </si>
  <si>
    <t>assessment, computational thinking, measurement</t>
  </si>
  <si>
    <t>10.1145/2676723.2677244</t>
  </si>
  <si>
    <t>Using SOLO to Classify the Programming Responses of Primary Grade Students</t>
  </si>
  <si>
    <t>Seiter, Linda</t>
  </si>
  <si>
    <t>2015</t>
  </si>
  <si>
    <t>Proceedings of the 46th ACM Technical Symposium on Computer Science Education</t>
  </si>
  <si>
    <t>https://doi.org/10.1145/2676723.2677244</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</si>
  <si>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</si>
  <si>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540–545</t>
  </si>
  <si>
    <t>9781450329668</t>
  </si>
  <si>
    <t>SIGCSE '15</t>
  </si>
  <si>
    <t>solo taxonomy, scratch, primary grades, assessment</t>
  </si>
  <si>
    <t>Kansas City, Missouri, USA</t>
  </si>
  <si>
    <t>10.1145/3633205</t>
  </si>
  <si>
    <t>Factors That Predict K-12 Teachers' Ability to Apply Computational Thinking Skills</t>
  </si>
  <si>
    <t>Tagare, Deepti</t>
  </si>
  <si>
    <t>https://doi.org/10.1145/3633205</t>
  </si>
  <si>
    <t>Background and Objective. Teacher assessment research suggests that teachers have good conceptual understanding of CT. However, to model CT-based problem-solving in their classrooms, teachers need to develop the ability to recognize when and how to apply CT skills. Does existing professional development (PD) equip teachers to know when and how to apply CT skills? What factors should PD providers consider while developing trainings for CT application skills?Method. This retrospective observational study used a binomial regression model to determine what factors predict teachers’ probability of performing well on a CT application skills test.Participants. Participants of this study were 129 in-service K-12 teachers from a community of practice in India.Findings. Results show that teachers who have received at least one CT training, who have a higher teaching experience, and are currently teaching CT will have a higher probability of applying CT skills correctly to problems irrespective of the subject they teach and their educational backgrounds. However, receiving a higher number of CT PD trainings was a negative predictor of teachers’ performance.Implications. Implications for school administrators, professional development providers, and researchers are discussed. Teachers need ample opportunity to teach CT in their teaching schedules. Continuous professional development does not necessarily result in improved CT application skills unless careful consideration is given to the pedagogies used and to the resolution of misconceptions that teachers may have developed in prior training. Mixing plugged and unplugged pedagogical approaches may be beneficial to encourage transfer of CT application skills across different types of problems. Last, there is a need to develop valid and reliable instruments that measure CT application skills of teachers.</t>
  </si>
  <si>
    <t>26</t>
  </si>
  <si>
    <t>21st century abilities, pedagogical content knowledge, teacher professional development, Computational thinking skills</t>
  </si>
  <si>
    <t>March 2024</t>
  </si>
  <si>
    <t>10.1145/3585088.3593886</t>
  </si>
  <si>
    <t>Cartoonimator: A Low-cost, Paper-based Animation Kit for Computational Thinking</t>
  </si>
  <si>
    <t>Ranjan, Krithik and Gyory, Peter and Rivera, Michael L and Do, Ellen Yi-Luen</t>
  </si>
  <si>
    <t>https://doi.org/10.1145/3585088.3593886</t>
  </si>
  <si>
    <t>Computational thinking has been identified as an important skill for children to learn in the 21st century, and many innovative kits and tools have been developed to integrate it into children’s learning. Yet, most solutions require the use of devices like computers or other expensive hardware, thus being inaccessible to low-income schools and communities. We present Cartoonimator, a low-cost, paper-based computational kit for children to create animations and engage with computational thinking. Cartoonimator requires only paper and a smartphone to use, offering an affordable learning experience. Children can draw the scenes and characters for their animation on the paper, which is printed with computer vision markers. We developed the mobile web app to provide an interface to capture keyframes and compile them into animations. In this paper, we describe the implementation and workflow of Cartoonimator, its deployment with children at a local STEAM event, and a planned evaluation for the kit.</t>
  </si>
  <si>
    <t>517–521</t>
  </si>
  <si>
    <t>animation, computational thinking, paper computing, tangible programming</t>
  </si>
  <si>
    <t>10.1145/3744367.3744424</t>
  </si>
  <si>
    <t>Cultivation of Computational Thinking in the Context of AI General Education</t>
  </si>
  <si>
    <t>Li, Ruizhu</t>
  </si>
  <si>
    <t>Proceedings of the 2025 International Conference on Artificial Intelligence and Educational Systems</t>
  </si>
  <si>
    <t>https://doi.org/10.1145/3744367.3744424</t>
  </si>
  <si>
    <t>In today's society, computational thinking has become one of the important methods for people to understand and solve problems. Against the backdrop of rapid development and widespread application of artificial intelligence technology, computational thinking has become an essential literacy for everyone in the era of intelligence. Therefore, how to cultivate students' computational thinking has become an important issue. This article takes computational thinking and computer science courses as the carrier to carry out ability cultivation and quality education, thereby enhancing innovative thinking ability. It analyzes the basic teaching content of artificial intelligence and the relationship between computational thinking ability, and then provides methods for cultivating computational thinking ability under the background of artificial intelligence teaching, and summarizes them.</t>
  </si>
  <si>
    <t>359–364</t>
  </si>
  <si>
    <t>9798400715068</t>
  </si>
  <si>
    <t>ICAIES '25</t>
  </si>
  <si>
    <t>Artificial intelligence, Computational thinking, Cultivation of thinking, Innovative thinking</t>
  </si>
  <si>
    <t>10.1145/3585088.3589365</t>
  </si>
  <si>
    <t>Exploring Computational Thinking with Physical Play through Design</t>
  </si>
  <si>
    <t>Yu, Junnan and Hayden, Ronni and Roque, Ricarose</t>
  </si>
  <si>
    <t>https://doi.org/10.1145/3585088.3589365</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</si>
  <si>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</si>
  <si>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124–136</t>
  </si>
  <si>
    <t>computational thinking, design, learning, physical play</t>
  </si>
  <si>
    <t>10.1145/3773081</t>
  </si>
  <si>
    <t>Designing with Purpose: The Role of Formative Research in a Science Museum's Computational Thinking Game Development</t>
  </si>
  <si>
    <t>Hartmann, Nicholas and Umer, Laycca and Bennett, Dorothy and Watson, Theodore</t>
  </si>
  <si>
    <t>ACM Games</t>
  </si>
  <si>
    <t>https://doi.org/10.1145/3773081</t>
  </si>
  <si>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</si>
  <si>
    <t>Applied computing∼Education∼Interactive learning environments • Human-centered computing∼Interaction design∼Interaction design process and methods • Social and professional topics∼Professional topics∼Computing education∼Computational thinking, Computational thinking, Game-based learning, Museums</t>
  </si>
  <si>
    <t>10.1145/3581783.3612175</t>
  </si>
  <si>
    <t>Shifted GCN-GAT and Cumulative-Transformer based Social Relation Recognition for Long Videos</t>
  </si>
  <si>
    <t>Wang, Haorui and Hu, Yibo and Zhu, Yangfu and Qi, Jinsheng and Wu, Bin</t>
  </si>
  <si>
    <t>Proceedings of the 31st ACM International Conference on Multimedia</t>
  </si>
  <si>
    <t>https://doi.org/10.1145/3581783.3612175</t>
  </si>
  <si>
    <t>Social Relation Recognition is an important part of Video Understanding, providing insights into the information that videos convey. Most previous works mainly focused on graph generation for characters, instead of edges which are more suitable for relation modelling. Furthermore, previous methods tend to recognize social relations for single frames or short video clips within their receptive fields, neglecting the importance of continuous reasoning throughout the entire video. To tackle these challenges, we propose a novel Shifted GCN-GAT and Cumulative-Transformer framework, named SGCAT-CT. The overall architecture consists of an SGCAT module for shifted graph operations on novel relation graphs and a CT module for temporal processing with memory. SGCAT-CT conducts continuous recognition of social relations and memorizes information from as early as the beginning of a long video. Experiments conducted on several video datasets demonstrate encouraging performance on long videos. Our code will be released at https://github.com/HarryWgCN/SGCAT-CT.</t>
  </si>
  <si>
    <t>67–76</t>
  </si>
  <si>
    <t>9798400701085</t>
  </si>
  <si>
    <t>MM '23</t>
  </si>
  <si>
    <t>cumulative transformer, graph neural networks, hierarchical memory, multimodal analysis, social relation recognition</t>
  </si>
  <si>
    <t>Ottawa ON, Canada</t>
  </si>
  <si>
    <t>10.1145/3408877.3432376</t>
  </si>
  <si>
    <t>Development and Preliminary Validation of the Assessment of Computing for Elementary Students (ACES)</t>
  </si>
  <si>
    <t>Parker, Miranda C. and Kao, Yvonne S. and Saito-Stehberger, Dana and Franklin, Diana and Krause, Susan and Richardson, Debra and Warschauer, Mark</t>
  </si>
  <si>
    <t>Proceedings of the 52nd ACM Technical Symposium on Computer Science Education</t>
  </si>
  <si>
    <t>https://doi.org/10.1145/3408877.3432376</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</si>
  <si>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</si>
  <si>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10–16</t>
  </si>
  <si>
    <t>9781450380621</t>
  </si>
  <si>
    <t>SIGCSE '21</t>
  </si>
  <si>
    <t>elementary education, computational thinking, assessment</t>
  </si>
  <si>
    <t>Virtual Event, USA</t>
  </si>
  <si>
    <t>10.1145/3613905.3644056</t>
  </si>
  <si>
    <t>Exploring Gender, Computational Making and E-Textiles using the BBC Micro:bit</t>
  </si>
  <si>
    <t>Rode, Jennifer Ann and Barkhuus, Louise and Ioannou, Andri</t>
  </si>
  <si>
    <t>Extended Abstracts of the CHI Conference on Human Factors in Computing Systems</t>
  </si>
  <si>
    <t>https://doi.org/10.1145/3613905.3644056</t>
  </si>
  <si>
    <t>We present a qualitative study of a Cypriot summer school where we used the BBC micro:bit to examine gender inclusivity in e-textiles. We employed the Computational Making framework to analyze ethnographic data teaching 24 middle school students, aged 10-15. The study contrasts the challenges faced by students using the micro:bit with those from our team’s previous similar e-textile studies using the LilyPad Arduino. We pinpoint the BBC micro:bit’s limitations from an inclusive design perspective, underscoring the absence of gender-sensitive considerations in its hardware design. The paper presents a critique how upwards of £75 Million were spent deploying the micro:bit without proper user studies of gender equity and e-textiles. We propose design recommendations for future BBC micro:bit versions, advocating for integrating a gender-sensitive participatory design approach to enhance the usability and engagement of computational and creative making with e-textiles for children of all genders.</t>
  </si>
  <si>
    <t>9798400703317</t>
  </si>
  <si>
    <t>CHI EA '24</t>
  </si>
  <si>
    <t>554</t>
  </si>
  <si>
    <t>BBC micro:bit, Children, Computational Making, Computational Thinking, E-textiles</t>
  </si>
  <si>
    <t>Honolulu, HI, USA</t>
  </si>
  <si>
    <t>10.1145/3545945.3569873</t>
  </si>
  <si>
    <t>A Literature Review Examining Broadening Participation in Upper Elementary CS Education</t>
  </si>
  <si>
    <t>Shehzad, Umar and Recker, Mimi and Clarke-Midura, Jody</t>
  </si>
  <si>
    <t>https://doi.org/10.1145/3545945.3569873</t>
  </si>
  <si>
    <t>Despite proliferated efforts to integrate computer science in elementary education, there is a dearth of studies that synthesize the current state of CS education research in formal educational contexts, specifically in upper elementary classrooms. Further, while numerous studies have investigated approaches and strategies that broaden participation in computing, the majority of them focus on secondary and post-secondary settings. The present study uses a systematic literature review process to review research conducted with students in formal classroom settings in grades 4, 5, and 6 and published since 2013. We review the research through two questions: What are barriers to broadening participation in CS in upper elementary (grades 4-6)? What instructional approaches and strategies help broaden participation in CS in upper elementary (grades 4-6)? A systematic search of the literature highlighted approaches used for broadening participation, including using various teaching media, designing scaffolds in instruction, and integrating into other subject areas. We conclude by identifying gaps in the research and identifying areas for further research.</t>
  </si>
  <si>
    <t>570–576</t>
  </si>
  <si>
    <t>broadening participation in cs, computational thinking, cs literature review, formal cs education, upper elementary cs</t>
  </si>
  <si>
    <t>10.1145/3618115</t>
  </si>
  <si>
    <t>Teacher Education to Integrate Computational Thinking into Elementary Science: A Design-Based Research Study</t>
  </si>
  <si>
    <t>Killen, Heather and Coenraad, Merijke and Byrne, Virginia and Cabrera, Lautaro and Mills, Kelly and Ketelhut, Diane Jass and Plane, Jandelyn D.</t>
  </si>
  <si>
    <t>https://doi.org/10.1145/3618115</t>
  </si>
  <si>
    <t>Computational thinking (CT) is playing an increasingly relevant role within disciplinary teaching in elementary school, particularly in science. However, many teachers are unfamiliar with CT, either because their education occurred before the popularization of CT or because CT instruction was not included in their pre-service coursework. For these teachers, CT professional development (PD) becomes a primary mechanism to close their CT knowledge gap. While CT PD has demonstrated success at increasing teacher's CT understanding, researchers have reported varied outcomes in supporting teachers to write CT-integrated lesson plans. To explore how we might support teachers to integrate CT into elementary science, we employed design-based research (DBR) in a dual-track design of in-class CT instruction for pre-service undergraduates within an elementary science methods class paired with a collaborative, multi-month PD opportunity for pre- and in-service teachers. In this article, we reflect on our 5-year period of DBR and present our design insights and implications for CT instruction and curriculum design from each iteration. Our findings on best practices will inform both teacher educators and PD providers within CT education. Our work will also be of interest to researchers considering DBR for technology-based educational projects.</t>
  </si>
  <si>
    <t>41</t>
  </si>
  <si>
    <t>36</t>
  </si>
  <si>
    <t>design-based research, culturally responsive teaching, computational thinking, professional development, Teacher education</t>
  </si>
  <si>
    <t>December 2023</t>
  </si>
  <si>
    <t>10.1145/3313831.3376755</t>
  </si>
  <si>
    <t>Exploring How Game Genre in Student-Designed Games Influences Computational Thinking Development</t>
  </si>
  <si>
    <t>Troiano, Giovanni Maria and Chen, Qinyu and Alba, \'{A</t>
  </si>
  <si>
    <t>Proceedings of the 2020 CHI Conference on Human Factors in Computing Systems</t>
  </si>
  <si>
    <t>https://doi.org/10.1145/3313831.3376755</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</si>
  <si>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</si>
  <si>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1–17</t>
  </si>
  <si>
    <t>9781450367080</t>
  </si>
  <si>
    <t>CHI '20</t>
  </si>
  <si>
    <t>Dr. Scratch, computational thinking, constructionist learning, game design, game-based learning, scratch, video games</t>
  </si>
  <si>
    <t>10.1145/3676845</t>
  </si>
  <si>
    <t>Reevaluating Google’s Reinforcement Learning for IC Macro Placement</t>
  </si>
  <si>
    <t>Markov, Igor L.</t>
  </si>
  <si>
    <t>Commun. ACM</t>
  </si>
  <si>
    <t>https://doi.org/10.1145/3676845</t>
  </si>
  <si>
    <t>Meta-analysis discusses the reproduction and evaluation of results in a 2021 paper about using RL to design silicon chips, as well as the validity of methods, results, and claims.</t>
  </si>
  <si>
    <t>60–71</t>
  </si>
  <si>
    <t>0001-0782</t>
  </si>
  <si>
    <t>67</t>
  </si>
  <si>
    <t>10.5555/3712729.3712963</t>
  </si>
  <si>
    <t>Port Management Digital Twin and Control Tower Integration: An Approach to Support Real-Time Decision Making</t>
  </si>
  <si>
    <t>Fernandes, Alice and Gutierres, Daniel and Fugihara, Marcelo and de Norman, Bruno</t>
  </si>
  <si>
    <t>Proceedings of the Winter Simulation Conference</t>
  </si>
  <si>
    <t>Discrete event simulation plays a pivotal role in facilitating decision-making within logistics, necessitating real-time initiation based on the current state of the system. The architecture outlined in this article integrates a real-time Digital Twin with simulation logic and a Control Tower into a cohesive model, thereby reducing offline efforts and runtime. This paper is to presents a groundbreaking project in a Brazilian port. The holistic approach of it offers a comprehensive overview of port operations and enables predictive insights for up to 72 hours in advance. Beyond enhancing operational efficiency, it promotes proactive decision-making and adaptive resource allocation, marking a paradigm shift in port management. The integration of real-time feedback and dynamic optimization algorithms can further enhance the responsiveness and adaptability of the system to changing operational conditions. Future development lies in enhancing the predictive analytics capabilities of the model by leveraging machine learning algorithms and advanced analytics techniques.</t>
  </si>
  <si>
    <t>2821–2831</t>
  </si>
  <si>
    <t>9798331534202</t>
  </si>
  <si>
    <t>10.1145/3706598.3713851</t>
  </si>
  <si>
    <t>Cultivating Computational Thinking and Social Play among Neurodiverse Preschoolers in Inclusive Classrooms</t>
  </si>
  <si>
    <t>Das, Maitraye and Tran, Megan and Ong, Amanda Chih-han and Kientz, Julie A. and Feldner, Heather</t>
  </si>
  <si>
    <t>https://doi.org/10.1145/3706598.3713851</t>
  </si>
  <si>
    <t>Computational thinking (CT) is regarded as a fundamental twenty-first century skill and has been implemented in many early childhood education curriculum. Yet, the needs of neurodivergent children have remained largely overlooked in the extensive research and technologies built to foster CT among children. To address this, we investigated how to support neurodiverse (i.e., groups involving neurodivergent and neurotypical) preschoolers aged 3-5 in learning CT concepts. Grounded in interviews with six teachers, we deployed an age-appropriate, programmable robot called KIBO in two preschool classrooms involving 12 neurodivergent and 17 neurotypical children for eight weeks. Using interaction analysis, we illustrate how neurodivergent children found enjoyment in assembling KIBO and learned to code with it while engaging in cooperative and competitive play with neurotypical peers and the adults. Through this, we discuss accessible adaptations needed to enhance CT among neurodivergent preschoolers and ways to reimagine technology-mediated social play for them.</t>
  </si>
  <si>
    <t>557</t>
  </si>
  <si>
    <t>Computational thinking; inclusive classroom; neurodiverse; preschool</t>
  </si>
  <si>
    <t>10.1145/3446871.3469746</t>
  </si>
  <si>
    <t>Investigating the Role of Cognitive Abilities in Computational Thinking for Young Learners</t>
  </si>
  <si>
    <t>Salac, Jean and Thomas, Cathy and Butler, Chloe and Franklin, Diana</t>
  </si>
  <si>
    <t>Proceedings of the 17th ACM Conference on International Computing Education Research</t>
  </si>
  <si>
    <t>https://doi.org/10.1145/3446871.3469746</t>
  </si>
  <si>
    <t>With the global movement to incorporate computer science instruction into elementary education, learners are being introduced to computer science and computational thinking (CS/CT) ideas at increasingly younger ages. At these early ages, young learners are developing cognitive abilities foundational to their education. While other discipline-based education fields, such as math, science, and reading, have long studied the role of cognitive abilities, such as short-term working memory and long-term retrieval, in their respective fields, similar research in computer science education is relatively sparse. In this exploratory study, we examined the relationship between cognitive abilities and CS/CT performance of fourth-grade students (ages 9-10) who underwent either an introductory CT curriculum based on Use–&amp;gt;Modify–&amp;gt;Create or the same curriculum with additional scaffolding from the TIPP&amp;amp;SEE metacognitive learning strategy. Our analysis revealed performance on CT assessments to be weakly correlated with working memory and long-term retrieval, with correlations increasing as the CT concepts grew more complex. This suggests that scaffolding beyond TIPP&amp;amp;SEE may be needed with more complex CT concepts. We also found that when using TIPP&amp;amp;SEE, students scoring below average on cognitive ability tests performed as well as students in the control condition with average cognitive ability scores. These results indicate TIPP&amp;amp;SEE’s potential in creating more equitable computing instruction. We hope that results from this initial exploration can help encourage further study into the role of cognitive abilities in CS/CT education for young learners.</t>
  </si>
  <si>
    <t>2–17</t>
  </si>
  <si>
    <t>9781450383264</t>
  </si>
  <si>
    <t>ICER 2021</t>
  </si>
  <si>
    <t>memory, elementary education, computational thinking, cognitive abilities</t>
  </si>
  <si>
    <t>10.1145/3594781.3594794</t>
  </si>
  <si>
    <t>From Embodied Doing to Computational Thinking in Kindergarten: A Punctuated Motor Control Model</t>
  </si>
  <si>
    <t>Sinha, Ravi and Swanson, Hillary and Clarke-Midura, Jody and Shumway, Jessica F. and Lee, Victor R. and Chandrasekharan, Sanjay</t>
  </si>
  <si>
    <t>Proceedings of the 2023 Symposium on Learning, Design and Technology</t>
  </si>
  <si>
    <t>https://doi.org/10.1145/3594781.3594794</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</si>
  <si>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</si>
  <si>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1–10</t>
  </si>
  <si>
    <t>9798400707360</t>
  </si>
  <si>
    <t>LDT '23</t>
  </si>
  <si>
    <t>Computational thinking, Early childhood education, Embodied learning, Tool incorporation</t>
  </si>
  <si>
    <t>Evanston, IL, USA</t>
  </si>
  <si>
    <t>10.1145/3287324.3287348</t>
  </si>
  <si>
    <t>Block-based Comprehension: Exploring and Explaining Student Outcomes from a Read-only Block-based Exam</t>
  </si>
  <si>
    <t>Weintrop, David and Killen, Heather and Munzar, Talal and Franke, Baker</t>
  </si>
  <si>
    <t>https://doi.org/10.1145/3287324.3287348</t>
  </si>
  <si>
    <t>The success of block-based programming environments like Scratch and Alice has resulted in a growing presence of the block-based modality in classrooms. For example, in the United States, a new, nationally-administered computer science exam is evaluating students' understanding of programming concepts using both block-based and text-based presentations of short programs written in a custom pseudocode. The presence of the block-based modality on a written exam in an unimplemented pseudocode is a far cry from the informal, creative, and live coding contexts where block-based programming initially gained popularity. Further, the design of the block-based pseudocode used on the exam includes few of the features cited in the research as contributing to positive learner experiences. In this paper, we seek to understand the implications of the inclusion of an unimplemented block-based pseudocode on a written exam. To do so, we analyze responses from over 5,000 students to a 20 item assessment that included both block-based and text-based questions written in the same pseudocode as the national exam. Our analysis shows students performing better on questions presented in the block-based form compared to text-based questions. Further analysis shows that this difference is consistent across conceptual categories. This paper contributes to our understanding of the affordances of block-based programming and if and how the modality can help learners succeed in early computer science learning experiences.</t>
  </si>
  <si>
    <t>1218–1224</t>
  </si>
  <si>
    <t>introductory programming environments, high school computer science education, block-based programming, assessment</t>
  </si>
  <si>
    <t>10.1145/3368308.3415411</t>
  </si>
  <si>
    <t>Improving Critical Thinking in Software Development via Interdisciplinary Projects at a Most Diverse College</t>
  </si>
  <si>
    <t>G\</t>
  </si>
  <si>
    <t>Proceedings of the 21st Annual Conference on Information Technology Education</t>
  </si>
  <si>
    <t>https://doi.org/10.1145/3368308.3415411</t>
  </si>
  <si>
    <t>The software industry has been seeing a steady growth worldwide. However, the quality of the developed software is tightly related to the supply of skilled and capable software developers who are able to cope with many challenges and maintain a high level of critical thinking during the software development life cycle. Software skills are usually gained in upper level software development courses in undergraduate IT majors. We have been applying an active learning methodology for teaching critical thinking in the classroom. Our college is one of the most diverse colleges in the southeast region, which makes our classroom a good model of national diversity. In assessing critical thinking, the traditional and generic approach is to measure skills that are universal and subject-agnostic. In this study, we report that the universal skill assessment for software development is ineffective in measuring students? growth based on inconclusive testing results and a weak test-retest reliability score. We suspect that students were unmotivated by several factors, which includes students being passive listeners and the subject being unrelated to software. In addition, we report a significant potential for developing domain-specific critical thinking exercises and testing that could serve to train the students and to assess their skills at the same time. We would like to emphasize that our conclusion is independent of software development, and could be generalized to develop exercises for other subjects.</t>
  </si>
  <si>
    <t>206–212</t>
  </si>
  <si>
    <t>9781450370455</t>
  </si>
  <si>
    <t>SIGITE '20</t>
  </si>
  <si>
    <t>teaching, software engineering, software development, project based learning, pbl, critical thinking, cat</t>
  </si>
  <si>
    <t>10.1145/2818314.2818325</t>
  </si>
  <si>
    <t>Exploring Students' Computational Thinking Skills in Modeling and Simulation Projects: a Pilot Study</t>
  </si>
  <si>
    <t>Grgurina, Nata\v{s</t>
  </si>
  <si>
    <t>Proceedings of the Workshop in Primary and Secondary Computing Education</t>
  </si>
  <si>
    <t>https://doi.org/10.1145/2818314.2818325</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</si>
  <si>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</si>
  <si>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65–68</t>
  </si>
  <si>
    <t>9781450337533</t>
  </si>
  <si>
    <t>WiPSCE '15</t>
  </si>
  <si>
    <t>students' learning, simulations, modeling, computer science education, Computational thinking</t>
  </si>
  <si>
    <t>London, United Kingdom</t>
  </si>
  <si>
    <t>10.1145/3481312.3481320</t>
  </si>
  <si>
    <t>Exploring Teachers’ PCK for Computational Thinking in Context</t>
  </si>
  <si>
    <t>Yeni, Sabiha and Grgurina, Natasa and Hermans, Felienne and Tolboom, Jos and Barendsen, Erik</t>
  </si>
  <si>
    <t>Proceedings of the 16th Workshop in Primary and Secondary Computing Education</t>
  </si>
  <si>
    <t>https://doi.org/10.1145/3481312.3481320</t>
  </si>
  <si>
    <t>There is growing attention for integrating Computational Thinking (CT) into various subjects across the K-12 curriculum with a concomitant increase of interest in investigating teachers’ pedagogical content knowledge (PCK) regarding CT. This study is part of a bigger project focusing on defining the learning trajectories for CT integration into the K-12 curriculum. In particular, the present study focused on eliciting the pedagogical content knowledge and attitude of teachers with respect to the integration of CT in various disciplines. To this end, we implemented six different case studies by integrating CT into six different subjects: science, traffic, language, biology, geography, and physics. Two primary and four secondary school teachers were involved in the study. After the lesson series was completed in schools, we conducted interviews with teachers to understand their PCK on CT integration, attitudes toward CT integrated lessons, and the barriers teachers faced during CT integrated lessons. Our results indicate that compared to standard instructional activities, students can go deeper and understand the subject content better in CT integrated lessons, also students can use the power of digital technologies to solve subject-related problems. On the other hand, teachers pointed out that students and teachers need to be more capable of technical knowledge and skills to accomplish tasks.</t>
  </si>
  <si>
    <t>9781450385718</t>
  </si>
  <si>
    <t>WiPSCE '21</t>
  </si>
  <si>
    <t>teacher, pedagogical content knowledge, integration, curriculum, K-12, Computational thinking</t>
  </si>
  <si>
    <t>10.1145/3613904.3642283</t>
  </si>
  <si>
    <t>KOALA Hero Toolkit: A New Approach to Inform Families of Mobile Datafication Risks</t>
  </si>
  <si>
    <t>Wang, Ge and Zhao, Jun and Kollnig, Konrad and Zier, Adrien and Duron, Blanche and Zhang, Zhilin and Van Kleek, Max and Shadbolt, Nigel</t>
  </si>
  <si>
    <t>Proceedings of the 2024 CHI Conference on Human Factors in Computing Systems</t>
  </si>
  <si>
    <t>https://doi.org/10.1145/3613904.3642283</t>
  </si>
  <si>
    <t>Children today are deeply immersed in the online world, where their activities are routinely tracked, analysed, and monetised. This exposes them to various datafication risks, including harmful profiling, micro-targeting and behavioural engineering. Most existing measures focus on immediate online threats, rather than informing children about these implicit risks. In this paper, we present The KOALA Hero Toolkit, a hybrid toolkit designed to help children and parents jointly understand the datafication risks posed by their mobile apps. Through user studies involving 17 families we evaluate how the toolkit influenced families’ thought processes, perceptions and decision-making regarding mobile datafication risks. Our findings show that KOALA Hero supports families’ critical thinking and promotes family engagement. We identify future design recommendations for family support, featuring ideas such as integrating triggering moments and bonding moments in toolkit designs. This work provides timely inputs on global efforts aimed at addressing datafication risks and underscores the importance of strengthening legislative and policy enforcement of ethical data governance.</t>
  </si>
  <si>
    <t>9798400703300</t>
  </si>
  <si>
    <t>CHI '24</t>
  </si>
  <si>
    <t>226</t>
  </si>
  <si>
    <t>Children online privacy, children online safety, family, mobile apps</t>
  </si>
  <si>
    <t>10.1145/2676723.2677269</t>
  </si>
  <si>
    <t>Closing The Cyberlearning Loop: Enabling Teachers To Formatively Assess Student Programming Projects</t>
  </si>
  <si>
    <t>Basawapatna, Ashok Ram and Repenning, Alexander and Koh, Kyu Han</t>
  </si>
  <si>
    <t>https://doi.org/10.1145/2676723.2677269</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</si>
  <si>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</si>
  <si>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12–17</t>
  </si>
  <si>
    <t>summative assessment, k-12 computer science education, formative assessment, end-user game and simulation design, cyberlearning, computational thinking, assessment tools</t>
  </si>
  <si>
    <t>10.1145/3507951.3519289</t>
  </si>
  <si>
    <t>Understanding barriers to school-wide computational thinking integration at the elementary grades: lessons from three schools</t>
  </si>
  <si>
    <t>Israel, Maya and Liu, Ruohan and Yan, Wei and Sherwood, Heather and Martin, Wendy and Fancsali, Cheri and Rivera-Cash, Edgar and Adair, Alexandra</t>
  </si>
  <si>
    <t>https://doi.org/10.1145/3507951.3519289</t>
  </si>
  <si>
    <t>This mixed methods study examined barriers faced by three elementary schools in their approaches to integrating computational thinking (CT) into classroom instruction. Because CT is a relatively new instructional area, limited research guides CT integration, especially in bringing CT to academically, linguistically, and culturally diverse instruction. This study, therefore, examined challenges faced by teachers in bringing CT into their instructional practice. Data included interviews with 11 teachers and surveys of 46 teachers in a large, urban school district. The three schools in the district were part of a CS for All initiative in their school district. Data revealed common challenges: a) Limited CT teaching expertise; b) Limited time for CT integration; c) Lack of CT-specific assessment knowledge and tools; d) Limited pedagogical understanding for meeting students' diverse instructional needs; and e) Low teacher-buy-in for teaching CT. Our data also showed differences across schools in access to classroom implementation infrastructure such as technology and curricular resources, competing administrative priorities, and types of professional development opportunities. This study points to practical implications for supporting integration of CT in elementary contexts. Most notably, it is critical to proactively address these barriers in preservice and in-service teacher preparation as well as in school-wide infrastructure in order to have a sustained CT integration effort.</t>
  </si>
  <si>
    <t>64–71</t>
  </si>
  <si>
    <t>10.1145/3546932.3547007</t>
  </si>
  <si>
    <t>Quality-aware analysis and optimisation of virtual network functions</t>
  </si>
  <si>
    <t>Munoz, Daniel-Jesus and Pinto, M\'{o</t>
  </si>
  <si>
    <t>Proceedings of the 26th ACM International Systems and Software Product Line Conference - Volume A</t>
  </si>
  <si>
    <t>https://doi.org/10.1145/3546932.3547007</t>
  </si>
  <si>
    <t>The softwarisation and virtualisation of network functionality is the last milestone in the networking industry. Software-Defined Networks (SDN) and Network Function Virtualization (NFV) offer the possibility of using software to manage computer and mobile networks and build novel Virtual Network Functions (VNFs) deployed in heterogeneous devices. To reason about the variability of network functions and especially about the quality of a software product defined as a set of VNFs instantiated as part of a service (i.e., Service Function Chaining), a variability model along with a quality model is required.However, this domain imposes certain challenges to quality-aware reasoning of service function chains, such as numerical features or configuration-level Quality Attributes (QAs) (e.g., energy consumption). Incorporating numerical reasoning with quality data into SPL analyses is challenging and tool support is rare. In this work, we present 3 groups of operations: model report, aggregate functions to dynamically convert QAs at the feature-level into the configuration-level, and quality-aware optimisation. Our objective is to test the most complete reasoning tools to exploit the extended variability with quality attributes needed for VNFs.</t>
  </si>
  <si>
    <t>210–221</t>
  </si>
  <si>
    <t>9781450394437</t>
  </si>
  <si>
    <t>SPLC '22</t>
  </si>
  <si>
    <t>virtual network function, variability, reasoning, quality attribute, optimization, numerical feature</t>
  </si>
  <si>
    <t>Graz, Austria</t>
  </si>
  <si>
    <t>10.1145/3265757.3265778</t>
  </si>
  <si>
    <t>Infusing computational thinking into middle grade science classrooms: lessons learned</t>
  </si>
  <si>
    <t>Catet\'{e</t>
  </si>
  <si>
    <t>Proceedings of the 13th Workshop in Primary and Secondary Computing Education</t>
  </si>
  <si>
    <t>https://doi.org/10.1145/3265757.3265778</t>
  </si>
  <si>
    <t>There is a growing need to present all students with an opportunity to learn computer science and computational thinking (CT) skills during their primary and secondary education. Traditionally, these opportunities are available outside of the core curriculum as stand-alone courses often taken by those with preparatory privilege. Researchers have identified the need to integrate CT into core classes to provide equitable access to these critical skills. We have worked in a research-practice partnership with two magnet middle schools focused on digital sciences to develop and implement computational thinking into life sciences classes. In this report, we present initial lessons learned while conducting our design-based implementation research on integrating computational thinking into middle school science classes. These case studies suggest that several factors including teacher engagement, teacher attitudes, student prior experience with CS/CT, and curriculum design can all impact student engagement in integrated science-CT lessons.</t>
  </si>
  <si>
    <t>9781450365888</t>
  </si>
  <si>
    <t>WiPSCE '18</t>
  </si>
  <si>
    <t>professional development, computational thinking, STEM+C</t>
  </si>
  <si>
    <t>Potsdam, Germany</t>
  </si>
  <si>
    <t>10.1145/3345120.3345134</t>
  </si>
  <si>
    <t>Integrating Computational Thinking into the Process of Learning Artificial Intelligence</t>
  </si>
  <si>
    <t>Shih, Wen-Chung</t>
  </si>
  <si>
    <t>Proceedings of the 3rd International Conference on Education and Multimedia Technology</t>
  </si>
  <si>
    <t>https://doi.org/10.1145/3345120.3345134</t>
  </si>
  <si>
    <t>In recent years, computational thinking has once again received attention widely. Computational thinking is generally considered to be the ability to be acquired. However, this study is to use computational thinking as part of the learning method. In order to explore the application of computational thinking in teaching, this study first collected the main review papers, as well as the literature on the assessment of computational thinking, and examined their views. Then, this study proposes a learning method that integrates computational thinking into experiential learning theory and applies it to learning artificial intelligence techniques.</t>
  </si>
  <si>
    <t>364–368</t>
  </si>
  <si>
    <t>9781450372107</t>
  </si>
  <si>
    <t>ICEMT '19</t>
  </si>
  <si>
    <t>Experiential learning, Computational thinking, Artificial intelligence</t>
  </si>
  <si>
    <t>Nagoya, Japan</t>
  </si>
  <si>
    <t>10.1145/3663548.3688527</t>
  </si>
  <si>
    <t xml:space="preserve">Exploring the </t>
  </si>
  <si>
    <t>Boyd, LouAnne and Zolyomi, Annuska and Hassan, Saad and Ibrahim, Seray B and Wu, Guande and Kender, Kay</t>
  </si>
  <si>
    <t>Proceedings of the 26th International ACM SIGACCESS Conference on Computers and Accessibility</t>
  </si>
  <si>
    <t>https://doi.org/10.1145/3663548.3688527</t>
  </si>
  <si>
    <t>Social stigma negatively impacts the well-being of neurodivergent individuals. Specifically for autistic people, the social isolation and pressure to conform to normative ways of being can take a tremendous toll; such as a thwarted sense of belonging to the point of higher rates of suicide. Yet, few technologies are directly targeting the problem of stigma. Socio-technical systems have tremendous potential to shift public perception of traditionally marginalized populations. However, these systems are not consistently designed to reflect the values and needs of neurodivergent individuals. This work explores the use of design sprints to envision CT– a spectrum of technology that could reduce social stigma by increasing the public’s awareness, accommodations, acceptance, advocacy, and appreciation. This work reports on two design sprints across 25 HCI community members with varying lived experiences with neurodiversity and knowledge of design practice. The resulting design concepts were discussed in the groups and then analyzed to reflect on how they might combat stigma. Results reveal designs that support the freedom to be oneself via (1) safe spaces (2) public understanding, and (3) authentic expression of strengths, challenges, and needs.</t>
  </si>
  <si>
    <t>9798400706776</t>
  </si>
  <si>
    <t>ASSETS '24</t>
  </si>
  <si>
    <t>Celebratory Technology, Community Engagement, Design Sprints, Disability Justice, Neurodiversity, Salutogenesis</t>
  </si>
  <si>
    <t>St. John's, NL, Canada</t>
  </si>
  <si>
    <t>10.1145/3502717.3532137</t>
  </si>
  <si>
    <t>Exploring the Use of Finite-State Machines and Game Creation to Teach Computational Thinking in Middle Schools</t>
  </si>
  <si>
    <t>Castro, Francisco Enrique Vicente</t>
  </si>
  <si>
    <t>Proceedings of the 27th ACM Conference on on Innovation and Technology in Computer Science Education Vol. 2</t>
  </si>
  <si>
    <t>https://doi.org/10.1145/3502717.3532137</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</si>
  <si>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</si>
  <si>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618</t>
  </si>
  <si>
    <t>9781450392006</t>
  </si>
  <si>
    <t>computational thinking, finite state machines, k-12 education</t>
  </si>
  <si>
    <t>10.1145/3459990.3460706</t>
  </si>
  <si>
    <t>Children as players, modders, and creators of simulation games: A design for making sense of complex real-world problems: Children as players, modders and creators of simulation games</t>
  </si>
  <si>
    <t>Grizioti, Marianthi and Kynigos, Chronis</t>
  </si>
  <si>
    <t>Proceedings of the 20th Annual ACM Interaction Design and Children Conference</t>
  </si>
  <si>
    <t>https://doi.org/10.1145/3459990.3460706</t>
  </si>
  <si>
    <t xml:space="preserve">Could computational thinking be a strong tool for children to understand complex 21st-century issues? Our knowledge is limited since most designs focus on sequential programming and on the cognitive aspects of computational thinking. This paper discusses a design that integrates ill-structured socio-scientific issues with programming and other computational concepts, in a playful and meaningful context. The design, called ChoiCo (Choices with Consequences), builds on the idea of </t>
  </si>
  <si>
    <t>363–374</t>
  </si>
  <si>
    <t>9781450384520</t>
  </si>
  <si>
    <t>IDC '21</t>
  </si>
  <si>
    <t>systems thinking, simulation games, real-world problems, game-based learning, computational thinking, block-based programming</t>
  </si>
  <si>
    <t>10.1145/3507951.3519290</t>
  </si>
  <si>
    <t>Strengthening early STEM learning by integrating CT into science and math activities at home</t>
  </si>
  <si>
    <t>Grover, Shuchi and Dominguez, Ximena and Leones, Tiffany and Kamdar, Danae and Vahey, Phil and Gracely, Sara</t>
  </si>
  <si>
    <t>https://doi.org/10.1145/3507951.3519290</t>
  </si>
  <si>
    <t>While understanding in the field of how CT can be used in early childhood is limited, current CT definitions include skills and practices that align with early mathematics and science learning goals outlined in national frameworks (e.g., Head Start Early Learning Outcomes Framework) and state standards. In order to understand which elements of CT align with the abilities and interests of young children and how they can be integrated with early science and math experiences in a mutually supportive manner, we partnered with preschool teachers and families to co-design and pilot test hands-on (unplugged) and digital activities for classrooms and homes.Our collaborative research identified the following CT skills as productive starting points for our co-design work: (1) problem decomposition; (2) algorithmic thinking; (3) abstraction; and (4) testing and debugging. This paper describes our approach to operationalizing CT for early learning and our empirical research around activities designed to understand how CT can be linked with math and science to create powerful learning experiences for preschool learners. Our work involves actively fostering a home-school connection for promoting CT and prioritized designing for activities that fit the ecology of preschool classrooms and homes (with special attention to family activities). With a view to designing equity-oriented experiences, we partnered with preschools serving historically underserved communities, and centered families' funds of knowledge. This paper focuses specifically on the home component of the program and shares data and analyses about children's and parent's experiences at home---which activities were more successful and resonated with children and families, and which specific synergies emerged between CT skills, math and science concepts and practices. Our findings highlight the promise of introducing early CT to support early learning, and especially involving families in the process. Results from our research also identified challenges that should be addressed in future iterations of this design research We believe our family connection activities are not only a unique part of the research but also an exemplar of what should be an essential piece of STEM education for young learners.</t>
  </si>
  <si>
    <t>72–84</t>
  </si>
  <si>
    <t>10.1145/3641555</t>
  </si>
  <si>
    <t>SIGCSETS 2025: Proceedings of the 56th ACM Technical Symposium on Computer Science Education V. 2</t>
  </si>
  <si>
    <t xml:space="preserve">Welcome to the 56th annual SIGCSE Technical Symposium on Computer Science Education (SIGCSE TS 2025)! For the first time since 1978, our symposium is being held in the </t>
  </si>
  <si>
    <t>10.1145/3605468.3609779</t>
  </si>
  <si>
    <t>Assessing Pre-Service Elementary Science Education Teachers’ Professional Knowledge in the Field of Computational Thinking</t>
  </si>
  <si>
    <t>Arndt, Nicolas and Br\</t>
  </si>
  <si>
    <t>Proceedings of the 18th WiPSCE Conference on Primary and Secondary Computing Education Research</t>
  </si>
  <si>
    <t>https://doi.org/10.1145/3605468.3609779</t>
  </si>
  <si>
    <t>Computational thinking is a key competence for children to learn in today’s digitized world. In order to effectively teach computational thinking, elementary science teachers need to have appropriate professional knowledge, consisting of content as well as pedagogical content knowledge and pedagogical knowledge [15]. This research project will adapt the Computational Thinking Test (CTt) to assess German pre-service teachers’ content knowledge in the area of computational thinking, and develop corresponding items based on case vignettes to assess pedagogical content knowledge.</t>
  </si>
  <si>
    <t>9798400708510</t>
  </si>
  <si>
    <t>WiPSCE '23</t>
  </si>
  <si>
    <t>32</t>
  </si>
  <si>
    <t>case vignettes, computational thinking, content knowledge (CK), elementary science education, pedagogical content knowledge (PCK), pre-service teachers</t>
  </si>
  <si>
    <t>10.1145/3582580.3582632</t>
  </si>
  <si>
    <t>The Influence of Problem Solving Based Practice on Pupils' Computational Thinking</t>
  </si>
  <si>
    <t>Liu, Xiaoying and Cong, Longjie and Xu, Jihong</t>
  </si>
  <si>
    <t>Proceedings of the 2022 5th International Conference on Education Technology Management</t>
  </si>
  <si>
    <t>https://doi.org/10.1145/3582580.3582632</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</si>
  <si>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</si>
  <si>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298–304</t>
  </si>
  <si>
    <t>9781450398015</t>
  </si>
  <si>
    <t>ICETM '22</t>
  </si>
  <si>
    <t>Computational thinking, Practice link, Problem solving, Pupil</t>
  </si>
  <si>
    <t>Lincoln, United Kingdom</t>
  </si>
  <si>
    <t>10.1145/3416797.3416819</t>
  </si>
  <si>
    <t>Assessing the Current Level of the Computational Thinking Within the Primary and Lower Secondary School Students using Educational Robotics Tasks</t>
  </si>
  <si>
    <t>Bryndov\'{a</t>
  </si>
  <si>
    <t>Proceedings of the 4th International Conference on Education and Multimedia Technology</t>
  </si>
  <si>
    <t>https://doi.org/10.1145/3416797.3416819</t>
  </si>
  <si>
    <t>The aim of this research was to develop a set of tasks assessing prerequisite Computational Thinking (CT) skills within Czech primary school students using an educational robotics as a supporting tool. Czech Republic, along with numerous European countries, currently implements a revision of the existing computer science curriculum at the primary and secondary education level, to widen the national information literacy and embed the development of CT into the basic STEM education. The integration of the CT development at a level of a national school education raises a question of assessing actual CT skills of the students and creating a standardized methodology for a such assessment. This paper discusses the results of the research aimed to assess the CT skills within primary school students which was tested on a sample number of 90 students age 8 - 13 during extended education classes and events.</t>
  </si>
  <si>
    <t>239–243</t>
  </si>
  <si>
    <t>9781450388375</t>
  </si>
  <si>
    <t>ICEMT '20</t>
  </si>
  <si>
    <t>Kyoto, Japan</t>
  </si>
  <si>
    <t>10.1145/3762807</t>
  </si>
  <si>
    <t>Reading AI and Reading the World: Using an Interactive AI System to Promote Children's Understanding of AI Bias</t>
  </si>
  <si>
    <t>Dangol, Aayushi and Wolfe, Robert and Dewitt, Akeiylah and Chickadel, Ben and Kientz, Julie A. and Dasgupta, Sayamindu</t>
  </si>
  <si>
    <t>ACM Trans. Comput.-Hum. Interact.</t>
  </si>
  <si>
    <t>https://doi.org/10.1145/3762807</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</si>
  <si>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</si>
  <si>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1073-0516</t>
  </si>
  <si>
    <t>AI Bias Education, AI Literacy, AI &amp;amp; Society, Children, Generative AI</t>
  </si>
  <si>
    <t>10.1145/3681716.3681722</t>
  </si>
  <si>
    <t>Designing Tiny Robots: Engaging Stakeholders in Collaborative AI System Design</t>
  </si>
  <si>
    <t>Raftopoulos, Marigo</t>
  </si>
  <si>
    <t>Proceedings of the 27th International Academic Mindtrek Conference</t>
  </si>
  <si>
    <t>https://doi.org/10.1145/3681716.3681722</t>
  </si>
  <si>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</si>
  <si>
    <t>121–132</t>
  </si>
  <si>
    <t>9798400718236</t>
  </si>
  <si>
    <t>Mindtrek '24</t>
  </si>
  <si>
    <t>artificial intelligence, design cards, stakeholder collaborative design methods</t>
  </si>
  <si>
    <t>Tampere, Finland</t>
  </si>
  <si>
    <t>10.1145/3369255.3369303</t>
  </si>
  <si>
    <t>Holistic Assessment of Computational Thinking for Undergraduate: Reliability and Convergent Validity</t>
  </si>
  <si>
    <t>Sondakh, Debby E. and Osman, Kamisah and Zainudin, Suhaila</t>
  </si>
  <si>
    <t>Proceedings of the 11th International Conference on Education Technology and Computers</t>
  </si>
  <si>
    <t>https://doi.org/10.1145/3369255.3369303</t>
  </si>
  <si>
    <t>This paper reports a pilot test to a scale called 'Holistic Assessment of Computational Thinking (Hi-ACT. Hi-ACT is seven-point Likert type scale comprises 155 items, resulting form a consensus study completed earlier, which aimed at measure undergraduate students computational thinking skill. The questionnaire was piloted among fourth-year undergraduate students recruited from five faculties in two universities (N=548) in Indonesia. Structural equation modeling with partial least squares technique was followed to establish the factor structure of the scale. The internal consistency reliability was assessed using composite reliability. The convergent validity was evaluated based on two criteria, the outer loadings and the average variance extracted. Accordingly, 44 items that did not load properly on a particular construct were excluded, and the refined scale has confirmed its reliability and validity to the acceptable requirements.</t>
  </si>
  <si>
    <t>241–245</t>
  </si>
  <si>
    <t>9781450372541</t>
  </si>
  <si>
    <t>ICETC '19</t>
  </si>
  <si>
    <t>Undergraduate, Computational Thinking, Assessment</t>
  </si>
  <si>
    <t>Amsterdam, Netherlands</t>
  </si>
  <si>
    <t>10.1145/3650200.3656634</t>
  </si>
  <si>
    <t>Real-time High-resolution X-Ray Computed Tomography</t>
  </si>
  <si>
    <t>Wu, Du and Chen, Peng and Wang, Xiao and Lyngaas, Issac and Miyajima, Takaaki and Endo, Toshio and Matsuoka, Satoshi and Wahib, Mohamed</t>
  </si>
  <si>
    <t>Proceedings of the 38th ACM International Conference on Supercomputing</t>
  </si>
  <si>
    <t>https://doi.org/10.1145/3650200.3656634</t>
  </si>
  <si>
    <t>Computed Tomography (CT) serves as a key imaging technology that relies on computationally intensive filtering and back-projection algorithms for 3D image reconstruction. While conventional high-resolution image reconstruction (&amp;gt; 2K3) solutions provide quick results, they typically treat reconstruction as an offline workload to be performed remotely on large-scale HPC systems. The growing demand for post-construction AI-driven analytics and the need for real-time adjustments call for high-resolution reconstruction solutions that are feasible on local computing resources, i.e. a multi-GPU server at most. In this paper, we propose a novel approach that utilizes Tensor Cores to optimize image reconstruction without sacrificing precision. We also introduce a framework designed to enable real-time execution of end-to-end distributed image reconstruction in a multi-GPU environment. Evaluations conducted on a single Nvidia A100 and H100 GPU show performance improvements of 1.91 \texttimes{</t>
  </si>
  <si>
    <t>110–123</t>
  </si>
  <si>
    <t>9798400706103</t>
  </si>
  <si>
    <t>ICS '24</t>
  </si>
  <si>
    <t>Computed Tomography, GPU, Tensor Cores</t>
  </si>
  <si>
    <t>10.1145/3656650.3656671</t>
  </si>
  <si>
    <t>Towards the Unification of Computational Thinking and EUDability: Two Cases from Healthcare</t>
  </si>
  <si>
    <t>Barricelli, Barbara Rita and Fogli, Daniela and Gargioni, Luigi and Locoro, Angela and Valtolina, Stefano</t>
  </si>
  <si>
    <t>Proceedings of the 2024 International Conference on Advanced Visual Interfaces</t>
  </si>
  <si>
    <t>https://doi.org/10.1145/3656650.3656671</t>
  </si>
  <si>
    <t>This paper presents a study about the mapping of the EUDability of End-User Development (EUD) tools with the Computational Thinking (CT) skills of users. This mapping provides an approach to evaluate the suitability of a EUD environment in supporting people performing their daily work while managing and exploiting EUD tools. EUDability is a construct encompassing different dimensions that need to be assessed through a careful scrutiny by human-computer interaction experts, while CT skills should mirror those dimensions from the point of view of assessing the level of ability of users in managing problems with a computational thinking attitude. Moving from the healthcare domain, we present two cases: a tool for geriatric professionals supporting them in the preparation of cognitive exercises for elderly patients; and a tool for pharmacists, which empowers them to create robot programs related to the preparation of personalized medications. These cases have been exploited to show how to unify the EUDability assessment with the CT skills assessment. In particular, the application of the EUDability evaluation method for each tool, as well as the administration of the Computational Thinking Scale to domain experts are shown. The results of the two assessments are reported and discussed, together with the limitations of the present study. The results show the goodness of fit of the proposed EUD tools in the healthcare domain.</t>
  </si>
  <si>
    <t>9798400717642</t>
  </si>
  <si>
    <t>AVI '24</t>
  </si>
  <si>
    <t>Computational Thinking, End-User Development, Evaluation, Healthcare</t>
  </si>
  <si>
    <t>Arenzano, Genoa, Italy</t>
  </si>
  <si>
    <t>10.1145/3724363</t>
  </si>
  <si>
    <t>ITiCSE 2025: Proceedings of the 30th ACM Conference on Innovation and Technology in Computer Science Education V. 1</t>
  </si>
  <si>
    <t>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</si>
  <si>
    <t>10.1145/3748269</t>
  </si>
  <si>
    <t>SPLC-B '25: Proceedings of the 29th ACM International Systems and Software Product Line Conference - Volume B</t>
  </si>
  <si>
    <t>10.1145/3507951.3519283</t>
  </si>
  <si>
    <t>Computational thinking integration in elementary teachers' science lesson plans</t>
  </si>
  <si>
    <t>Coenraad, Merijke and Cabrera, Lautaro and Killen, Heather and Plane, Jan and Ketelhut, Diane Jass</t>
  </si>
  <si>
    <t>https://doi.org/10.1145/3507951.3519283</t>
  </si>
  <si>
    <t>Due to the increasingly computational nature of professions, computational thinking (CT) is of growing importance to authentic science learning and the education of future scientists. To meet this need, CT integration is expanding within classrooms. We provided professional development (PD) for pre-service and in-service teachers focused on integrating CT into elementary science. At the PD culmination, 36 teachers wrote and enacted 22 unique CT-integrated science lessons, individually or with teaching partners. Waterman et al. (2020) suggested three levels of integrating CT within lesson plans: exist, labeling already present CT; enhance, adding CT components; and extend, adding activities supporting science learning with CT. Using this framework, we examined these lesson plans, their alignment to CT practices, and the level of CT integration. Our results indicated 83.3% of teachers successfully integrated CT within their lessons, focusing on Using Data, Computational Simulations, and Programming practices. Further, we found the level of integration differed by CT practice. Data practices generally led to exist level integration, Computational Simulation practices to enhance level integration, and Programming practices tended to extend science lessons or exhibit the science topic with Programming. Our data demonstrated teachers can write CT-integrated lesson plans, but all levels of integration are not equal opportunities for authentic scientific learning. As the field seeks to offer equitable and quality CT experiences for all students integrated within disciplinary subjects, we must understand the level of CT integration and consider how different levels of integration could affect opportunities for students.</t>
  </si>
  <si>
    <t>11–18</t>
  </si>
  <si>
    <t>10.1145/3478431.3499333</t>
  </si>
  <si>
    <t>Achieving CSforAll: Preparing Special Education Pre-service Teachers to Bring Computing to Students with Disabilities</t>
  </si>
  <si>
    <t>Yadav, Aman and Israel, Maya and Bouck, Emily and Cobo, Alexis and Samuels, John</t>
  </si>
  <si>
    <t>Proceedings of the 53rd ACM Technical Symposium on Computer Science Education - Volume 1</t>
  </si>
  <si>
    <t>https://doi.org/10.1145/3478431.3499333</t>
  </si>
  <si>
    <t>While computational thinking has gained popularity in K-12 schools to increase access to computing tools and practices, there is still limited understanding on how to broaden participation of students with disabilities in computational thinking (CT). One approach to increasing access to computing to students with disabilities is to educate future special education teachers to bring CT into their instruction. This study examined the influence of integrating CT into assistive technology course for special education pre-service teachers. Our results suggest that integrating CT into special educa- tion teacher preparation coursework can have a positive impact on how pre-service teachers see the value of bringing computational practices to students with disabilities.</t>
  </si>
  <si>
    <t>196–201</t>
  </si>
  <si>
    <t>9781450390705</t>
  </si>
  <si>
    <t>pre-service teachers, computational thinking</t>
  </si>
  <si>
    <t>10.1145/3631802</t>
  </si>
  <si>
    <t>Koli Calling '23: Proceedings of the 23rd Koli Calling International Conference on Computing Education Research</t>
  </si>
  <si>
    <t>10.1145/3545179</t>
  </si>
  <si>
    <t>Selecting examples for CS courses: the case of a computational thinking MOOC</t>
  </si>
  <si>
    <t>Ragonis, Noa and Bukai, Ayelet and Hazzan, Orit</t>
  </si>
  <si>
    <t>ACM Inroads</t>
  </si>
  <si>
    <t>https://doi.org/10.1145/3545179</t>
  </si>
  <si>
    <t>22–28</t>
  </si>
  <si>
    <t>2153-2184</t>
  </si>
  <si>
    <t>September 2022</t>
  </si>
  <si>
    <t>10.1145/3291280.3291787</t>
  </si>
  <si>
    <t>An Architectural Design of ScratchThAI: A conversational agent for Computational Thinking Development using Scratch</t>
  </si>
  <si>
    <t>Katchapakirin, Kantinee and Anutariya, Chutiporn</t>
  </si>
  <si>
    <t>Proceedings of the 10th International Conference on Advances in Information Technology</t>
  </si>
  <si>
    <t>https://doi.org/10.1145/3291280.3291787</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</si>
  <si>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</si>
  <si>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9781450365680</t>
  </si>
  <si>
    <t>IAIT '18</t>
  </si>
  <si>
    <t>Virtual Teaching Assistant, Virtual Scratcher, Scratch Tutoring Chatbot, Personalized Learning, Game-Based Learning, Educational Technology, Computational thinking development, AI in Education</t>
  </si>
  <si>
    <t>Bangkok, Thailand</t>
  </si>
  <si>
    <t>10.1145/3723045</t>
  </si>
  <si>
    <t>PRISA: A Potential Region-based Intelligent Search Algorithm for Dataflow Graph Mapping in Spatial CGRAs</t>
  </si>
  <si>
    <t>Mohtavipour, Seyed Mehdi and Shahhoseini, Hadi Shahriar</t>
  </si>
  <si>
    <t>ACM Trans. Reconfigurable Technol. Syst.</t>
  </si>
  <si>
    <t>https://doi.org/10.1145/3723045</t>
  </si>
  <si>
    <t>Coarse-grained Reconfigurable Architectures (CGRAs) offer energy efficiency and programmability, making them integral to modern high-performance computing. However, complicated compilation when mapping the Dataflow Graph (DFG) to CGRA components leads to significant time overhead, area inefficiency, and routing challenges, especially for large-scale applications today. In this article, a fast and accurate DFG mapping approach called PRISA is proposed to reduce the compilation delay and obtain mapping solutions with higher qualities in a more reasonable time. This approach analytically identifies the potential and weak regions in the space of mapping solutions to guide the search algorithm and prevent ineffective examinations. Moreover, using the potential solutions and a novel sparse matrix permutation technique, we introduced Selective Initial Solution (SIS) to further improve the performance of PRISA without needing long-time optimizations. As the computational requirements in the PRISA are performed analytically, there is no additional time overhead. We conducted extensive experiments on the benchmark graphs of CGRA-ME and VPR-8 toolkits and obtained outstanding results compared to integer linear programming, evolutionary, and graph traversal approaches in terms of compilation time and mapping communication cost. Our approach could map the DFGs of VPR-8 toolkit with 3.64 maximal FIFO size requirement and 53.5 ms time overhead, on average.</t>
  </si>
  <si>
    <t>1936-7406</t>
  </si>
  <si>
    <t>28</t>
  </si>
  <si>
    <t>Embedded system, Reconfigurable architectures, Coarse-Grained Reconfigurable Architectures, Application mapping</t>
  </si>
  <si>
    <t>June 2025</t>
  </si>
  <si>
    <t>10.1145/3434780.3436705</t>
  </si>
  <si>
    <t>Introducing Artificial Intelligence Fundamentals with LearningML: Artificial Intelligence made easy</t>
  </si>
  <si>
    <t>Rodr\'{\i</t>
  </si>
  <si>
    <t>Eighth International Conference on Technological Ecosystems for Enhancing Multiculturality</t>
  </si>
  <si>
    <t>https://doi.org/10.1145/3434780.3436705</t>
  </si>
  <si>
    <t>This paper is a summary of the webinar hold on October 22nd at the “Computational thinking and robotics in education” track in which the LearningML project was presented. The LearningML project aims to bring the fundamentals of Artificial Intelligence (AI) to children and people interested in acquiring knowledge on this subject in an easy way. AI has heavily irrupted in society and everyone is using, more or less consciously, application based on AI. Therefore, some kind of AI literacy is needed if we are to educate critically thinking citizens able to understand technologies that have a relevant impact on their lives. In this presentation we show how LearningML can help us to reach this goal trough programming applications based on Machine Learning (ML), the most prevalent subfield of AI today.</t>
  </si>
  <si>
    <t>18–20</t>
  </si>
  <si>
    <t>9781450388504</t>
  </si>
  <si>
    <t>TEEM'20</t>
  </si>
  <si>
    <t>machine learning, computational thinking, assessment, K-12, Artificial intelligence</t>
  </si>
  <si>
    <t>10.1145/3503229.3547057</t>
  </si>
  <si>
    <t>Defining categorical reasoning of numerical feature models with feature-wise and variant-wise quality attributes</t>
  </si>
  <si>
    <t>Proceedings of the 26th ACM International Systems and Software Product Line Conference - Volume B</t>
  </si>
  <si>
    <t>https://doi.org/10.1145/3503229.3547057</t>
  </si>
  <si>
    <t>Automatic analysis of variability is an important stage of Software Product Line (SPL) engineering. Incorporating quality information into this stage poses a significant challenge. However, quality-aware automated analysis tools are rare, mainly because in existing solutions variability and quality information are not unified under the same model.In this paper, we make use of the Quality Variability Model (QVM), based on Category Theory (CT), to redefine reasoning operations. We start defining and composing the six most common operations in SPL, but now as quality-based queries, which tend to be unavailable in other approaches. Consequently, QVM supports interactions between variant-wise and feature-wise quality attributes. As a proof of concept, we present, implement and execute the operations as lambda reasoning for CQL IDE - the state-of-the-art CT tool.</t>
  </si>
  <si>
    <t>132–139</t>
  </si>
  <si>
    <t>9781450392068</t>
  </si>
  <si>
    <t>automated reasoning, category theory, extended feature model, numerical features, quality attribute</t>
  </si>
  <si>
    <t>10.1145/3713043.3728856</t>
  </si>
  <si>
    <t>Children's Mental Models of AI Reasoning: Implications for AI Literacy Education</t>
  </si>
  <si>
    <t>Dangol, Aayushi and Wolfe, Robert and Zhao, Runhua and Kim, JaeWon and Ramanan, Trushaa and Davis, Katie and Kientz, Julie A.</t>
  </si>
  <si>
    <t>https://doi.org/10.1145/3713043.3728856</t>
  </si>
  <si>
    <t>As artificial intelligence (AI) advances in reasoning capabilities, most recently with the emergence of Large Reasoning Models (LRMs), understanding how children conceptualize AI’s reasoning processes becomes critical for fostering AI literacy. While one of the “Five Big Ideas” in AI education highlights reasoning algorithms as central to AI decision-making, less is known about children’s mental models in this area. Through a two-phase approach, consisting of a co-design session with 8 children followed by a field study with 106 children (grades 3 - 8), we identified three models of AI reasoning: Deductive, Inductive, and Inherent. Our findings reveal that younger children (grades 3 - 5) often attribute AI’s reasoning to inherent intelligence, while older children (grades 6 - 8) recognize AI as a pattern recognizer. We highlight three tensions that surfaced in children’s understanding of AI reasoning and conclude with implications for scaffolding AI curricula and designing explainable AI tools.</t>
  </si>
  <si>
    <t>106–123</t>
  </si>
  <si>
    <t>AI Literacy, AI Reasoning, Field Study, Participatory Design</t>
  </si>
  <si>
    <t>10.1145/3300115.3309527</t>
  </si>
  <si>
    <t>CEO: A Triangulated Evaluation of a Modeling-Based CT-Infused CS Activity for Non-CS Middle Grade Students</t>
  </si>
  <si>
    <t>Lytle, Nicholas and Catet\'{e</t>
  </si>
  <si>
    <t>Proceedings of the ACM Conference on Global Computing Education</t>
  </si>
  <si>
    <t>https://doi.org/10.1145/3300115.3309527</t>
  </si>
  <si>
    <t>With the increased demand for introducing computational thinking (CT) in K-12 classrooms, educational researchers are developing integrated lesson plans that can teach CT fundamentals in non-computing specific classrooms. Although these lessons reach more students through the core curriculum, proper evaluation methods are needed to ensure the quality of the design and integration. As part of a research practice partnership, we work to infuse research-backed curricula into science courses. We find a three-pronged approach of evaluation can help us make better decisions on how to improve experimental curricula for active classrooms. This CEO model uses three data sources (student code traces, exit ticket responses, and field observations) as a triangulated approach that can be used to identify programming behavior among novice developers, preferred task ordering for the assignment, and scaffolding recommendations to teachers. This approach allows us to evaluate the practical implementations of our initiative and create a focused approach for designing more effective lessons.</t>
  </si>
  <si>
    <t>58–64</t>
  </si>
  <si>
    <t>9781450362597</t>
  </si>
  <si>
    <t>CompEd '19</t>
  </si>
  <si>
    <t>modeling and simulation, computational thinking, assessment</t>
  </si>
  <si>
    <t>Chengdu,Sichuan, China</t>
  </si>
  <si>
    <t>10.1145/3371647.3371651</t>
  </si>
  <si>
    <t>Assessing Computational Thinking Skills at First Stages of Schooling</t>
  </si>
  <si>
    <t>Kalliopi, Kanaki and Michail, Kalogiannakis</t>
  </si>
  <si>
    <t>Proceedings of the 2019 3rd International Conference on Education and E-Learning</t>
  </si>
  <si>
    <t>https://doi.org/10.1145/3371647.3371651</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</si>
  <si>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</si>
  <si>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135–139</t>
  </si>
  <si>
    <t>9781450372251</t>
  </si>
  <si>
    <t>ICEEL '19</t>
  </si>
  <si>
    <t>First stages of schooling, Computational thinking, Assessment tool</t>
  </si>
  <si>
    <t>10.1109/SC41406.2024.00104</t>
  </si>
  <si>
    <t>Realizing Joint Extreme-Scale Simulations on Multiple Supercomputers---Two Superfacility Case Studies</t>
  </si>
  <si>
    <t>Pollinger, Theresa and Van Craen, Alexander and Offenh\</t>
  </si>
  <si>
    <t>Proceedings of the International Conference for High Performance Computing, Networking, Storage, and Analysis</t>
  </si>
  <si>
    <t>https://doi.org/10.1109/SC41406.2024.00104</t>
  </si>
  <si>
    <t>High-dimensional grid-based simulations serve as both a tool and a challenge in researching various domains. The main challenge of these approaches is the well-known curse of dimensionality, amplified by the need for fine resolutions in high-fidelity applications. The combination technique (CT) provides a straightforward way of performing such simulations while alleviating the curse of dimensionality. Recent work demonstrated the potential of the CT to join multiple systems simultaneously to perform a single high-dimensional simulation. This paper shows how to extend this to three or more systems and addresses some remaining challenges: load balancing on heterogeneous hardware; utilizing compression to maximize the communication bandwidth; efficient I/O management through hardware mapping; and improving memory utilization through algorithmic optimizations. Combining these contributions, we demonstrate the feasibility of the CT for extreme-scale Superfacility scenarios of 46 trillion DOF on two systems and 35 trillion DOF on three systems. Scenarios at these resolutions would be intractable with full-grid solvers (&amp;gt; 1,000 nonillion DOF each).</t>
  </si>
  <si>
    <t>9798350352917</t>
  </si>
  <si>
    <t>SC '24</t>
  </si>
  <si>
    <t>98</t>
  </si>
  <si>
    <t>combination technique, coupling HPC systems, file transfer, higher-dimensional simulation, large scale, multi-level methods, plasma turbulence</t>
  </si>
  <si>
    <t>10.1145/3459990.3460728</t>
  </si>
  <si>
    <t>Opportunities and Limitations of Construction Kits in Culturally Responsive Computing Contexts: Lessons from ScratchJr and Family Creative Learning</t>
  </si>
  <si>
    <t>Roque, Ricarose and Tamashiro, Mariana Aki and Mcconnell, Kathryn and Granados, Julisa</t>
  </si>
  <si>
    <t>https://doi.org/10.1145/3459990.3460728</t>
  </si>
  <si>
    <t>In this paper, we investigate the opportunities and limitations that emerge when we engage youth and their families in creating and sharing stories with a computational construction kit, specifically the ScratchJr programming environment. We examine the participation of children and their families in the Family Creative Learning program, a culturally responsive computing context that engages families to create and share stories with computing. Our findings highlight the ways that families discovered new possibilities for their storytelling using the computational construction kit, but they also experienced challenges in representing their stories and themselves. We discuss the opportunities in storytelling with construction kits and possible limitations when designing to support expression, especially among groups historically marginalized from computing spaces.</t>
  </si>
  <si>
    <t>246–256</t>
  </si>
  <si>
    <t>storytelling, family learning, culturally responsive computing, computational construction kits</t>
  </si>
  <si>
    <t>10.1145/3626253</t>
  </si>
  <si>
    <t>SIGCSE 2024: Proceedings of the 55th ACM Technical Symposium on Computer Science Education V. 2</t>
  </si>
  <si>
    <t xml:space="preserve">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t>
  </si>
  <si>
    <t>10.1145/3615430.3615447</t>
  </si>
  <si>
    <t>Constructing Sports Technologies and Understandings: Constructionist Pathways to Enrich Athletic Experiences</t>
  </si>
  <si>
    <t>Bodon, Herminio and Kumar, Vishesh and Worsley, Marcelo</t>
  </si>
  <si>
    <t>Proceedings of FabLearn / Constructionism 2023: Full and Short Research Papers</t>
  </si>
  <si>
    <t>https://doi.org/10.1145/3615430.3615447</t>
  </si>
  <si>
    <t>Sports spaces are being increasingly used for enabling a variety of computing education opportunities. This work often aims to support socially and disciplinarily minoritized communities, often children of color with specific cultural practices and identities around sports. In this work, we focus on how these experiences can be extended to support youth in developing lasting long term skills around computational making using athletic interest and participation as a jumping off point. We focus on how such a making process can enhance and augment learners’ sports understanding, and by extension sports performance; as well as how their sports interest helps them encounter and make sense of different computing concepts. In this paper, we discuss working with a student athlete, his journey of designing and bringing to life ideas around sports technologies, through physical computing and prototyping technologies. We employed a user-centered design approach for designing the learning experience, and emerging methods for assessing learning in making experiences. We blend data around his making experience with observations and interview data around his sports experiences. We find that the process of making augmented his ability to think more deeply about elements of his practice (e.g., strategies of play, ecosystem, and teamwork) and a deeper appreciation of science and technology in the real world. This work contributes an additional lens on how making can serve as a powerful process to realize new possibilities involving computing education in cultural-sustaining computing learning environments.</t>
  </si>
  <si>
    <t>9798400708961</t>
  </si>
  <si>
    <t>FLC '23</t>
  </si>
  <si>
    <t>basketball, computing education, culturally sustaining, identity, makecode, making, microbit, physical computing, puerto rico, sports, wearables</t>
  </si>
  <si>
    <t>New York City, NY, USA</t>
  </si>
  <si>
    <t>10.1145/3568813</t>
  </si>
  <si>
    <t>ICER '23: Proceedings of the 2023 ACM Conference on International Computing Education Research - Volume 1</t>
  </si>
  <si>
    <t>10.1145/3379351</t>
  </si>
  <si>
    <t>Computational Sophistication of Games Programmed by Children: A Model for Its Measurement</t>
  </si>
  <si>
    <t>Werner, Linda and Denner, Jill and Campe, Shannon and Torres, David M.</t>
  </si>
  <si>
    <t>https://doi.org/10.1145/3379351</t>
  </si>
  <si>
    <t>This article builds on prior work that aims to measure computational learning (CL) during middle school. Since game computational sophistication (GCS) has been used as a proxy for a student’s engagement in CL we build on their model to more completely describe the relationship between different types of building blocks of computer games and GCS. In doing so, we present a single quantitative measurement for GCS. Our model, called GCS 2.0, has face validity for 39 games, each programmed by a pair of middle school children. We choose four of these games, two with high GCS and two with low GCS, and discuss the computational building blocks found in each game. We do this to help the reader better understand our measurement of GCS and its relationship to CL.</t>
  </si>
  <si>
    <t>pair programming, middle school, measurement, game programming, computational thinking, computational learning, assessment, Computational sophistication</t>
  </si>
  <si>
    <t>June 2020</t>
  </si>
  <si>
    <t>10.1145/3055258</t>
  </si>
  <si>
    <t>Teaching Computational Thinking Using Agile Software Engineering Methods: A Framework for Middle Schools</t>
  </si>
  <si>
    <t>Fronza, Ilenia and Ioini, Nabil El and Corral, Luis</t>
  </si>
  <si>
    <t>https://doi.org/10.1145/3055258</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</si>
  <si>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</si>
  <si>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software engineering, framework, agile methods, K-12, Computational thinking</t>
  </si>
  <si>
    <t>December 2017</t>
  </si>
  <si>
    <t>10.1145/3286960.3286970</t>
  </si>
  <si>
    <t>Towards a Framework for Teaching Debugging</t>
  </si>
  <si>
    <t>Li, Chen and Chan, Emily and Denny, Paul and Luxton-Reilly, Andrew and Tempero, Ewan</t>
  </si>
  <si>
    <t>Proceedings of the Twenty-First Australasian Computing Education Conference</t>
  </si>
  <si>
    <t>https://doi.org/10.1145/3286960.3286970</t>
  </si>
  <si>
    <t>Debugging is an important component of software development, yet most novice programmers are not explicitly taught to apply systematic strategies or processes for debugging. In this paper we adapt a framework developed for teaching troubleshooting to the debugging domain, and explore how the literature on teaching debugging maps to this framework. We identify debugging processes that are fundamental for novices to learn, aspects of debugging that novices typically struggle to develop, and shortcomings of tools designed to support teaching of debugging.</t>
  </si>
  <si>
    <t>79–86</t>
  </si>
  <si>
    <t>9781450366229</t>
  </si>
  <si>
    <t>ACE '19</t>
  </si>
  <si>
    <t>troubleshooting, novice, introductory programming, debugging</t>
  </si>
  <si>
    <t>Sydney, NSW, Australia</t>
  </si>
  <si>
    <t>10.1145/2968120.2987750</t>
  </si>
  <si>
    <t>Assessing Computational Thinking in Students' Game Designs</t>
  </si>
  <si>
    <t>Hoover, Amy K. and Barnes, Jackie and Fatehi, Borna and Moreno-Le\'{o</t>
  </si>
  <si>
    <t>Proceedings of the 2016 Annual Symposium on Computer-Human Interaction in Play Companion Extended Abstracts</t>
  </si>
  <si>
    <t>https://doi.org/10.1145/2968120.2987750</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</si>
  <si>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</si>
  <si>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173–179</t>
  </si>
  <si>
    <t>9781450344586</t>
  </si>
  <si>
    <t>CHI PLAY Companion '16</t>
  </si>
  <si>
    <t>student agency, game design, computational thinking, climate change</t>
  </si>
  <si>
    <t>Austin, Texas, USA</t>
  </si>
  <si>
    <t>10.1145/3362789.3362874</t>
  </si>
  <si>
    <t>Learning computational thinking and social skills development in young children through problem solving with educational robotics</t>
  </si>
  <si>
    <t>Caballero-Gonzalez, Yen-Air and Mu\~{n</t>
  </si>
  <si>
    <t>https://doi.org/10.1145/3362789.3362874</t>
  </si>
  <si>
    <t>The technological advance that is currently evident in the different social contexts is contributing to consolidate educational processes that allow the strengthening of technological and social skills in students. This paper presents some results obtained in the development of a learning experience in computational thinking and social interaction skills, using problem solving activities and educational robotics in a playful way. The experience involved 46 students and 2 teachers of the first level of primary education of a concerted school in Salamanca, Spain, during the period 2017-2018. A rubric and checklists were used as data collection instruments. The results show a significant advance in the computational thinking and social development skills explored.</t>
  </si>
  <si>
    <t>19–23</t>
  </si>
  <si>
    <t>young children, social skills, problem solving, educational robotic, Computational thinking</t>
  </si>
  <si>
    <t>10.1145/3494579</t>
  </si>
  <si>
    <t>Elementary Computational Thinking Instruction and Assessment: A Learning Trajectory Perspective</t>
  </si>
  <si>
    <t>Luo, Feiya and Israel, Maya and Gane, Brian</t>
  </si>
  <si>
    <t>https://doi.org/10.1145/3494579</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</si>
  <si>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</si>
  <si>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elementary education, assessment, learning trajectory, Computational thinking instruction</t>
  </si>
  <si>
    <t>10.1145/3704637</t>
  </si>
  <si>
    <t>RESPECT 2025: Proceedings of the 2025 Conference on Research on Equitable and Sustained Participation in Engineering, Computing, and Technology</t>
  </si>
  <si>
    <t xml:space="preserve">Welcome to 2025 ACM RESPECT, the Conference on Research on Equity and Sustained Participation in Engineering, Computing, and Technology, sponsored by ACM SIGCSE. ACM RESPECT is the premier venue for research on equity, inclusion, and justice in computing and computing education. This volume contains the papers, posters, and abstracts presented at ACM RESPECT 2025 held on June 14-16, 2025 at the New Jersey Institute of Technology in Newark, New Jersey, USA.This year's theme is </t>
  </si>
  <si>
    <t>10.1145/3328778.3372667</t>
  </si>
  <si>
    <t>Killen, Heather and Coenraad, Merijke and Cabrera, Lautaro and Mills, Kelly and Ketelhut, Diane Jass and Plane, Jan</t>
  </si>
  <si>
    <t>https://doi.org/10.1145/3328778.3372667</t>
  </si>
  <si>
    <t>School systems globally have begun to integrate computational thinking (CT) practices into elementary teaching and learning standards to provide young students with a comfort for and foundational understanding of computer science. This integration requires educating teachers to develop and implement CT learning opportunities. Our work contributes to best practice by exploring the role language plays in elementary teachers' discussions and development of CT-infused science lessons. To do this, we captured and analyzed the language used by elementary teachers as they spoke and wrote about CT in a multi-week professional development experience during which the teachers created and delivered CT-infused lessons to their students. We determined that teachers exhibited differing CT conceptualizations, which we categorized from broad to narrow. These differences were not, however, observed in either their spoken or written language. While there were instances of teachers using language that mirrored how the facilitators discussed CT, this use did not align with how they conceptualized CT. Our work analyzing connections between CT language use and CT conceptualization suggests that in order to understand how teachers are conceptualizing CT, professional development designers and teacher educators should focus on creating opportunities for teachers to employ CT practices in context rather than relying only on language. We feel this will support a more precise and nuanced engagement with CT.</t>
  </si>
  <si>
    <t>1281</t>
  </si>
  <si>
    <t>teacher professional development, science inquiry, k-8, jargon, elementary education, computing across the curriculum, computational thinking terms, computational thinking</t>
  </si>
  <si>
    <t>10.1145/3102071.3116221</t>
  </si>
  <si>
    <t>MazeStar: a platform for studying virtual identity and computer science education</t>
  </si>
  <si>
    <t>Kao, Dominic and Harrell, D. Fox</t>
  </si>
  <si>
    <t>Proceedings of the 12th International Conference on the Foundations of Digital Games</t>
  </si>
  <si>
    <t>https://doi.org/10.1145/3102071.3116221</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</si>
  <si>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</si>
  <si>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9781450353199</t>
  </si>
  <si>
    <t>FDG '17</t>
  </si>
  <si>
    <t>61</t>
  </si>
  <si>
    <t>virtual identity, educational platforms, educational games, avatars</t>
  </si>
  <si>
    <t>Hyannis, Massachusetts</t>
  </si>
  <si>
    <t>10.1145/3583781.3590217</t>
  </si>
  <si>
    <t>Bit-Stream Processing with No Bit-Stream: Efficient Software Simulation of Stochastic Vision Machines</t>
  </si>
  <si>
    <t>Aygun, Sercan and Najafi, M. Hassan and Imani, Mohsen and Gunes, Ece Olcay</t>
  </si>
  <si>
    <t>Proceedings of the Great Lakes Symposium on VLSI 2023</t>
  </si>
  <si>
    <t>https://doi.org/10.1145/3583781.3590217</t>
  </si>
  <si>
    <t>Stochastic computing (SC) is an emerging paradigm that has come to the fore in computer vision applications in the last decade. Complex arithmetic circuitry is reduced to simple logic gates, fed with uniform random bit-streams. Due to the requirement of long bit-streams, the computer-aided simulation of SC systems is facing run-time and memory-use challenges. This work presents an efficient approach for emulating SC-based systems. The proposed simulation technique does not utilize actual bit-streams but produces similar results as if the traditional stochastic bit-streams were processed. The data are processed with the aid of a correlation-controlled contingency table (CT) construct. Our technique emulates three state-of-the-art stochastic bit-streams, namely, bit-streams with binomial distribution, pseudo-random, and low-discrepancy bit-streams. We validate the proposed technique by emulating three new SC image processing designs. We propose novel SC designs for (i) template matching, (ii) image compositing, and (iii) bilinear interpolation. Our experimental results show that our simulation technique provides comparable accuracy to processing actual bit-streams, but at a significantly lower run-time and memory usage.</t>
  </si>
  <si>
    <t>273–279</t>
  </si>
  <si>
    <t>9798400701252</t>
  </si>
  <si>
    <t>GLSVLSI '23</t>
  </si>
  <si>
    <t>computer vision, random sources, simulation, stochastic computing</t>
  </si>
  <si>
    <t>Knoxville, TN, USA</t>
  </si>
  <si>
    <t>10.5555/2753024.2753037</t>
  </si>
  <si>
    <t>The assessment of mobile computational thinking</t>
  </si>
  <si>
    <t>Sherman, Mark and Martin, Fred</t>
  </si>
  <si>
    <t xml:space="preserve">This paper introduces a rubric for analyzing </t>
  </si>
  <si>
    <t>53–59</t>
  </si>
  <si>
    <t>June 2015</t>
  </si>
  <si>
    <t>10.1145/3102071.3116225</t>
  </si>
  <si>
    <t>Engaging young learners in making games: an exploratory study</t>
  </si>
  <si>
    <t>Fowler, Allan</t>
  </si>
  <si>
    <t>https://doi.org/10.1145/3102071.3116225</t>
  </si>
  <si>
    <t>There has some initial work on using game play and game development to engage young children in STEM learning [5, 22, 23]. However, there not been a lot of recent work on using game development to engage young children in improving computational thinking. In this paper, the author provides an overview of an exploratory study of a group of forth grade and a group of fifth grade students during summer 2017. Both groups of students used a free game development platform from Microsoft (Kodu Game Lab) to make computer games. The results found that the participants in both camps demonstrated significant changes in attitudes and perceptions of CS.</t>
  </si>
  <si>
    <t>65</t>
  </si>
  <si>
    <t>young children, education, computer games, STEM</t>
  </si>
  <si>
    <t>10.1145/3105726.3106194</t>
  </si>
  <si>
    <t>Conceptions and Misconceptions about Computational Thinking among Italian Primary School Teachers</t>
  </si>
  <si>
    <t>Corradini, Isabella and Lodi, Michael and Nardelli, Enrico</t>
  </si>
  <si>
    <t>Proceedings of the 2017 ACM Conference on International Computing Education Research</t>
  </si>
  <si>
    <t>https://doi.org/10.1145/3105726.3106194</t>
  </si>
  <si>
    <t xml:space="preserve">Many advanced countries are recognizing more and more the importance of teaching computing, in some cases even as early as in primary school. </t>
  </si>
  <si>
    <t>136–144</t>
  </si>
  <si>
    <t>9781450349680</t>
  </si>
  <si>
    <t>ICER '17</t>
  </si>
  <si>
    <t>primary school teachers, informatics education, conceptions and misconceptions, computational thinking definition</t>
  </si>
  <si>
    <t>Tacoma, Washington, USA</t>
  </si>
  <si>
    <t>10.1145/2994591</t>
  </si>
  <si>
    <t>Computational thinking for teacher education</t>
  </si>
  <si>
    <t>Yadav, Aman and Stephenson, Chris and Hong, Hai</t>
  </si>
  <si>
    <t>https://doi.org/10.1145/2994591</t>
  </si>
  <si>
    <t>This framework for developing pre-service teachers' knowledge does not necessarily depend on computers or other educational technology.</t>
  </si>
  <si>
    <t>55–62</t>
  </si>
  <si>
    <t>60</t>
  </si>
  <si>
    <t>April 2017</t>
  </si>
  <si>
    <t>10.1145/3017680.3017778</t>
  </si>
  <si>
    <t>Concepts and Practices: Designing and Developing A Modern K-12 CS Framework</t>
  </si>
  <si>
    <t>Parker, Miranda C. and DeLyser, Leigh Ann</t>
  </si>
  <si>
    <t>Proceedings of the 2017 ACM SIGCSE Technical Symposium on Computer Science Education</t>
  </si>
  <si>
    <t>https://doi.org/10.1145/3017680.3017778</t>
  </si>
  <si>
    <t>Computer science is rapidly expanding across the United States, and as schools look for guidance about what constitutes developmentally appropriate topics, state education departments are looking for assistance in the creation of standards. The K--12 Computer Science (CS) Framework was developed to fit these needs. The framework is the first of its kind in the K--12 CS domain, filling a much-needed structural and definitional role in the field. The framework was created as part of a collaboration at multiple levels within the CS community across the United States. Following the footsteps of other disciplines, this framework provides definitions and guidelines on what students should know (concepts) and be able to do (practices) within certain grade bands in today's computing classrooms. This paper details why the framework was developed, how it was designed, and what impacts it could have on the future of K--12 computing education.</t>
  </si>
  <si>
    <t>453–458</t>
  </si>
  <si>
    <t>9781450346986</t>
  </si>
  <si>
    <t>SIGCSE '17</t>
  </si>
  <si>
    <t>policy, framework, K-12 computer science</t>
  </si>
  <si>
    <t>Seattle, Washington, USA</t>
  </si>
  <si>
    <t>10.1145/2787622.2787737</t>
  </si>
  <si>
    <t>On Pre-requisite Skills for Universal Computational Thinking Education.</t>
  </si>
  <si>
    <t>Cole, Elizabeth C.</t>
  </si>
  <si>
    <t>Proceedings of the Eleventh Annual International Conference on International Computing Education Research</t>
  </si>
  <si>
    <t>https://doi.org/10.1145/2787622.2787737</t>
  </si>
  <si>
    <t xml:space="preserve">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 </t>
  </si>
  <si>
    <t>253–254</t>
  </si>
  <si>
    <t>9781450336307</t>
  </si>
  <si>
    <t>ICER '15</t>
  </si>
  <si>
    <t>value, primary, industry, early years, computational thinking</t>
  </si>
  <si>
    <t>Omaha, Nebraska, USA</t>
  </si>
  <si>
    <t>10.1145/3637528.3671551</t>
  </si>
  <si>
    <t>Causal Machine Learning for Cost-Effective Allocation of Development Aid</t>
  </si>
  <si>
    <t>Kuzmanovic, Milan and Frauen, Dennis and Hatt, Tobias and Feuerriegel, Stefan</t>
  </si>
  <si>
    <t>Proceedings of the 30th ACM SIGKDD Conference on Knowledge Discovery and Data Mining</t>
  </si>
  <si>
    <t>https://doi.org/10.1145/3637528.3671551</t>
  </si>
  <si>
    <t xml:space="preserve">The Sustainable Development Goals (SDGs) of the United Nations provide a blueprint of a better future by </t>
  </si>
  <si>
    <t>5283–5294</t>
  </si>
  <si>
    <t>9798400704901</t>
  </si>
  <si>
    <t>KDD '24</t>
  </si>
  <si>
    <t>causal machine learning, development aid, heterogeneous treatment effects, medicine, treatment effect estimation</t>
  </si>
  <si>
    <t>10.1145/3213818.3213824</t>
  </si>
  <si>
    <t>The Scope of Autonomy Model: Development of Teaching Materials for Computational Thinking in Primary School</t>
  </si>
  <si>
    <t>Carlborg, Niklas and Tyr\'{e</t>
  </si>
  <si>
    <t>Proceedings of the Conference on Creativity and Making in Education</t>
  </si>
  <si>
    <t>https://doi.org/10.1145/3213818.3213824</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</si>
  <si>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</si>
  <si>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37–44</t>
  </si>
  <si>
    <t>9781450353717</t>
  </si>
  <si>
    <t>FabLearn Europe'18</t>
  </si>
  <si>
    <t>Teaching, Micro:bit, Education, Computational thinking, Autonomy</t>
  </si>
  <si>
    <t>10.1145/3243138</t>
  </si>
  <si>
    <t>Digital and Physical Fabrication as Multimodal Learning: Understanding Youth Computational Thinking When Making Integrated Systems Through Bidirectionally Responsive Design</t>
  </si>
  <si>
    <t>Richard, Gabriela T. and Giri, Sagun</t>
  </si>
  <si>
    <t>https://doi.org/10.1145/3243138</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</si>
  <si>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</si>
  <si>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35</t>
  </si>
  <si>
    <t>wearable computers, teens, tangible, sensors, schools/educational setting, participatory design, interview, games/play, fashion/clothing, embodied interaction, design research methods, creativity support, content analysis, collaboration, Education/learning</t>
  </si>
  <si>
    <t>September 2019</t>
  </si>
  <si>
    <t>10.1145/2930674.2930703</t>
  </si>
  <si>
    <t>A Tangible, Story-Construction Process Employing Spatial, Computational-Thinking</t>
  </si>
  <si>
    <t>Soleimani, Arash and Green, Keith Evan and Herro, Danielle and Walker, Ian D.</t>
  </si>
  <si>
    <t>Proceedings of the The 15th International Conference on Interaction Design and Children</t>
  </si>
  <si>
    <t>https://doi.org/10.1145/2930674.2930703</t>
  </si>
  <si>
    <t>The outcome of a multidisciplinary and iterative process, CyberPLAYce is a tangible, interactive, cyber-physical learning tool for children supporting computational thinking and, particularly, playful storytelling. CyberPLAYce finds inspiration in the concept of child-computer interaction, where meaning is constructed through spatially reconfiguring the physical environment. The novel aspect of CyberPLAYce is its extension of cyber-learning to the dimension of space where children construct meaning at a larger physical scale. This paper outlines the motivations for CyberPLAYce, focuses on the full arc of design and evaluation activities concerning computational thinking (CT) practices that engaged 8-12-year-old storytellers, and concludes with a consideration of future work focusing on spatial thinking with CyberPLAYce. Results from our empirical study suggest that cyber-physical play afforded by CyberPLAYce scaffolds computational thinking, creating, and sharing in children. Particularly for IDC researchers in the educational domain, CyberPLAYce represents a Research-through-design exemplar supporting children's enjoyment of learning and meaning-construction.</t>
  </si>
  <si>
    <t>157–166</t>
  </si>
  <si>
    <t>9781450343138</t>
  </si>
  <si>
    <t>IDC '16</t>
  </si>
  <si>
    <t>User-Centered Design, Tangible Computing, Storytelling, Prototyping, Play, Interactive Environments, Computer Support Tools, Childhood Education, Architecture</t>
  </si>
  <si>
    <t>10.1145/2978192.2978220</t>
  </si>
  <si>
    <t>Teaching Software Design Engineering Across the K-12 Curriculum: Using Visual Thinking and Computational Thinking</t>
  </si>
  <si>
    <t>Proceedings of the 17th Annual Conference on Information Technology Education</t>
  </si>
  <si>
    <t>https://doi.org/10.1145/2978192.2978220</t>
  </si>
  <si>
    <t>Over the years a number of methodologies have been proposed in Software Engineering to deal with systems design. High among them is visual thinking (VT). VT is a well known strategy to foster more ideas and generate consensus within a group. In this paper, we propose the application of VT in the design phase of computational thinking in the K-12 curriculum. The goal is to facilitate the interchange of ideas in a team of students, and assist on orchestrating an all-hands, brainstorming working strategy that ensures that all the participants speak and are listened, and that all the viewpoints are taken into account. We describe the results of an experience of visual thinking applied in the design phase across the K-12 curriculum.</t>
  </si>
  <si>
    <t>97–101</t>
  </si>
  <si>
    <t>9781450344524</t>
  </si>
  <si>
    <t>SIGITE '16</t>
  </si>
  <si>
    <t>visual thinking, software design, computational thinking</t>
  </si>
  <si>
    <t>Boston, Massachusetts, USA</t>
  </si>
  <si>
    <t>10.1145/3308557.3308676</t>
  </si>
  <si>
    <t>An exploratory study of augmented embodiment for computational thinking</t>
  </si>
  <si>
    <t>Chung, Cheng-Yu and Hsiao, I-Han</t>
  </si>
  <si>
    <t>Companion Proceedings of the 24th International Conference on Intelligent User Interfaces</t>
  </si>
  <si>
    <t>https://doi.org/10.1145/3308557.3308676</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</si>
  <si>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</si>
  <si>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37–38</t>
  </si>
  <si>
    <t>9781450366731</t>
  </si>
  <si>
    <t>IUI '19 Companion</t>
  </si>
  <si>
    <t>augmented reality, computer science education, embodied learning, mobile computing, multimodal interfaces</t>
  </si>
  <si>
    <t>Marina del Ray, California</t>
  </si>
  <si>
    <t>10.1145/3571884.3597136</t>
  </si>
  <si>
    <t>Towards Cross-Content Conversational Agents for Behaviour Change: Investigating Domain Independence and the Role of Lexical Features in Written Language Around Change</t>
  </si>
  <si>
    <t>Meyer, Selina and Elsweiler, David</t>
  </si>
  <si>
    <t>Proceedings of the 5th International Conference on Conversational User Interfaces</t>
  </si>
  <si>
    <t>https://doi.org/10.1145/3571884.3597136</t>
  </si>
  <si>
    <t>Valuable insights into an individual’s current thoughts and stance regarding behaviour change can be obtained by analysing the language they use, which can be conceptualized using Motivational Interviewing concepts. Training conversational agents (CAs) to detect and employ these concepts could help them provide more personalized and effective assistance. This study investigates the similarity of written language around behaviour change spanning diverse conversational and social contexts and change objectives. Drawing on previous research that applied MI concepts to texts about health behaviour change, we evaluate the performance of existing classifiers on six newly constructed datasets from diverse contexts. To gain insights in determining factors when identifying change language, we explore the impact of lexical features on classification. The results suggest that patterns of change language remain stable across contexts and domains, leading us to conclude that peer-to-peer online data may be sufficient to train CAs to understand user utterances related to behaviour change.</t>
  </si>
  <si>
    <t>9798400700149</t>
  </si>
  <si>
    <t>CUI '23</t>
  </si>
  <si>
    <t>NLU, behaviour change language, conversational contexts, transfer learning</t>
  </si>
  <si>
    <t>Eindhoven, Netherlands</t>
  </si>
  <si>
    <t>10.1145/3641554</t>
  </si>
  <si>
    <t>SIGCSETS 2025: Proceedings of the 56th ACM Technical Symposium on Computer Science Education V. 1</t>
  </si>
  <si>
    <t>10.1145/3268808.3268860</t>
  </si>
  <si>
    <t>Exploration of Outcome-Based Computational Thinking Education Programs for Teachers</t>
  </si>
  <si>
    <t>Xu, Yiyi and Liu, Pengfei and Tang, Peihe</t>
  </si>
  <si>
    <t>Proceedings of the 2nd International Conference on E-Society, E-Education and E-Technology</t>
  </si>
  <si>
    <t>https://doi.org/10.1145/3268808.3268860</t>
  </si>
  <si>
    <t>It is widely accepted that computer foundation course will benefit from the research and application of Computational Thinking in China. It is in fact that most research work in Computation Thinking have served for students but much less for teachers. College teachers in China took less systematic training in order to adequately prepare them for increasingly higher teaching requirements. To address this issue, this paper first proposes an outcomes-based teacher education program distinguished from CT principles under teaching and learning perspective, decomposed an abstract computational thinking idea into a definite coursework content. This paper then describe an outcomes-based evaluative frame which supports teachers to ensure a successful application of CT theories and concepts into practical skill development. Results from practice showed that the current research work is effective and widely accepted for which evidence is also provided.</t>
  </si>
  <si>
    <t>9781450365284</t>
  </si>
  <si>
    <t>ICSET 2018</t>
  </si>
  <si>
    <t>teacher education program, outcomes-based teaching and learning, Computational thinking</t>
  </si>
  <si>
    <t>Taipei, Taiwan</t>
  </si>
  <si>
    <t>10.1145/3207677.3277985</t>
  </si>
  <si>
    <t>CT-LSTM: Detection &amp;amp; Estimation Duplexed System for Robust Object Tracking</t>
  </si>
  <si>
    <t>Chen, Yehong</t>
  </si>
  <si>
    <t>Proceedings of the 2nd International Conference on Computer Science and Application Engineering</t>
  </si>
  <si>
    <t>https://doi.org/10.1145/3207677.3277985</t>
  </si>
  <si>
    <t>Visual1 tracking still is a very challenging problem due to complex appearance variations. Deep learning has become a new way to automatically dig features for object appearance modeling. Several recent tracking algorithms use deep models pre-trained on large-scale classification datasets, and are later transferred online for object tracking. In this paper, we aim to exploit a prediction model of target for location, scale, and posture along the video frames. This model is pre-trained by LSTM on different video sequences, and then fine-tuned during online tracking. We use a tracking by detection tracker CT as a component of our proposed duplexed system. Our proposed detection and estimation duplexed system combines the above two component models, which enhance each other for robustness. From our experiments, this double-tracker duplexed system can help itself recover from tracking drift and reset itself for longer-term tracking.</t>
  </si>
  <si>
    <t>9781450365123</t>
  </si>
  <si>
    <t>CSAE '18</t>
  </si>
  <si>
    <t>106</t>
  </si>
  <si>
    <t>object tracking, deep learning, LSTM</t>
  </si>
  <si>
    <t>Hohhot, China</t>
  </si>
  <si>
    <t>10.1145/3669947</t>
  </si>
  <si>
    <t>ICEDS '24: Proceedings of the 2024 5th International Conference on Education Development and Studies</t>
  </si>
  <si>
    <t>10.1145/2808006.2808033</t>
  </si>
  <si>
    <t>Students Want to Create Apps: Leveraging Computational Thinking to Teach Mobile Software Development</t>
  </si>
  <si>
    <t>Proceedings of the 16th Annual Conference on Information Technology Education</t>
  </si>
  <si>
    <t>https://doi.org/10.1145/2808006.2808033</t>
  </si>
  <si>
    <t xml:space="preserve">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 </t>
  </si>
  <si>
    <t>21–26</t>
  </si>
  <si>
    <t>9781450338356</t>
  </si>
  <si>
    <t>SIGITE '15</t>
  </si>
  <si>
    <t>summer school, mobile development, computational thinking</t>
  </si>
  <si>
    <t>Chicago, Illinois, USA</t>
  </si>
  <si>
    <t>10.1145/3411764.3445039</t>
  </si>
  <si>
    <t>StoryCoder: Teaching Computational Thinking Concepts Through Storytelling in a Voice-Guided App for Children</t>
  </si>
  <si>
    <t>Dietz, Griffin and Le, Jimmy K and Tamer, Nadin and Han, Jenny and Gweon, Hyowon and Murnane, Elizabeth L and Landay, James A.</t>
  </si>
  <si>
    <t>Proceedings of the 2021 CHI Conference on Human Factors in Computing Systems</t>
  </si>
  <si>
    <t>https://doi.org/10.1145/3411764.3445039</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</si>
  <si>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</si>
  <si>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9781450380966</t>
  </si>
  <si>
    <t>CHI '21</t>
  </si>
  <si>
    <t>54</t>
  </si>
  <si>
    <t>voice user interface, storytelling, computational thinking, children</t>
  </si>
  <si>
    <t>Yokohama, Japan</t>
  </si>
  <si>
    <t>10.1145/3012430.3012496</t>
  </si>
  <si>
    <t>Does computational thinking correlate with personality? the non-cognitive side of computational thinking</t>
  </si>
  <si>
    <t>Rom\'{a</t>
  </si>
  <si>
    <t>https://doi.org/10.1145/3012430.3012496</t>
  </si>
  <si>
    <t>Computational thinking (CT) is being considered as a key set of problem-solving skills to be acquired by the new generations of digital citizens and workers in order to thrive in a computer-based world. However, from a psychometric point of view, CT is still a poorly defined psychological construct: there is no full consensus on a formal definition of CT or how to measure it; and its correlations with other psychological constructs, whether cognitive or non-cognitive, have not been completely established. In response to the latter, this paper aims to study specifically the correlations between CT and the several dimensions from the 'Big Five' model of human personality: Conscientiousness, Openness to Experience, Extraversion, Agreeableness, and Neuroticism. To do so, the Computational Thinking Test (CTt) and the Big Five Questionnaire-Children version (BFQ-C) are administered on a sample (n = 99) of Spanish students from 5th to 10th grade. Results show statistically significant correlations between CT and: Openness to Experience (r = 0.41), Extraversion (r = 0.30), and Conscientiousness (r = 0.27). These results are partially consistent with the literature about the links between cognitive and personality variables, and corroborate the existence of a non-cognitive side of CT. Hence, educational interventions aimed at fostering CT should take into account these non-cognitive issues in order to be comprehensive and successful.</t>
  </si>
  <si>
    <t>51–58</t>
  </si>
  <si>
    <t>personality, educational psychology, computational thinking test, computational thinking, big five model, assessment</t>
  </si>
  <si>
    <t>10.1145/3287324.3287431</t>
  </si>
  <si>
    <t>PRADA: A Practical Model for Integrating Computational Thinking in K-12 Education</t>
  </si>
  <si>
    <t>Dong, Yihuan and Catete, Veronica and Jocius, Robin and Lytle, Nicholas and Barnes, Tiffany and Albert, Jennifer and Joshi, Deepti and Robinson, Richard and Andrews, Ashley</t>
  </si>
  <si>
    <t>https://doi.org/10.1145/3287324.3287431</t>
  </si>
  <si>
    <t>One way to increase access to education on computing is to integrate computational thinking (CT) into K12 disciplinary courses. However, this challenges teachers to both learn CT and decide how to best integrate CT into their classes. In this position paper, we present PRADA, an acronym for Pattern Recognition, Abstraction, Decomposition, and Algorithms, as a practical and understandable way of introducing the core ideas of CT to non-computing teachers. We piloted the PRADA model in two, separate, week-long professional development workshops designed for in-service middle and high school teachers and found that the PRADA model supported teachers in making connections between CT and their current course material. Initial findings, which emerged from the analysis of teacher-created learning materials, survey responses, and focus group interviews, indicate that the PRADA model supported core content teachers in successfully infusing CT into their existing curricula and increased their self-efficacy in CT integration.</t>
  </si>
  <si>
    <t>906–912</t>
  </si>
  <si>
    <t>professional development, computational thinking</t>
  </si>
  <si>
    <t>10.1145/3491102.3502091</t>
  </si>
  <si>
    <t>Family Learning Talk in AI Literacy Learning Activities</t>
  </si>
  <si>
    <t>Long, Duri and Teachey, Anthony and Magerko, Brian</t>
  </si>
  <si>
    <t>Proceedings of the 2022 CHI Conference on Human Factors in Computing Systems</t>
  </si>
  <si>
    <t>https://doi.org/10.1145/3491102.3502091</t>
  </si>
  <si>
    <t>The unique role that AI plays in making decisions that affect human lives creates a need to foster improved public understanding of AI systems. Informal learning spaces are particularly important contexts for fostering AI literacy, as they have the potential to reach a broader audience and provide spaces for children and parents to learn together. This paper explores 1) what types of dialogue family groups engage in when learning about AI in an at-home learning environment in order to inform our understanding of 2) how to design AI literacy activities for informal learning contexts. We present an analysis of family group dialogue surrounding three different AI education activities and use our findings to reflect on, update, and add to existing principles for designing AI literacy educational interventions.</t>
  </si>
  <si>
    <t>9781450391573</t>
  </si>
  <si>
    <t>CHI '22</t>
  </si>
  <si>
    <t>AI education, AI literacy, collaborative, embodied, family learning, informal learning, learning talk</t>
  </si>
  <si>
    <t>New Orleans, LA, USA</t>
  </si>
  <si>
    <t>10.1145/2591708.2591713</t>
  </si>
  <si>
    <t>Assessing computational learning in K-12</t>
  </si>
  <si>
    <t>Grover, Shuchi and Cooper, Stephen and Pea, Roy</t>
  </si>
  <si>
    <t>https://doi.org/10.1145/2591708.2591713</t>
  </si>
  <si>
    <t>As computing curricula continue to make their way into K-12 schools, the issue of assessing student learning of computational concepts remains a thorny one. This paper describes the multiple forms of assessments used in a 6-week middle school curriculum with the goal of capturing a holistic view of student learning. A key aspect of this research is the use of instruments developed and shared in prior research. Included among these were several questions used in an Israeli nationwide exam to test middle school student learning of programming in Scratch. This paper reports on the use of the curriculum in two studies conducted in a public US middle school classroom, and compares performances of these students with those reported by the Israeli Ministry of Education in their large-scale study. It also argues for multiple modes of assessment of computational learning in K-12 settings.</t>
  </si>
  <si>
    <t>57–62</t>
  </si>
  <si>
    <t>k-12 curriculum development., computing education, computer science education, computational thinking, assessment</t>
  </si>
  <si>
    <t>10.1145/3678726</t>
  </si>
  <si>
    <t>ICEMT '24: Proceedings of the 2024 8th International Conference on Education and Multimedia Technology</t>
  </si>
  <si>
    <t>10.1145/3626252</t>
  </si>
  <si>
    <t>SIGCSE 2024: Proceedings of the 55th ACM Technical Symposium on Computer Science Education V. 1</t>
  </si>
  <si>
    <t>10.1145/3491102.3517636</t>
  </si>
  <si>
    <t>ExposAR: Bringing Augmented Reality to the Computational Thinking Agenda through a Collaborative Authoring Tool</t>
  </si>
  <si>
    <t>Lunding, Mille Skovhus and Gr\o{</t>
  </si>
  <si>
    <t>https://doi.org/10.1145/3491102.3517636</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</si>
  <si>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</si>
  <si>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131</t>
  </si>
  <si>
    <t>Augmented reality, computational thinking, education, interactive learning system</t>
  </si>
  <si>
    <t>10.1145/2897845.2897895</t>
  </si>
  <si>
    <t>Attestation Transparency: Building secure Internet services for legacy clients</t>
  </si>
  <si>
    <t>Beekman, Jethro G. and Manferdelli, John L. and Wagner, David</t>
  </si>
  <si>
    <t>Proceedings of the 11th ACM on Asia Conference on Computer and Communications Security</t>
  </si>
  <si>
    <t>https://doi.org/10.1145/2897845.2897895</t>
  </si>
  <si>
    <t>Internet services can provide a wealth of functionality, yet their usage raises privacy, security and integrity concerns for users. This is caused by a lack of guarantees about what is happening on the server side. As a worst case scenario, the service might be subjected to an insider attack. We use remote attestation of the server to obtain guarantees about the programming of the service. On top of that, we augment Certificate Transparency to distribute information about which services exist and what they do. Combined, this creates a platform that allows legacy clients to obtain security guarantees about Internet services.</t>
  </si>
  <si>
    <t>687–698</t>
  </si>
  <si>
    <t>9781450342339</t>
  </si>
  <si>
    <t>ASIA CCS '16</t>
  </si>
  <si>
    <t>secure enclaves, remote attestation, cloud computing, certificate transparency</t>
  </si>
  <si>
    <t>Xi'an, China</t>
  </si>
  <si>
    <t>10.1145/3265757.3265764</t>
  </si>
  <si>
    <t>Assessment of modeling and simulation in secondary computing science education</t>
  </si>
  <si>
    <t>Grgurina, Natasa and Barendsen, Erik and Suhre, Cor and Zwaneveld, Bert and van Veen, Klaas</t>
  </si>
  <si>
    <t>https://doi.org/10.1145/3265757.3265764</t>
  </si>
  <si>
    <t>The introduction of the new computing science curriculum in the Netherlands in 2019 raises the need for new evidence-based teaching materials that include practical assignments and guidelines for their assessment. As a part of our research project on teaching Computational Science (modeling and simulation), we participate in these efforts and developed a curriculum intervention including a practical assignment and an accompanying assessment instrument consisting of grading rubrics based on the SOLO taxonomy. In this research paper we focus on the assessment instrument. We describe its development and report on a pilot study carried out in the secondary computing science course implementing the curriculum intervention. The instrument proved to be reliable and effective in tracing high and low levels of the students' achievements in modeling and simulation projects and exposed the expected differences in performance levels of various groups of students, which renders it useful for both formative and summative assessment. Furthermore, our application of the instrument has provided new insights into the needs of specific groups of students to receive instruction prior to and during the work on the assignments.</t>
  </si>
  <si>
    <t>secondary computing education, modeling and simulation, assessment, SOLO taxonomy</t>
  </si>
  <si>
    <t>10.1145/2851581.2851589</t>
  </si>
  <si>
    <t>Beyond the Lab: Using Technology Toys to Engage South African Youth in Computational Thinking</t>
  </si>
  <si>
    <t>Lin, Veronica and Shaer, Orit</t>
  </si>
  <si>
    <t>Proceedings of the 2016 CHI Conference Extended Abstracts on Human Factors in Computing Systems</t>
  </si>
  <si>
    <t>https://doi.org/10.1145/2851581.2851589</t>
  </si>
  <si>
    <t>We present a two-part case study to explore how technology toys can promote computational thinking for young children. First, we conducted a formal study using littleBits, a commercially available technology toy, to explore its potential as a learning tool for computational thinking in three different educational settings. Our findings revealed differences in learning indicators across settings. We applied these insights during a teaching project in Cape Town, South Africa, where we partnered with an educational NGO, ORT SA CAPE, to offer enriching learning opportunities for both privileged and impoverished children. We describe our methods, observations, and lessons learned using littleBits to teach computational thinking to children in early elementary school, and discuss how our lab study informed practical work in the developing world.</t>
  </si>
  <si>
    <t>655–661</t>
  </si>
  <si>
    <t>9781450340823</t>
  </si>
  <si>
    <t>CHI EA '16</t>
  </si>
  <si>
    <t>youth, tangible user interfaces., education, computational thinking, child-computer interaction</t>
  </si>
  <si>
    <t>San Jose, California, USA</t>
  </si>
  <si>
    <t>10.1145/3214354</t>
  </si>
  <si>
    <t>A new perspective on computational thinking</t>
  </si>
  <si>
    <t>Ya\c{s</t>
  </si>
  <si>
    <t>https://doi.org/10.1145/3214354</t>
  </si>
  <si>
    <t>Addressing its cognitive essence, universal value, and curricular practices.</t>
  </si>
  <si>
    <t>33–39</t>
  </si>
  <si>
    <t>July 2018</t>
  </si>
  <si>
    <t>10.1145/2485760.2485846</t>
  </si>
  <si>
    <t>The education arcade: crafting, remixing, and playing with controllers for Scratch games</t>
  </si>
  <si>
    <t>Davis, Richard and Kafai, Yasmin and Vasudevan, Veena and Lee, Eunkyoung</t>
  </si>
  <si>
    <t>Proceedings of the 12th International Conference on Interaction Design and Children</t>
  </si>
  <si>
    <t>https://doi.org/10.1145/2485760.2485846</t>
  </si>
  <si>
    <t>The recent development of low cost tangible construction kits has lowered the barriers to entry for amateur and youth hardware designers. In this paper, we discuss the outcomes of a pilot study in which middle school youths set up a game arcade by remixing Scratch games and crafting physical game controllers using the MaKey MaKey and Play-Doh. The analyses focused on the youths' designs and reflections on Scratch remixes, their game controllers, and the culminating arcade. Designing game controllers and setting up the arcade was a productive learning experience for the youths in which they were able to glean insights about how to improve their designs by watching younger students play their games. In the discussion we highlight the parts of the workshop that were most successful, address what we learned about the youths' experiences, develop suggestions for the design of future workshops, and discuss the significance of authentic audience designs.</t>
  </si>
  <si>
    <t>439–442</t>
  </si>
  <si>
    <t>9781450319188</t>
  </si>
  <si>
    <t>IDC '13</t>
  </si>
  <si>
    <t>tangibles, scratch, interface design, game design, arcade, MaKey MaKey</t>
  </si>
  <si>
    <t>New York, New York, USA</t>
  </si>
  <si>
    <t>10.1145/3675812</t>
  </si>
  <si>
    <t>ICDEL '24: Proceedings of the 2024 9th International Conference on Distance Education and Learning</t>
  </si>
  <si>
    <t>10.1145/3230977.3230979</t>
  </si>
  <si>
    <t>Decomposition: A K-8 Computational Thinking Learning Trajectory</t>
  </si>
  <si>
    <t>Rich, Kathryn M. and Binkowski, T. Andrew and Strickland, Carla and Franklin, Diana</t>
  </si>
  <si>
    <t>Proceedings of the 2018 ACM Conference on International Computing Education Research</t>
  </si>
  <si>
    <t>https://doi.org/10.1145/3230977.3230979</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</si>
  <si>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</si>
  <si>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124–132</t>
  </si>
  <si>
    <t>9781450356282</t>
  </si>
  <si>
    <t>ICER '18</t>
  </si>
  <si>
    <t>computational thinking, decomposition, k-8</t>
  </si>
  <si>
    <t>Espoo, Finland</t>
  </si>
  <si>
    <t>10.1109/TNET.2023.3262651</t>
  </si>
  <si>
    <t>A Longitudinal and Comprehensive Measurement of DNS Strict Privacy</t>
  </si>
  <si>
    <t>Li, Ruixuan and Jia, Xiaofeng and Zhang, Zhenyong and Shao, Jun and Lu, Rongxing and Lin, Jingqiang and Jia, Xiaoqi and Wei, Guiyi</t>
  </si>
  <si>
    <t>https://doi.org/10.1109/TNET.2023.3262651</t>
  </si>
  <si>
    <t>The DNS privacy protection mechanisms, DNS over TLS (DoT) and DNS over HTTPS (DoH), only work correctly if both the server and client support the Strict Privacy profile and no vulnerability exists in the implemented TLS/HTTPS. A natural question then arises: what is the landscape of DNS Strict Privacy? To this end, we provide the first longitudinal and comprehensive measurement of DoT/DoH deployments in recursive resolvers, authoritative servers, and browsers. With the collected data, we find the number of DoT/DoH servers increased substantially during our ten-month-long scan. However, around 60% of DoT and 44% of DoH recursive resolver certificates are invalid. Worryingly, our measurements confirm the centralization problem of DoT/DoH. Furthermore, we classify DNS Strict Privacy servers into four levels according to daily scanning results on TLS/HTTPS-related security features. Unfortunately, around 25% of DoH Strict Privacy recursive resolvers fail to meet the minimum level requirements. To help the Internet community better perceive the landscape of DNS Strict Privacy, we implement a DoT/DoH server search engine and recommender system. Additionally, we investigate five popular browsers across four operating systems and find some inconsistent behavior with their DNS privacy implementations. For example, Firefox in Windows, Linux, and Android allows DoH communication with the server without the SAN certificate. At last, we advocate that all participants head together for a bright DNS Strict Privacy landscape by discussing current hindrances and controversies in DNS privacy.</t>
  </si>
  <si>
    <t>2793–2808</t>
  </si>
  <si>
    <t>31</t>
  </si>
  <si>
    <t>Dec. 2023</t>
  </si>
  <si>
    <t>10.1145/2513456.2513484</t>
  </si>
  <si>
    <t>First year student performance in a test for computational thinking</t>
  </si>
  <si>
    <t>Gouws, Lindsey and Bradshaw, Karen and Wentworth, Peter</t>
  </si>
  <si>
    <t>Proceedings of the South African Institute for Computer Scientists and Information Technologists Conference</t>
  </si>
  <si>
    <t>https://doi.org/10.1145/2513456.2513484</t>
  </si>
  <si>
    <t>Computational thinking, a form of thinking and problem solving within computer science, has become a popular focus of research on computer science education. In this paper, we attempt to investigate the role that computational thinking plays in the experience of introductory computer science students at a South African university. To this end, we have designed and administered a test for computational thinking ability, and contrasted the results of this test with the class marks for the students involved. The results of this test give us an initial view of the abilities that students possess when entering the computer science course. The results indicate that students who performed well in the assessment have a favourable pass rate for their class tests, and specific areas of weakness have been identified. Finally, we describe the plan for a follow-up test to take place at the end of the course to determine how students' abilities have changed over a semester of studies.</t>
  </si>
  <si>
    <t>271–277</t>
  </si>
  <si>
    <t>9781450321129</t>
  </si>
  <si>
    <t>SAICSIT '13</t>
  </si>
  <si>
    <t>student evaluation, computer science education, computational thinking</t>
  </si>
  <si>
    <t>East London, South Africa</t>
  </si>
  <si>
    <t>10.1145/2858796.2858801</t>
  </si>
  <si>
    <t>New Horizons in the Assessment of Computer Science at School and Beyond: Leveraging on the ViVA Platform</t>
  </si>
  <si>
    <t>Giordano, Daniela and Maiorana, Francesco and Csizmadia, Andrew Paul and Marsden, Simon and Riedesel, Charles and Mishra, Shitanshu and Vinikienundefined, Lina</t>
  </si>
  <si>
    <t>Proceedings of the 2015 ITiCSE on Working Group Reports</t>
  </si>
  <si>
    <t>https://doi.org/10.1145/2858796.2858801</t>
  </si>
  <si>
    <t>A revolution is taking place across Europe and worldwide in how we teach our children about computing, in primary and secondary school. Out goes ICT and how to use Microsoft Office; in comes coding and computer science. Assessment has a crucial role to play in this revolution. If teachers use low-quality assessment instruments we will end-up teaching the wrong subject; and viceversa. This paper reviews the state of the field, and makes concrete, achievable proposals for developing shared, high quality assessments for computer science. Central to this proposal is the collaborative platform VIVA (the Vilnius collaboratively coded and Validated computer science questions/tasks for Assess- ment). Two requirements are key to VIVA: 1) support for multiple competency frameworks, so that the contributors can meta-tag resources with respect to the framework they are most familiar with; and 2) support for crowdsourcing the validation of each question/task and its mapping to competencies. The use of a taxonomy of questions/tasks type that has been mapped to computational thinking concepts and to a competency framework is proposed. Some seed questions are already available in the online platform prototype, and various supporters have granted permission to use large questions banks. The design requirements of a full implementation of the VIVA platform for a modern and effective approach to assessment including support for digital badges, are outlined; and some preliminary results from a survey administered to the initial contributors to VIVA are presented.</t>
  </si>
  <si>
    <t>117–147</t>
  </si>
  <si>
    <t>9781450341462</t>
  </si>
  <si>
    <t>ITICSE-WGR '15</t>
  </si>
  <si>
    <t>repositories, questions, open badges, metadata, lifelong learning, learning progression, crowdsourcing, computational thinking, competency frameworks, assessment, activities</t>
  </si>
  <si>
    <t>Vilnius, Lithuania</t>
  </si>
  <si>
    <t>10.5555/1402744.1402753</t>
  </si>
  <si>
    <t>Colored trails: a multiagent system testbed for decision-making research</t>
  </si>
  <si>
    <t>Ficici, Sevan G. and Pfeffer, Avi and Gal, Ya'akov and Grosz, Barbara and Shieber, Stuart</t>
  </si>
  <si>
    <t>2008</t>
  </si>
  <si>
    <t>Proceedings of the 7th International Joint Conference on Autonomous Agents and Multiagent Systems: Demo Papers</t>
  </si>
  <si>
    <t>International Foundation for Autonomous Agents and Multiagent Systems</t>
  </si>
  <si>
    <t>With increasing frequency, computer agents participate in collaborative and competitive multiagent domains in which humans reason strategically to make decisions. The deployment of computer agents in such domains requires that the agents understand something about human behavior so that they can interact successfully with people; the computer agents must be sensitive to how people reason in strategic settings as well as to the social utilities people employ to inform their reasoning. To date, these design requirements for computer agents have received relatively little attention. To further research in this area, we are developing the Colored Trails (CT) testbed [5], a configurable and extensible open-source system for use by the research community at large to investigate multiagent decision making.</t>
  </si>
  <si>
    <t>Richland, SC</t>
  </si>
  <si>
    <t>1661–1662</t>
  </si>
  <si>
    <t>AAMAS '08</t>
  </si>
  <si>
    <t>reasoning, negotiation, multiagent testbed, human models</t>
  </si>
  <si>
    <t>Estoril, Portugal</t>
  </si>
  <si>
    <t>10.1145/3460863</t>
  </si>
  <si>
    <t>A Competency Model for Undergraduate Programs in Information Systems</t>
  </si>
  <si>
    <t>The Joint ACM/AIS IS2020 Task Force and Leidig, Paul and Salmela, Hannu</t>
  </si>
  <si>
    <t>9781450384643</t>
  </si>
  <si>
    <t>10.1145/3677619</t>
  </si>
  <si>
    <t>WiPSCE '24: Proceedings of the 19th WiPSCE Conference on Primary and Secondary Computing Education Research</t>
  </si>
  <si>
    <t>10.5555/2820126.2820137</t>
  </si>
  <si>
    <t>Cyber-physical systems design: formal foundations, methods and integrated tool chains</t>
  </si>
  <si>
    <t>Fitzgerald, John and Gamble, Carl and Larsen, Peter Gorm and Pierce, Kenneth and Woodcock, Jim</t>
  </si>
  <si>
    <t>Proceedings of the Third FME Workshop on Formal Methods in Software Engineering</t>
  </si>
  <si>
    <t>The engineering of dependable cyber-physical systems (CPSs) is inherently collaborative, demanding cooperation between diverse disciplines. A goal of current research is the development of integrated tool chains for model-based CPS design that support co-modelling, analysis, co-simulation, testing and implementation. We discuss the role of formal methods in addressing three key aspects of this goal: providing reasoning support for semantically heterogeneous models, managing the complexity and scale of design space exploration, and supporting traceability and provenance in the CPS design set. We briefly outline an approach to the development of such a tool chain based on existing tools and discuss ongoing challenges and open research questions in this area.</t>
  </si>
  <si>
    <t>40–46</t>
  </si>
  <si>
    <t>Formalise '15</t>
  </si>
  <si>
    <t>Florence, Italy</t>
  </si>
  <si>
    <t>10.1145/3593663</t>
  </si>
  <si>
    <t>ECSEE '23: Proceedings of the 5th European Conference on Software Engineering Education</t>
  </si>
  <si>
    <t>10.1145/1822090.1822126</t>
  </si>
  <si>
    <t>A framework for computational thinking across the curriculum</t>
  </si>
  <si>
    <t>Perkovi\'{c</t>
  </si>
  <si>
    <t>2010</t>
  </si>
  <si>
    <t>Proceedings of the Fifteenth Annual Conference on Innovation and Technology in Computer Science Education</t>
  </si>
  <si>
    <t>https://doi.org/10.1145/1822090.1822126</t>
  </si>
  <si>
    <t>We describe a framework for implementing computational thinking in a broad variety of general education courses. The framework is designed to be used by faculty without formal training in information technology in order to understand and integrate computational thinking into their own general education courses. The framework includes examples of computational thinking in a variety of general education courses, as well as sample in-class activities, assignments, and other assessments for the courses. The examples in the different courses are related and differentiated using categories taken from Denning Great Principles of Computing, so that similar types of computational thinking appearing in different contexts are brought together. This aids understanding of the computational thinking found in the courses and provides a template for future work on new course materials. Specific examples of computational thinking in the design category are provided in the context of three distinct courses.</t>
  </si>
  <si>
    <t>123–127</t>
  </si>
  <si>
    <t>9781605588209</t>
  </si>
  <si>
    <t>ITiCSE '10</t>
  </si>
  <si>
    <t>great principles of computing, general education, computational thinking</t>
  </si>
  <si>
    <t>Bilkent, Ankara, Turkey</t>
  </si>
  <si>
    <t>10.1145/3702163</t>
  </si>
  <si>
    <t>ICETC '24: Proceedings of the 2024 16th International Conference on Education Technology and Computers</t>
  </si>
  <si>
    <t>10.1145/3615430</t>
  </si>
  <si>
    <t>FLC '23: Proceedings of FabLearn / Constructionism 2023: Full and Short Research Papers</t>
  </si>
  <si>
    <t>10.1145/3594781</t>
  </si>
  <si>
    <t>LDT '23: Proceedings of the 2023 Symposium on Learning, Design and Technology</t>
  </si>
  <si>
    <t>10.1145/3585088</t>
  </si>
  <si>
    <t>IDC '23: Proceedings of the 22nd Annual ACM Interaction Design and Children Conference</t>
  </si>
  <si>
    <t>10.1145/3653666</t>
  </si>
  <si>
    <t>RESPECT 2024: Proceedings of the 2024 on RESPECT Annual Conference</t>
  </si>
  <si>
    <t>Welcome to RESPECT 2024! The Conference on Research in Equity and Sustained Participation in Engineering, Computing, and Technology is the premier venue for research on equity, inclusion, and justice in computing and computing education. This volume contains the papers presented at RESPECT 2024, the ninth edition of this conference, held on May 16-17, 2024 at the Georgia Tech Conference Center and Hotel in Atlanta, Georgia.As researchers, especially those of us focused on equity, freedom, and justice, our job is to give language to and make meaning of the joy, trauma, and unwavering spirit of the most vulnerable and marginalized among us. We don't do this simply to shed light but to influence change. We stand when others are forced to sit and speak when others are silenced. For many of us, the past several years have rendered our usual tools ineffective, and often we find ourselves seated, scared to stand, and essentially silenced as we search for new language to describe old problems. We increasingly, and rightfully, feel frustrate... powerles... angry. Unfortunately, we sometimes allow these feelings to lead us to inaction. However, as the Black feminist scholar Audre Lorde wrote in her masterpiece, Sister Outsider, anger, directed in productive ways, can be transformative.</t>
  </si>
  <si>
    <t>10.1145/3756580</t>
  </si>
  <si>
    <t>ICEKIM '25: Proceedings of the 2025 6th International Conference on Education, Knowledge and Information Management</t>
  </si>
  <si>
    <t>10.1145/3605468</t>
  </si>
  <si>
    <t>WiPSCE '23: Proceedings of the 18th WiPSCE Conference on Primary and Secondary Computing Education Research</t>
  </si>
  <si>
    <t>10.5555/1402821.1402908</t>
  </si>
  <si>
    <t>How automated agents treat humans and other automated agents in situations of inequity: an experimental study</t>
  </si>
  <si>
    <t>Katz, Ron and Kraus, Sarit</t>
  </si>
  <si>
    <t>Proceedings of the 7th International Joint Conference on Autonomous Agents and Multiagent Systems - Volume 3</t>
  </si>
  <si>
    <t>This paper explores the question of how agent designers perceive and treat their agent's opponents. In particular, it examines the influence of the opponent's identity (human vs. automated agent) in negotiations. We empirically demonstrate that when people interact spontaneously they treat human opponents differently than automated agents in the context of equity and fairness considerations. However, these difference vanish when people design and implement agents that will interact on their behalf. Nevertheless, the commitment of the agents to honor agreements with people is higher than their commitment to other agents. In the experiments, which comprised 147 computer science students, we used the Colored Trails game as the negotiation environment. We suggest possible explanations for the relationships among online players, agent designers, human opponents and automated opponents.</t>
  </si>
  <si>
    <t>1497–1500</t>
  </si>
  <si>
    <t>9780981738123</t>
  </si>
  <si>
    <t>human-agent interaction, automated negotiators</t>
  </si>
  <si>
    <t>10.1145/3746175</t>
  </si>
  <si>
    <t>ECCE '25: Proceedings of the 36th Annual Conference of the European Association of Cognitive Ergonomics</t>
  </si>
  <si>
    <t>9798400720338</t>
  </si>
  <si>
    <t>10.1145/2660267.2660311</t>
  </si>
  <si>
    <t>Hey, NSA: Stay Away from my Market! Future Proofing App Markets against Powerful Attackers</t>
  </si>
  <si>
    <t>Fahl, Sascha and Dechand, Sergej and Perl, Henning and Fischer, Felix and Smrcek, Jaromir and Smith, Matthew</t>
  </si>
  <si>
    <t>Proceedings of the 2014 ACM SIGSAC Conference on Computer and Communications Security</t>
  </si>
  <si>
    <t>https://doi.org/10.1145/2660267.2660311</t>
  </si>
  <si>
    <t>Mobile devices are evolving as the dominant computing platform and consequently application repositories and app markets are becoming the prevalent paradigm for deploying software. Due to their central and trusted position in the software ecosystem, coerced, hacked or malicious app markets pose a serious threat to user security. Currently, there is little that hinders a nation state adversary (NSA) or other powerful attackers from using such central and trusted points of software distribution to deploy customized (malicious) versions of apps to specific users. Due to intransparencies in the current app installation paradigm, this kind of attack is extremely hard to detect.In this paper, we evaluate the risks and drawbacks of current app deployment in the face of powerful attackers. We assess the app signing practices of 97% of all free Google Play apps and find that the current practices make targeted attacks unnecessarily easy and almost impossible to detect for users and app developers alike. We show that high profile Android apps employ intransparent and unaccountable strategies when they publish apps to (multiple) alternative markets. We then present and evaluate Application Transparency (AT), a new framework that can defend against ``targeted-and-stealthy'' attacks, mount by malicious markets. We deployed AT in the wild and conducted an extensive field study in which we analyzed app installations on 253,819 real world Android devices that participate in a popular anti-virus app's telemetry program. We find that AT can effectively protect users against malicious targeted attack apps and furthermore adds transparency and accountability to the current intransparent signing and packaging strategies employed by many app developers.</t>
  </si>
  <si>
    <t>1143–1155</t>
  </si>
  <si>
    <t>9781450329576</t>
  </si>
  <si>
    <t>CCS '14</t>
  </si>
  <si>
    <t>transparency, security, nsa, market, apps, android</t>
  </si>
  <si>
    <t>Scottsdale, Arizona, USA</t>
  </si>
  <si>
    <t>10.1145/3547522</t>
  </si>
  <si>
    <t>NordiCHI '22 Adjunct: Adjunct Proceedings of the 2022 Nordic Human-Computer Interaction Conference</t>
  </si>
  <si>
    <t>10.1145/3713043</t>
  </si>
  <si>
    <t>IDC '25: Proceedings of the 24th Interaction Design and Children</t>
  </si>
  <si>
    <t>10.1145/3568739</t>
  </si>
  <si>
    <t>ICDTE '22: Proceedings of the 6th International Conference on Digital Technology in Education</t>
  </si>
  <si>
    <t>10.1145/3582580</t>
  </si>
  <si>
    <t>ICETM '22: Proceedings of the 2022 5th International Conference on Education Technology Management</t>
  </si>
  <si>
    <t>10.1145/3706468</t>
  </si>
  <si>
    <t>LAK '25: Proceedings of the 15th International Learning Analytics and Knowledge Conference</t>
  </si>
  <si>
    <t>10.1145/3744367</t>
  </si>
  <si>
    <t>ICAIES '25: Proceedings of the 2025 International Conference on Artificial Intelligence and Educational Systems</t>
  </si>
  <si>
    <t>10.1145/1082473.1082532</t>
  </si>
  <si>
    <t>Adapting to agents' personalities in negotiation</t>
  </si>
  <si>
    <t>Talman, Shavit and Hadad, Meirav and Gal, Ya'akov and Kraus, Sarit</t>
  </si>
  <si>
    <t>2005</t>
  </si>
  <si>
    <t>Proceedings of the Fourth International Joint Conference on Autonomous Agents and Multiagent Systems</t>
  </si>
  <si>
    <t>https://doi.org/10.1145/1082473.1082532</t>
  </si>
  <si>
    <t>To establish cooperative relationships, agents must be willing to engage in helpful behavior and to keep their commitments to other agents. However, in uncertain and dynamic environments, it is difficult to identify the degree of helpfulness of other agents. This paper describes a model in which agents' helpfulness is characterized in terms of cooperation and reliability. An agent chooses an action based on its estimate of others' degree of helpfulness given the dependency relationships that hold between the agent and others. This model was evaluated in a negotiation game in which players needed to exchange resources to reach their goals, but did not have information about each others' resources. Results showed that agents using the model could identify and adapt to others' varying degree of helpfulness even while the other agents were constantly changing their strategy. Moreover, agents that varied their degree of helpfulness depending on their estimate of others' helpfulness outperformed agents who did not, as well as increased the social welfare of the group.</t>
  </si>
  <si>
    <t>383–389</t>
  </si>
  <si>
    <t>1595930930</t>
  </si>
  <si>
    <t>AAMAS '05</t>
  </si>
  <si>
    <t>social decision-making, opponent modeling, negotiation, game formalisms</t>
  </si>
  <si>
    <t>The Netherlands</t>
  </si>
  <si>
    <t>10.1145/3613905</t>
  </si>
  <si>
    <t>CHI EA '24: Extended Abstracts of the CHI Conference on Human Factors in Computing Systems</t>
  </si>
  <si>
    <t>10.1145/3707127</t>
  </si>
  <si>
    <t>ICBBE '24: Proceedings of the 2024 11th International Conference on Biomedical and Bioinformatics Engineering</t>
  </si>
  <si>
    <t>9798400718274</t>
  </si>
  <si>
    <t>10.1145/3571884</t>
  </si>
  <si>
    <t>CUI '23: Proceedings of the 5th International Conference on Conversational User Interfaces</t>
  </si>
  <si>
    <t>10.1145/3613904</t>
  </si>
  <si>
    <t>CHI '24: Proceedings of the 2024 CHI Conference on Human Factors in Computing Systems</t>
  </si>
  <si>
    <t>10.1145/3656650</t>
  </si>
  <si>
    <t>AVI '24: Proceedings of the 2024 International Conference on Advanced Visual Interfaces</t>
  </si>
  <si>
    <t>AVI 2024 is the 17th edition of the International Conference on Advanced Visual Interfaces, held in Arenzano, Genoa (IT), in cooperation with ACM, ACM SIGCHI, ACM SIGMM, and ACM SIGWEB.Every two years since 1992, AVI has gathered a vast international community of experts with a wide range of backgrounds. Throughout three decades, AVI has gained and holds a prestigious position among International HCI conferences, boasting a dedicated nucleus of returning participants, but also providing a venue for young researchers to show their achievements and establish contacts with senior community members.AVI 2024 presents a broad and sound scientific program covering traditional AVI topics on information and data visualization, interaction with multimodal user interfaces, augmented and virtual reality, while also addressing emerging topics including the application of generative artificial intelligence in HCI design and evaluation.The program features the presentation of 21 long research papers and 28 short papers selected through a rigorous double-blind reviewing process and organized into sessions on 13 main topics. Furthermore, it includes the presentation of 48 poster papers, 9 demo papers, and 11 doctoral consortium papers, selected through a single-blind reviewing process. Finally, the rich and vibrant program includes 3 keynote talks, 3 tutorials, and 10 workshops addressing some of the most exciting issues in HCI.Submissions to AVI 2024 came from 34 different countries distributed in descending order in Europe, Asia, North America, South America, and Africa.</t>
  </si>
  <si>
    <t>10.1145/3681716</t>
  </si>
  <si>
    <t>Mindtrek '24: Proceedings of the 27th International Academic Mindtrek Conference</t>
  </si>
  <si>
    <t>10.1145/3663548</t>
  </si>
  <si>
    <t>ASSETS '24: Proceedings of the 26th International ACM SIGACCESS Conference on Computers and Accessibility</t>
  </si>
  <si>
    <t>10.1145/3544548</t>
  </si>
  <si>
    <t>CHI '23: Proceedings of the 2023 CHI Conference on Human Factors in Computing Systems</t>
  </si>
  <si>
    <t>10.1145/3650200</t>
  </si>
  <si>
    <t>ICS '24: Proceedings of the 38th ACM International Conference on Supercomputing</t>
  </si>
  <si>
    <t>10.1145/253168.253206</t>
  </si>
  <si>
    <t>An experimental study of factors important in document ranking</t>
  </si>
  <si>
    <t>Harman, Donna Williamson</t>
  </si>
  <si>
    <t>1986</t>
  </si>
  <si>
    <t>Proceedings of the 9th Annual International ACM SIGIR Conference on Research and Development in Information Retrieval</t>
  </si>
  <si>
    <t>https://doi.org/10.1145/253168.253206</t>
  </si>
  <si>
    <t>The ability to effectively rank retrieved documents in order of their probable relevance to a query is a critical factor in statistically-based keyword retrieval systems. This paper summarizes a set of experiments with different methods of term weighting for documents, using measures of term importance within an entire document collection, term importance within a given document, and document length. It is shown that significant improvements over no term weighting can be made using a combination of weighting measures and normalizing for document length.</t>
  </si>
  <si>
    <t>186–193</t>
  </si>
  <si>
    <t>0897911873</t>
  </si>
  <si>
    <t>SIGIR '86</t>
  </si>
  <si>
    <t>Palazzo dei Congressi, Pisa, Italy</t>
  </si>
  <si>
    <t>10.1145/3411764</t>
  </si>
  <si>
    <t>CHI '21: Proceedings of the 2021 CHI Conference on Human Factors in Computing Systems</t>
  </si>
  <si>
    <t>10.5555/3635637</t>
  </si>
  <si>
    <t>AAMAS '24: Proceedings of the 23rd International Conference on Autonomous Agents and Multiagent Systems</t>
  </si>
  <si>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</si>
  <si>
    <t>9798400704864</t>
  </si>
  <si>
    <t>Auckland, New Zealand</t>
  </si>
  <si>
    <t>Matching with evaluation papers</t>
  </si>
  <si>
    <t>Column w</t>
  </si>
  <si>
    <t>intervention</t>
  </si>
  <si>
    <t>10.1145/3605468.3609770</t>
  </si>
  <si>
    <t>Making the Transition to Text-Based Programming: The Pilot Evaluation of a Computational Thinking Intervention for Primary School Students</t>
  </si>
  <si>
    <t>Kunz, Katrin and Moeller, Korbinian and Ninaus, Manuel and Trautwein, Ulrich and Tsarava, Katerina</t>
  </si>
  <si>
    <t>https://doi.org/10.1145/3605468.3609770</t>
  </si>
  <si>
    <t>Programming and computational thinking (CT) have become important topics in elementary education and are being implemented by national curricula, extracurricular programs, and informal learning environments. Most related research and implementation is mainly focused on block-based programming (BBP). However, BBP can lead to bad programming habits and a later transition to text-based programming (TBP) has been shown to be difficult for students, as they can lose confidence and motivation. Thus, we developed a course to facilitate the transition from BBP to TBP and foster CT while also promoting motivation and students’ programming-related self-concept. We considered data from 27 fourth-grade students aged 9 to 10, who participated in the course as part of an extracurricular enrichment program. In a pre-/post-test design, we assessed CT and its cognitive correlates such as non-verbal visuospatial reasoning, verbal reasoning, arithmetic competencies as well as the student’s motivation and attitude towards programming. Results indicated improved students’ CT, arithmetic, and non-verbal visuospatial reasoning. Furthermore, the transition to TBP did not significantly reduce students’ motivation for programming. Taken together, these findings indicate that the developed intervention may be helpful to facilitate the transition from BBP to TBP while keeping the students motivated and fostering CT.</t>
  </si>
  <si>
    <t>Python, block-based programming, computational thinking, elementary school age, hybrid programming, text-based programming, transition</t>
  </si>
  <si>
    <t>10.1145/3670013.3670027</t>
  </si>
  <si>
    <t>The Construction and Application of A Blended Contextual Teaching Model for Computational Thinking Development</t>
  </si>
  <si>
    <t>Yang, Hairu and Shao, Yanru and Liu, Yuqi and Dong, Jiamin and Li, Qiuhong and Chen, Yipan</t>
  </si>
  <si>
    <t>Proceedings of the 2024 15th International Conference on E-Education, E-Business, E-Management and E-Learning</t>
  </si>
  <si>
    <t>https://doi.org/10.1145/3670013.3670027</t>
  </si>
  <si>
    <t>Computational thinking has become one of the key literacies necessary for talents in the digital and intelligent era of the 21st century. In the current educational environment, the content of the curriculum that is detached from reality and the fragmented knowledge have brought great difficulties to the cultivation of students' computational thinking ability. Contextual teaching can connect knowledge with reality. Through the e-learning platform combined with real-life scenarios to build a specific real situation, which can drive students to carry out rich thinking activities. Therefore, this study designed a blended contextual teaching model for the development of computational thinking based on contextual learning theory and constructivist learning theory. It was applied to the teaching of high school information technology courses, and the effectiveness of the model was verified by investigating and analyzing whether there were changes in students' academic performance and computational thinking ability under the blended contextual teaching model through the questionnaire survey method and the experimental research method. The results of the study show that the application of the model can effectively improve students' academic performance and computational thinking ability, which provides an effective reference and reference for future educational teaching practice.</t>
  </si>
  <si>
    <t>99–106</t>
  </si>
  <si>
    <t>9798400717062</t>
  </si>
  <si>
    <t>IC4E '24</t>
  </si>
  <si>
    <t>Blended learning, Computational thinking, Information technology, Situated teaching model</t>
  </si>
  <si>
    <t>Fukuoka-shi, Japan</t>
  </si>
  <si>
    <t>10.1145/3408877.3439639</t>
  </si>
  <si>
    <t>Preparing Teachers for Computational Thinking Integration in K-12: A Meta-Aggregation</t>
  </si>
  <si>
    <t>Caskurlu, Secil and Yadav, Aman and Santo, Rafi</t>
  </si>
  <si>
    <t>https://doi.org/10.1145/3408877.3439639</t>
  </si>
  <si>
    <t>In this poster, we will present the initial results of a meta-aggregation study that synthesizes qualitative evidence to identify the charac- teristics of effective in-service teacher professional development programs (TPD) around computational thinking (CT) integration in K-12. In addition, we will discuss the importance of these char- acteristics in supporting teachers. We identified four synthesized findings representing the key characteristics of effective TPDs for CT integration in K-12 (e.g., improving teacher capacity in CT in- tegration, creating meaningful learning experiences, establishing research-practice partnership, and providing continuous and sus- tainable support).</t>
  </si>
  <si>
    <t>1317</t>
  </si>
  <si>
    <t>teacher professional development, k-12, computational thinking</t>
  </si>
  <si>
    <t>10.1145/3545945.3569737</t>
  </si>
  <si>
    <t>The Role of Spatial Orientation in Diagram Design for Computational Thinking Development in K-8 Teachers</t>
  </si>
  <si>
    <t>Salac, Jean and Eatinger, Donna and Franklin, Diana</t>
  </si>
  <si>
    <t>https://doi.org/10.1145/3545945.3569737</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</si>
  <si>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</si>
  <si>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917–923</t>
  </si>
  <si>
    <t>computational thinking, diagrams, k-8, spatial reasoning, teacher professional development, tpack</t>
  </si>
  <si>
    <t>10.1145/3408877.3432379</t>
  </si>
  <si>
    <t>Diverse Approaches to School-wide Computational Thinking Integration at the Elementary Grades: A Cross-case Analysis</t>
  </si>
  <si>
    <t>Sherwood, Heather and Yan, Wei and Liu, Ruohan and Martin, Wendy and Adair, Alexandra and Fancsali, Cheri and Rivera-Cash, Edgar and Pierce, Melissa and Israel, Maya</t>
  </si>
  <si>
    <t>https://doi.org/10.1145/3408877.3432379</t>
  </si>
  <si>
    <t>Elementary schools throughout the United States are attempting to integrate computational thinking (CT) into their instruction, often without guidance from research about effective approaches for achieving particular CT goals. This cross-case study investigated the school-wide integration of CT in three elementary schools in a large urban school district in the Northeast that has a district-led CS for All initiative. Data included interviews with teachers, professional development providers, and school administrators as well as surveys from teachers and classroom observations in each participating school. Findings revealed three distinct approaches to integration: (a) single teacher leader-driven model, (b) scaffolded professional development model, and (c) intensive coaching model. These approaches reflect the visions set by administrators and teachers, methods used by professional development providers, and cultures of each school. Across the case studies, common pedagogical approaches included strategic use of both unplugged and plugged activities with a range of computational tools, a focus on collaborative project-based learning, and the use of CT-specific academic language to anchor new CT learning within the academic disciplines. The study highlighted advantages and challenges within each integration approach with implications for schools considering CT integration.</t>
  </si>
  <si>
    <t>253–259</t>
  </si>
  <si>
    <t>integration, elementary education, computational thinking, case study</t>
  </si>
  <si>
    <t>10.1145/3724389.3730779</t>
  </si>
  <si>
    <t>Bringing Computational Thinking Schoolwide: A Framework for Supporting Cross-Curricular Integration</t>
  </si>
  <si>
    <t>Sherwood, Heather and Kaiser, Alice and Moeller, Babette and Fancsali, Cheri</t>
  </si>
  <si>
    <t>Proceedings of the 30th ACM Conference on Innovation and Technology in Computer Science Education V. 2</t>
  </si>
  <si>
    <t>https://doi.org/10.1145/3724389.3730779</t>
  </si>
  <si>
    <t>A key challenge that is recognized globally in computing education is how to provide access to computer science (CS) and computational thinking (CT) education for all students. Despite the importance of CS/CT education, access to high-quality CS/CT education is often not equally distributed due to a number of factors. A promising approach to reaching all students, is to integrate CS/CT on a schoolwide basis across multiple subject areas and grade levels [1, 2, 3]. Achieving schoolwide integration requires an aligned effort and educators often are not provided with guidance about how to make this systemic change. To address this, researchers developed the CT Integration Framework (The Framework), a self-assessment and planning tool that helps educators identify the core elements that drive CT integration, determine their school's readiness, and set and monitor progress toward their goals. In this poster, we will present research on three case models highlighting The Framework and how it was used in guiding the implementation efforts for schools located in rural and urban districts in the United States of America. This poster will describe: 1. The methods and participant sample; 2. The Framework and how it was implemented; 3. the similarities and differences in the experiences of schools in different case models; and 4. the implications of our findings and recommendations for how schools can use The Framework for supporting integration efforts in the future.</t>
  </si>
  <si>
    <t>781</t>
  </si>
  <si>
    <t>9798400715693</t>
  </si>
  <si>
    <t>case study, computational thinking, schoolwide integration</t>
  </si>
  <si>
    <t>10.1145/3724389.3730802</t>
  </si>
  <si>
    <t>Fostering Computational Thinking in Elementary Mathematics Instruction and Learning with the Support of Large Language Models</t>
  </si>
  <si>
    <t>Ylagan, Emma S. and Parekh, Heena P. and Das, Malisha and Dahshan, Mai</t>
  </si>
  <si>
    <t>https://doi.org/10.1145/3724389.3730802</t>
  </si>
  <si>
    <t>Computational thinking (CT) integration in elementary mathematics engages young learners in the decomposition of complex problems and the construction of iterative approaches to mathematical thinking. To effectively integrate MATH+CT, we need to build teachers' capacity in developing knowledge of CT concepts and creating Math+CT activities. This can positively influence students' mathematical outcomes and their readiness for computer science (CS) in middle and high school. Although various professional development programs aim to build teachers' CT knowledge, limited research exists on how teachers apply this knowledge to classroom-based Math+CT activities. Simultaneously, the rapid improvement of large Language Models (LLMs) creates a catalyst for building an innovative resource space to support elementary teachers' integration of MATH+CT in their existing school or district curriculum. In this poster, we present a tool that leverages LLMs to support teachers in creating Scratch programs designed to explore and deepen students' understanding of mathematical concepts.</t>
  </si>
  <si>
    <t>794</t>
  </si>
  <si>
    <t>computational thinking, curriculum development, early childhood education, large language models, mathematics education, pk-12 cs education, professional development</t>
  </si>
  <si>
    <t>10.1145/3328778.3366797</t>
  </si>
  <si>
    <t>Code, Connect, Create: The 3C Professional Development Model to Support Computational Thinking Infusion</t>
  </si>
  <si>
    <t>Jocius, Robin and Joshi, Deepti and Dong, Yihuan and Robinson, Richard and Catet\'{e</t>
  </si>
  <si>
    <t>https://doi.org/10.1145/3328778.3366797</t>
  </si>
  <si>
    <t>Despite the increasing attention to infusing CT into middle and high school content area classrooms, there is a lack of information about the most effective practices and models to support teachers in their efforts to integrate disciplinary content and CT principles. To address this need, this paper proposes the Code, Connect and Create (3C) professional development (PD) model, which was designed to support middle and high school content area teachers in infusing computational thinking into their classrooms. To evaluate the model, we analyzed quantitative and qualitative data collected from Infusing Computing PD workshops designed for in-service science, math, English language arts, and social studies teachers located in two Southeastern states. Drawing on findings from our analysis of teacher-created learning segments, surveys, and interviews, we argue that the 3C professional development model supported shifts in teacher understandings of the role of computational thinking in content area classrooms, as well as their self-efficacy and beliefs regarding CT integration into disciplinary content. We conclude by offering implications for the use of this model to increase teacher and student access to computational thinking practices in middle and high school classrooms.</t>
  </si>
  <si>
    <t>971–977</t>
  </si>
  <si>
    <t>teacher education, professional development, k-12 computing, computational thinking</t>
  </si>
  <si>
    <t>10.1145/3626253.3635586</t>
  </si>
  <si>
    <t>Computational Thinking in STEM Teaching: Preservice Teachers' Conceptualizations and Practices</t>
  </si>
  <si>
    <t>Wei, Wei and Ha, Jesse and Gomez, Kimberley and Ghosh, Anuradha</t>
  </si>
  <si>
    <t>https://doi.org/10.1145/3626253.3635586</t>
  </si>
  <si>
    <t>Within a two-year urban teacher residency program at [University], which focuses on training high school teachers to incorporate computational thinking (CT) into STEM education with an emphasis on equity, this study delves into how these preservice teaching residents (TRs) understood and applied CT in high school STEM settings. Based on our initial thematic content analysis of ten 30-minute artifact-based interviews, teachers' understanding and application of CT could be categorized in two ways: 1) One group of teachers showcased clear, explicit knowledge of CT and actively incorporated it into their instruction; 2) Another group, despite their evident understanding of CT, subtly and implicitly integrated CT into their teaching methods. Our findings suggest that while TRs may differ in whether they explicitly or implicitly integrated CT into their lesson plans, their comments suggest that they have foundational understandings and hold values that suggest they can build upon them. The TRs held definitional understandings of CT and had intentions to design and teach with CT integration, explicitly, or more commonly, implicitly. All of the TRs recognized opportunities in their lesson plans for teaching CT to students, which suggests the potential for more explicit integration in the future. These insights guide our subsequent efforts in teacher training, ensuring educators are equipped to weave CT into STEM lessons. Our findings contribute to a growing body of work that seeks to build strong preservice teaching practices, as they learn to translate CT knowledge into effective teaching practices while working towards higher levels of CT integration.</t>
  </si>
  <si>
    <t>1848–1850</t>
  </si>
  <si>
    <t>computational thinking, equity, preservice teachers, stem, teacher education</t>
  </si>
  <si>
    <t>10.1145/3587103.3594187</t>
  </si>
  <si>
    <t>BeLLE: Multinational Research Collaboration on Bebras &amp;amp; ViLLE</t>
  </si>
  <si>
    <t>Kaarto, Heidi and Hyyr\</t>
  </si>
  <si>
    <t>https://doi.org/10.1145/3587103.3594187</t>
  </si>
  <si>
    <t>The annual Bebras challenge aims to grow students' interest in computer science via engaging problem solving tasks whereas ViLLE is a widely used digital learning environment with a built-in assessment tool and analytics for large number of students. The BeLLE collaboration connects the two by adapting ViLLE's assessment tool in the Bebras challenge. The goal is to analyze the interplay of computer science education and students' computational thinking development in the participating countries. BeLLE welcomes new interested countries to join the collaboration.</t>
  </si>
  <si>
    <t>669</t>
  </si>
  <si>
    <t>K-12, assessment, computational thinking, computer science</t>
  </si>
  <si>
    <t>10.1145/3610969.3611140</t>
  </si>
  <si>
    <t>Teaching Programming Competencies: A Role for Craft Computing?</t>
  </si>
  <si>
    <t>Crick, Tom and Davenport, James H. and Hayes, Alan and Prickett, Tom</t>
  </si>
  <si>
    <t>Proceedings of the 2023 Conference on United Kingdom &amp;amp; Ireland Computing Education Research</t>
  </si>
  <si>
    <t>https://doi.org/10.1145/3610969.3611140</t>
  </si>
  <si>
    <t>Competency-based education is the recommended paradigm of the ACM/IEEE-CS Computing Curricula 2020 (CC2020) and the Computer Science Curricula 2023 (CS2023) guidelines. Learners apply knowledge, dispositions and skills in a task context as an integral part of their studies is the competency model advocated. While it would be highly unusual to deliver computing-related degree programmes without considering programming in some manner, competency in programming extends beyond simply writing code; indeed, teaching programming is more akin to teaching craft skills than a traditional academic discipline.</t>
  </si>
  <si>
    <t>9798400708763</t>
  </si>
  <si>
    <t>UKICER '23</t>
  </si>
  <si>
    <t>software carpentry, craft computing, competence, Programming</t>
  </si>
  <si>
    <t>Swansea, Wales Uk</t>
  </si>
  <si>
    <t>10.1145/3341525.3387415</t>
  </si>
  <si>
    <t>SCAPA: Development of a Questionnaire Assessing Self-Concept and Attitudes Toward Programming</t>
  </si>
  <si>
    <t>Leifheit, Luzia and Tsarava, Katerina and Ninaus, Manuel and Ostermann, Klaus and Golle, Jessika and Trautwein, Ulrich and Moeller, Korbinian</t>
  </si>
  <si>
    <t>https://doi.org/10.1145/3341525.3387415</t>
  </si>
  <si>
    <t>There is a constantly growing number of initiatives asserting the relevance of programming already in primary education and offering respective interventions with the goal to foster interest in and positive attitudes toward programming. To evaluate to what extent this goal is achieved, assessing students' attitudes toward programming reliably is indispensable. However, there still is a need for validated instruments for assessing this in elementary school students. This seems particularly relevant as self-concept and attitudes toward a school subject were repeatedly observed to be significant predictors of learning motivation and achievement. The newly developed Self-Concept and Attitude toward Programming Assessment (SCAPA) is based on existing instruments for assessing students' self-concept and attitude toward mathematics. SCAPA measures aspects of students' self-concept and attitudes toward programming on seven scales: i) self-reported previous programming experience and understanding, ii) self-concept, iii) intrinsic value belief, iv) attainment value belief, v) utility value belief, vi) cost belief, and vii) compliance and persistence. We administered SCAPA to 197 elementary school students between seven and ten years of age in the context of an evaluation of a computational thinking intervention. Data were analyzed for reliability (i.e., internal consistency on item and scale level) and construct validity (by means of confirmatory factor analysis). Results indicated good reliability for all scales except for the self-reported previous programming experience and understanding scale. Overall, these results reflect SCAPA's suitability for assessing different aspects of elementary school students' self-concept and attitudes toward programming.</t>
  </si>
  <si>
    <t>138–144</t>
  </si>
  <si>
    <t>primary education, instrument development, computing education, computer science education, assessment, K-12 education</t>
  </si>
  <si>
    <t>10.1145/3626253.3635579</t>
  </si>
  <si>
    <t>Elementary Teachers Engaging with Learning Trajectories to Create Professional Learning Goals around Computer Science Integration</t>
  </si>
  <si>
    <t>Albert, Jennifer and Joswick, Candace and Joshi, Deepti and Jocius, Robin and Blanton, Melanie and Petrulis, Robert</t>
  </si>
  <si>
    <t>https://doi.org/10.1145/3626253.3635579</t>
  </si>
  <si>
    <t>In this poster, we present our efforts to engage elementary teachers with learning trajectories as a tool for developing both their own and their students' comprehension of computational thinking (CT) and strategies for integrating CT learning in their classroom. Eleven teachers, who voluntarily joined a teacher professional development (PD) program to develop teacher leaders for CT integration in the elementary context, attended a one-day PD session aimed at reviewing their knowledge of CT, participating in CT-infused lessons, and engaging with CT learning trajectories. Over the next year, teachers will participate in monthly virtual PD to continue to grow both their CT content knowledge and pedagogical knowledge. Our goal is to develop these teachers as teacher leaders who will support others as they integrate CT. This poster will show our current progress on CT learning trajectories and teacher leaders' responses to the tool.</t>
  </si>
  <si>
    <t>1554–1555</t>
  </si>
  <si>
    <t>computational thinking, elementary computer science education, learning trajectories, teacher professional development</t>
  </si>
  <si>
    <t>10.1145/3626253.3635498</t>
  </si>
  <si>
    <t>Champion, Collaborator, Curator, Anchor: Supporting K-12 Teachers to Integrate Computational Thinking</t>
  </si>
  <si>
    <t>Coenraad, Merijke and Rangel, Alessandra and Burke, Quinn and Mills, Kelly and Ruiz, Pati and Dunbar, Kyle</t>
  </si>
  <si>
    <t>https://doi.org/10.1145/3626253.3635498</t>
  </si>
  <si>
    <t>Computational thinking (CT) provides opportunities for students to build the skills they need for everyday life, future academic success, and careers. Increasingly, districts are integrating CT into K-12 disciplinary subjects and a growing number of teachers need the knowledge to lead CT learning opportunities. CT is still nascent in teacher education, however, and not all teachers are receiving professional learning on the job. Teachers need effective methods of support to ensure they are providing students with high quality CT learning opportunities. We present methods of support for integrating CT into schools. The poster highlights four methods to support teacher professional learning: allowing ample time for collaboration, a school-based advocate championing CT integration, posting and promoting curated resources, and a foundational person anchoring the work as the initiative expands. In doing so, this poster provides interrelated examples of teacher support and highlights methods of continuous support for teachers integrating CT across content areas.</t>
  </si>
  <si>
    <t>1608–1609</t>
  </si>
  <si>
    <t>computational thinking, k-12, professional learning, teacher support</t>
  </si>
  <si>
    <t>10.1145/3626253.3635631</t>
  </si>
  <si>
    <t>A Cross-Case Analysis of Experienced Educators in CS Inclusion</t>
  </si>
  <si>
    <t>Yan, Wei and Bennett, Andrew and Cobo, Alexis and Israel, Maya</t>
  </si>
  <si>
    <t>https://doi.org/10.1145/3626253.3635631</t>
  </si>
  <si>
    <t>Educators should provide access to all students with inclusive and equitable computer science (CS) and computational thinking (CT) learning outcomes. Yet access to CS and CT is not always available for students with disabilities. This qualitative cross-case study examined the barriers and strengths three exemplar teachers faced, explored the supports and resources they provided, and presented how these teachers defined successful inclusive CS learning outcomes for their students. The data set included analysis of the semistructured teachers' interviews and teaching materials. The results included seven successful strategies the teachers identified: 1) using physical computing, 2) pair programming, 3)connecting CS and Individual Education Plans (IEP), 4)applying hands-on activities, 5) CT integration, 6) using CS vocabulary, and 7)open-ended pedagogy. Three resources and supports the teacher provided emerged from the data set as follows: 1) accessible instructional materials, 2) projects with multiple entry points, and 3) essential scaffolding supports. Whereas four barriers teachers faced; 1. subject matter, 2) accessible tools, 3) students receiving support, 3) the role of CS in instruction, and 4) the role of time served as additional findings. The results suggested that school-based practitioners, including administrators, can overcome the barriers and promote successful strategies that lead to asset-based CS-inclusion in the classroom.</t>
  </si>
  <si>
    <t>1863–1864</t>
  </si>
  <si>
    <t>accessibility, cs education, inclusion, special education</t>
  </si>
  <si>
    <t>10.1145/3287324.3287469</t>
  </si>
  <si>
    <t>Infusing Computational Thinking Across Disciplines: Reflections &amp;amp; Lessons Learned</t>
  </si>
  <si>
    <t>Pollock, Lori and Mouza, Chrystalla and Guidry, Kevin R. and Pusecker, Kathleen</t>
  </si>
  <si>
    <t>https://doi.org/10.1145/3287324.3287469</t>
  </si>
  <si>
    <t>In this work, we describe our effort to develop, pilot, and evaluate a model for infusing computational thinking into undergraduate curricula across a variety of disciplines using multiple methods that previously have been individually tried and tested, including: (1) multiple pathways of computational thinking, (2) faculty professional development, (3) undergraduate peer mentors, and (4) formative assessment. We present pilot instantiations of computational thinking integration in three different disciplines including sociology, mathematics and music. We also present our professional development approach, which is based on faculty support rather than a co-teaching model. Further, we discuss formative assessment during the pilot implementation, including data focusing on undergraduate students' understanding and dispositions towards computational thinking. Finally, we reflect on what worked, what did not work and why, and identify lessons learned. Our work is relevant to higher education institutions across the nation interested in preparing students who can utilize computational principles to address discipline-specific problems.</t>
  </si>
  <si>
    <t>435–441</t>
  </si>
  <si>
    <t>undergraduate students, computer science principles., computer science, computational thinking</t>
  </si>
  <si>
    <t>10.1145/3510309.3510328</t>
  </si>
  <si>
    <t>Research on Micro-lecture Designing Based on The Development of Computational Thinking</t>
  </si>
  <si>
    <t>Wang, Wenxue</t>
  </si>
  <si>
    <t>Proceedings of the 2021 4th International Conference on Education Technology Management</t>
  </si>
  <si>
    <t>https://doi.org/10.1145/3510309.3510328</t>
  </si>
  <si>
    <t>Computational thinking has become the main way of thinking in the era of information 2.0. The cultivation of computational thinking has become the teaching focus of the reform of computer courses in Chinese universities, and also one of the core elements of the information technology standard for senior high school. With the popularization of the internet, various knowledge videos are emerging, while the micro-lecture of computational thinking is rare. In order to explore the design of micro-lecture which is based on computational thinking, this study analyzes literatures and cases. On the basis of combing the elements of computational thinking, it analyzes the embodiment of computational thinking in excellent micro-lecture cases, and discusses how to use micro-lecture to promote the development of learners' computational thinking. On this basis, it shows the design model of micro-lecture basing on the computational thinking development.</t>
  </si>
  <si>
    <t>118–124</t>
  </si>
  <si>
    <t>9781450385800</t>
  </si>
  <si>
    <t>ICETM '21</t>
  </si>
  <si>
    <t>Thinking training, Micro-lecture design, Computational thinking</t>
  </si>
  <si>
    <t>10.1145/3502718.3524783</t>
  </si>
  <si>
    <t>Teacher Education and Computational Thinking: Measuring Pre-service Teacher Conceptions and Attitudes</t>
  </si>
  <si>
    <t>Yadav, Aman and Caeli, Elisa Nadire and Ocak, Ceren and Macann, Victoria</t>
  </si>
  <si>
    <t>https://doi.org/10.1145/3502718.3524783</t>
  </si>
  <si>
    <t>In recent years, there has been a growing awareness of the need for computer science education opportunities and particularly for engaging students in computational thinking ideas and practices to help them understand how computing influences our world. At its core, computational thinking (CT) is seen as understanding how computational practices (such as, abstraction) and tools (such as modeling software) can be used to explore phenomena, solve problems, and influence our lives and society. The push for CT integration has called for preparing future educators to learn CT practices and tools through stand-alone courses and within the context of disciplinary pedagogy/methods courses. However, there are few instruments that measure pre-service teachers' attitudes towards computational thinking and its role in formal schooling. In this study, we developed and validated an instrument to measure pre-service teachers' attitudes towards CT, its role in students' lives, and their own self-efficacy to incorporate CT into their teaching. We report results from a principal components factor analysis on survey responses from 260 pre-service teachers to identify patterns and reduce the number of dimensions of comparison in the analysis. We discuss how pre-service teacher conceptions have implications for preparing future teachers to integrate computational thinking into their instruction.</t>
  </si>
  <si>
    <t>547–553</t>
  </si>
  <si>
    <t>teacher education, pre-service teachers, computational thinking</t>
  </si>
  <si>
    <t>10.1145/3706599.3719763</t>
  </si>
  <si>
    <t>What Does It Take to Support Problem Solving in Programming Classrooms? A New Framework from the K-12 Teacher Perspective</t>
  </si>
  <si>
    <t>Limke, Ally and Islam, Saminur and Riahi, Bahare and Tian, Xiaoyi and Hill, Marnie and Catet\'{e</t>
  </si>
  <si>
    <t>Proceedings of the Extended Abstracts of the CHI Conference on Human Factors in Computing Systems</t>
  </si>
  <si>
    <t>https://doi.org/10.1145/3706599.3719763</t>
  </si>
  <si>
    <t>Developers rarely build programming environments that help secondary teachers support student learning. We interviewed 11 K12 teachers to discover how they support students learning to program and how tools might assist their teaching practice. Based on thematic analysis and organizing teacher activities around student actions, we have derived a new framework that can be used to design a programming learning system to support teachers. Our results suggest that teachers structure their activities based on their ideals about effective programming teaching and learning, and student problem solving and help-seeking processes. Therefore, our framework relates the themes we discovered about teacher activities to ideals and student problem solving in a time-based framework that can inform the design for new programming learning systems.</t>
  </si>
  <si>
    <t>9798400713958</t>
  </si>
  <si>
    <t>CHI EA '25</t>
  </si>
  <si>
    <t>591</t>
  </si>
  <si>
    <t>K12 Teachers, Programming Education, Secondary Computing Education, Orchestrating Computing Activities, Teacher Interviews</t>
  </si>
  <si>
    <t>10.1145/3328778.3372632</t>
  </si>
  <si>
    <t>Coding Science Internships: Broadening Participation in Computer Science by Positioning Coding as a Tool for Doing Science</t>
  </si>
  <si>
    <t>Greenwald, Eric and Krakowski, Ari</t>
  </si>
  <si>
    <t>https://doi.org/10.1145/3328778.3372632</t>
  </si>
  <si>
    <t>Computational tools, and the computational thinking (CT) involved in their use, are pervasive in science, supporting and often transforming scientific understanding. Yet, longstanding disparities in access to learning opportunities means that CT's growing role risks deepening persistent inequities in STEM [2]. To address this problem, our team developed and studied two 10-lesson instructional units for middle school science classrooms, each designed to challenge persistent barriers to equitable participation in STEM. The units aim to position coding as a tool for doing science, and ultimately, encourage a broader range of students, and females in particular, to identify as programmers. Students who participated (n=391) in a recent study of the units demonstrated statistically significant learning gains, as measured on an external assessment of CT. Learning gains were particularly pronounced for female students. Findings suggest that students can develop CT through instruction that foregrounds science, and in ways that lead to more equitable outcomes.</t>
  </si>
  <si>
    <t>1336</t>
  </si>
  <si>
    <t>computational science, coding to learn, broadening participation</t>
  </si>
  <si>
    <t>10.1145/3328778.3372631</t>
  </si>
  <si>
    <t>Video Analysis of Student Challenges and Interactions in Computational Thinking-integrated Botany</t>
  </si>
  <si>
    <t>https://doi.org/10.1145/3328778.3372631</t>
  </si>
  <si>
    <t>This study aimed to understand elementary students' challenges and interactions in computational thinking-integrated botany through robotics activities. Data was collected from screen-casting videos and analyzed using Collaborative Computing Observation Instrument (CCOI), a web-based analysis instrument with nodes and paths that classify and specify students' computing experience. The results revealed that all participants engaged in independent work for most of the time, with short interactions on 1) general computer technology issues; 2) software navigating issues; 3) questions about academic content; 4) computing discussion with the instructor; 5) informing the instructor about task accomplishment. The findings of this study will provide important insights to CS researchers, educators, and elementary teachers regarding CT-integration research and practice.</t>
  </si>
  <si>
    <t>1299</t>
  </si>
  <si>
    <t>k-8 computer science education, computational thinking</t>
  </si>
  <si>
    <t>10.1145/3545947.3576268</t>
  </si>
  <si>
    <t>Designing Integrated Math + CT Activities to Promote Sensemaking about Place Value in Grades K-2</t>
  </si>
  <si>
    <t>Dahshan, Mai and Galanti, Terrie M.</t>
  </si>
  <si>
    <t>Proceedings of the 54th ACM Technical Symposium on Computer Science Education V. 2</t>
  </si>
  <si>
    <t>https://doi.org/10.1145/3545947.3576268</t>
  </si>
  <si>
    <t>In recent years, there has been a growing emphasis on using computational thinking (CT) to teach mathematical concepts. The integration of math+CT enables students to gain a deeper understanding of both mathematical and computer science (CS) concepts. Although numerous professional development programs provide teachers with a solid understanding of CT and methods for integrating it into the curriculum, there has been little research on how teachers apply this knowledge to the design and development of math+CT activities. Moreover, the majority of integrated activities are concentrated in the upper elementary grades, while the early grades (i.e., K-2) remain underexplored. The purpose of this study is to describe how teachers translate their CT knowledge in the collaborative design of an integrated math+CT activity focused on number sense and mathematical operations for grades K-2. Research faculty from the CS and Teacher Education departments designed block-based programming activities for K-2 students to explore and make sense of place value representations of the numbers 1 - 1000. In-service elementary teachers in an online graduate STEM CT course (N = 13) experienced these activities as learners and provided feedback for redesign from their perspectives as classroom teachers. Qualitative analysis of collaborative problem-solving slides and individual reflections revealed how teachers connected their mathematical knowledge for teaching place value to their emergent understanding of CT concepts of abstraction, decomposition, and debugging. This research bridges the gap between enthusiasm for math+CT integration and teacher capacity to use CT to promote creative mathematical thinking and problem-solving in K-2 classrooms.</t>
  </si>
  <si>
    <t>1321</t>
  </si>
  <si>
    <t>9781450394338</t>
  </si>
  <si>
    <t>computational thinking, curriculum development, early childhood education, mathematics education, pk-12 cs education, professional development</t>
  </si>
  <si>
    <t>10.1145/3568739.3568766</t>
  </si>
  <si>
    <t>Mobeybou for Computational Thinking: Fostering Expression Through Embodied Computing Interactions</t>
  </si>
  <si>
    <t>Saraiva, In\^{e</t>
  </si>
  <si>
    <t>https://doi.org/10.1145/3568739.3568766</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</si>
  <si>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</si>
  <si>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153–159</t>
  </si>
  <si>
    <t>Cognitive skills, Computational thinking, Computer programming, Embodied interfaces, Interactive environments, Interface design for education</t>
  </si>
  <si>
    <t>10.1145/3362789.3362910</t>
  </si>
  <si>
    <t>Educational Robotics Summer Camp at IPB: A Challenge based learning case study</t>
  </si>
  <si>
    <t>Gon\c{c</t>
  </si>
  <si>
    <t>https://doi.org/10.1145/3362789.3362910</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</si>
  <si>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</si>
  <si>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36–43</t>
  </si>
  <si>
    <t>Summer camp, Robotics, Erasmus, Challenge Based Learning</t>
  </si>
  <si>
    <t>10.1145/3702163.3702452</t>
  </si>
  <si>
    <t>OntoCnE &amp;amp; Neuroeducation Guidelines: An approach to developing Computational Thinking</t>
  </si>
  <si>
    <t>Ara\'{u</t>
  </si>
  <si>
    <t>https://doi.org/10.1145/3702163.3702452</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</si>
  <si>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</si>
  <si>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Computer Programming, Computational Thinking, Ontology, OntoCnE, Learning Resources, Neuroeducation</t>
  </si>
  <si>
    <t>10.1145/3576882.3617919</t>
  </si>
  <si>
    <t>Debugging Beyond the Code: Teachers' Perceptions of Debugging as a CT Practice Impacting Interdisciplinary Teaching and Learning</t>
  </si>
  <si>
    <t>Macann, Victoria and Yadav, Aman</t>
  </si>
  <si>
    <t>Proceedings of the ACM Conference on Global Computing Education Vol 1</t>
  </si>
  <si>
    <t>https://doi.org/10.1145/3576882.3617919</t>
  </si>
  <si>
    <t>Computational thinking (CT) is viewed as a support structure for educators to develop computational literacies [18][35]. The majority of research around CT practices has focused on decomposition, abstraction, and algorithmic thinking; however, there is little research on debugging and how teachers see the role of debugging in their instruction [4][17]. Given that debugging is viewed as a vital CT skill [38], there is a need to understand how elementary teachers perceive its role in supporting student learning. In this paper, we present results from a study that examined how elementary teachers understood debugging as well as how they saw the role of debugging to support student learning. Our findings indicate that most elementary teachers perceived debugging as a metacognitive support that allowed their students to shift how they approached problem-solving. Our findings also suggest that debugging may be a good starting point to allow elementary teachers to initially latch onto integrating CT. We discuss implications of our findings for integrating CT practices into classroom instruction.</t>
  </si>
  <si>
    <t>119–125</t>
  </si>
  <si>
    <t>9798400700484</t>
  </si>
  <si>
    <t>CompEd 2023</t>
  </si>
  <si>
    <t>computer science education, pre-service teachers, teacher education</t>
  </si>
  <si>
    <t>Hyderabad, India</t>
  </si>
  <si>
    <t>10.1145/3304221.3319772</t>
  </si>
  <si>
    <t>Infusing Computing: Analyzing Teacher Programming Products in K-12 Computational Thinking Professional Development</t>
  </si>
  <si>
    <t>Dong, Yihuan and Catet\'{e</t>
  </si>
  <si>
    <t>Proceedings of the 2019 ACM Conference on Innovation and Technology in Computer Science Education</t>
  </si>
  <si>
    <t>https://doi.org/10.1145/3304221.3319772</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</si>
  <si>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</si>
  <si>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278–284</t>
  </si>
  <si>
    <t>9781450368957</t>
  </si>
  <si>
    <t>ITiCSE '19</t>
  </si>
  <si>
    <t>programming, professional development, k-12, computational thinking</t>
  </si>
  <si>
    <t>Aberdeen, Scotland Uk</t>
  </si>
  <si>
    <t>10.1145/3374920.3374939</t>
  </si>
  <si>
    <t>Tangible Music Programming Blocks for Visually Impaired Children</t>
  </si>
  <si>
    <t>Sabuncuoglu, Alpay</t>
  </si>
  <si>
    <t>Proceedings of the Fourteenth International Conference on Tangible, Embedded, and Embodied Interaction</t>
  </si>
  <si>
    <t>https://doi.org/10.1145/3374920.3374939</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</si>
  <si>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</si>
  <si>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423–429</t>
  </si>
  <si>
    <t>9781450361071</t>
  </si>
  <si>
    <t>TEI '20</t>
  </si>
  <si>
    <t>visually-impaired student education, tangible programming blocks, music programming</t>
  </si>
  <si>
    <t>Sydney NSW, Australia</t>
  </si>
  <si>
    <t>10.1145/3677619.3678133</t>
  </si>
  <si>
    <t>Designing Project-based learning experiences to integrate Computational Thinking skills at Teacher Colleges</t>
  </si>
  <si>
    <t>Simmonds, Jocelyn and Hitschfeld-Kahler, Nancy and Scheihing, Eliana and Henriquez, Valeria and Munoz, Valentin and Casanova, Cecilia and Torrent, Catalina and Contreras, Paulo and Mercado, Karen and Estrada, Daniel and Marquez, Lucia</t>
  </si>
  <si>
    <t>https://doi.org/10.1145/3677619.3678133</t>
  </si>
  <si>
    <t>We describe our experience introducing computational thinking skills at teacher colleges through project-based learning (PBL). We have designed projects that use technology to tackle driving questions derived from the national school curriculum, and at the same time are aligned with learning objectives from pre-service teacher training programs. We have carried out a preliminary validation of these projects with teacher educators, who are now incorporating these experiences into their courses with pre-service teachers.</t>
  </si>
  <si>
    <t>computational thinking, project-based learning, teacher training</t>
  </si>
  <si>
    <t>10.1145/3159450.3162325</t>
  </si>
  <si>
    <t>Reported Development of Computational Thinking, Through Computer Science and Programming, and its Benefits for Primary School Students: (Abstract Only)</t>
  </si>
  <si>
    <t>Duncan, Caitlin</t>
  </si>
  <si>
    <t>Proceedings of the 49th ACM Technical Symposium on Computer Science Education</t>
  </si>
  <si>
    <t>https://doi.org/10.1145/3159450.3162325</t>
  </si>
  <si>
    <t xml:space="preserve">Across the world there has been a paradigm shift in school education, as many countries are incorporating Computer Science (CS), programming, and Computational Thinking (CT), into their K-12 curriculums for the first time. In 2018 these subjects will be introduced to the New Zealand (NZ) Digital Technologies curriculum under the subject of </t>
  </si>
  <si>
    <t>275</t>
  </si>
  <si>
    <t>9781450351034</t>
  </si>
  <si>
    <t>SIGCSE '18</t>
  </si>
  <si>
    <t>programming education, problem solving, primary school, computational thinking</t>
  </si>
  <si>
    <t>Baltimore, Maryland, USA</t>
  </si>
  <si>
    <t>10.1145/3328778.3366919</t>
  </si>
  <si>
    <t>Crescendo: Engaging Students to Self-Paced Programming Practices</t>
  </si>
  <si>
    <t>Wang, Wengran and Zhi, Rui and Milliken, Alexandra and Lytle, Nicholas and Price, Thomas W.</t>
  </si>
  <si>
    <t>https://doi.org/10.1145/3328778.3366919</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</si>
  <si>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</si>
  <si>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859–865</t>
  </si>
  <si>
    <t>use modify create, parsons problems, novice programming environments, drill and practice systems, adaptive feedback</t>
  </si>
  <si>
    <t>10.1145/3507951.3519281</t>
  </si>
  <si>
    <t>Introduction: Computational thinking in preK-5: empirical evidence for integration and future directions</t>
  </si>
  <si>
    <t>Ottenbreit-Leftwich, Anne and Yadav, Aman</t>
  </si>
  <si>
    <t>https://doi.org/10.1145/3507951.3519281</t>
  </si>
  <si>
    <t>iii–vi</t>
  </si>
  <si>
    <t>10.1145/3572549.3572611</t>
  </si>
  <si>
    <t>The Effectiveness of Teaching Approaches in Computational Thinking Education: A Meta-Analysis</t>
  </si>
  <si>
    <t>Chen, Yunshan and Wang, Yining and Li, Yanyan</t>
  </si>
  <si>
    <t>Proceedings of the 14th International Conference on Education Technology and Computers</t>
  </si>
  <si>
    <t>https://doi.org/10.1145/3572549.3572611</t>
  </si>
  <si>
    <t>This meta-analysis examined research on the effects of different teaching approaches on students’ computational thinking (CT) from 2010 to 2022. A total of 35 articles met inclusion criteria and were included in the final analysis with a total of 49 independent effect sizes. The meta-analysis results showed that the current K-12 teaching has a moderate positive impact on the development of students' computational thinking (g=0.548). Pair programming, unplugged activities, and project-based learning have the most significant effects, which are more helpful in cultivating students’ computational thinking. Moreover, we analyzed the impact of moderator variables on the relationship between K-12 teaching and computational thinking. Findings revealed that the effects of CT education were more substantial (a) for middle school students than for primary school students, (b) in interdisciplinary courses than in computer science courses, (c) with collaborative learning activities than with individual learning activities. Based on this, we suggest that paired programming, unplugged activities, and project-based learning, which are based on collaborative learning, should be used more for CT education. In addition, schools should develop interdisciplinary courses to promote computational thinking migration in different disciplines.</t>
  </si>
  <si>
    <t>386–392</t>
  </si>
  <si>
    <t>9781450397766</t>
  </si>
  <si>
    <t>ICETC '22</t>
  </si>
  <si>
    <t>teaching approach, meta-analysis, computational thinking</t>
  </si>
  <si>
    <t>10.1145/3744751</t>
  </si>
  <si>
    <t>Preparing Elementary Preservice Teachers to Integrate Computational Thinking in the Curriculum</t>
  </si>
  <si>
    <t>Ramirez-Salgado, Andrea and Wusylko, Christine and Weisberg, Lauren and Delgado, Johnny and Israel, Maya</t>
  </si>
  <si>
    <t>https://doi.org/10.1145/3744751</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</si>
  <si>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</si>
  <si>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25</t>
  </si>
  <si>
    <t>42</t>
  </si>
  <si>
    <t>Preservice teachers, Elementary education, Computational thinking, Teaching beliefs, Self-efficacy</t>
  </si>
  <si>
    <t>December 2025</t>
  </si>
  <si>
    <t>10.1145/3507951.3519282</t>
  </si>
  <si>
    <t>Investigating pre-service teachers' computational thinking through lesson design using digital technologies</t>
  </si>
  <si>
    <t>Sheridan, Scott and Alkhateeb, Bataul and Mouza, Chrystalla and Yang, Hui</t>
  </si>
  <si>
    <t>https://doi.org/10.1145/3507951.3519282</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</si>
  <si>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</si>
  <si>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10.1145/3284179.3284186</t>
  </si>
  <si>
    <t>Exploring the Effect of a Robotics Laboratory on Computational Thinking Skills in Primary School Children Using the Bebras Tasks</t>
  </si>
  <si>
    <t>Chiazzese, Giuseppe and Arrigo, Marco and Chifari, Antonella and Lonati, Violetta and Tosto, Crispino</t>
  </si>
  <si>
    <t>Proceedings of the Sixth International Conference on Technological Ecosystems for Enhancing Multiculturality</t>
  </si>
  <si>
    <t>https://doi.org/10.1145/3284179.3284186</t>
  </si>
  <si>
    <t>This paper presents preliminary findings from a project-based learning laboratory of robotics aimed at stimulating computational thinking processes in primary school students. The laboratory was carried out within the context of an ongoing project funded by the Italian Ministry of Education, University and Research. The aim of the project is to activate a national network for the enhancement of students' technological and scientific skills in school and extra-school settings. A group of 51 students, engaged in the robotics laboratory, were compared to a comparison group of 32 students in order to evaluate the impact of programming WeDo robotics artefacts on the development of computational thinking skills. Overall, the results showed that programming robotics artefacts may exert positive effects on children's acquisition of computational thinking skills.</t>
  </si>
  <si>
    <t>25–30</t>
  </si>
  <si>
    <t>9781450365185</t>
  </si>
  <si>
    <t>TEEM'18</t>
  </si>
  <si>
    <t>project-based learning, computational thinking, coding, Robotics education</t>
  </si>
  <si>
    <t>10.1145/3159450.3159520</t>
  </si>
  <si>
    <t>Introducing Computational Thinking through Non-Programming Science Activities</t>
  </si>
  <si>
    <t>Ouyang, Youwen and Hayden, Katherine L. and Remold, Julie</t>
  </si>
  <si>
    <t>https://doi.org/10.1145/3159450.3159520</t>
  </si>
  <si>
    <t>Many programs offer informal experiences in programming for select students who may qualify or whose parents pay fees for attending. Integrating computational thinking (CT) in the formal classroom setting provides equal opportunities to develop valuable problem-solving skills for all students. However, such integration poses challenges since teachers may have limited experiences in computing and may be pressured by time constraints due to the need to cover Common Core and Next Generation Science Standards (NGSS) as well as district specific initiatives. A 2-year intervention has been designed to target upper elementary level self-contained classrooms to increase teachers' knowledge and ability for integrating CT into science lessons. Twenty teachers from four school districts in Southern California participated in the first year of the project's professional development activities. These schools have varying levels of diversity and socioeconomic status of student populations. Instead of using popular drag-and-drop programming tools such as Scratch or Tynker, the first year of the project focused on key CT concepts and helped teachers connect these concepts with skills important for student success in science activities. This paper reports on the study of the project's impact on student learning of key CT concepts among students from project classrooms. The main elements of the professional development are also described.</t>
  </si>
  <si>
    <t>308–313</t>
  </si>
  <si>
    <t>upper elementary grades, professional development, computational thinking, assessment</t>
  </si>
  <si>
    <t>10.1145/2858036.2858221</t>
  </si>
  <si>
    <t>A Live, Multiple-Representation Probabilistic Programming Environment for Novices</t>
  </si>
  <si>
    <t>Gorinova, Maria I. and Sarkar, Advait and Blackwell, Alan F. and Syme, Don</t>
  </si>
  <si>
    <t>Proceedings of the 2016 CHI Conference on Human Factors in Computing Systems</t>
  </si>
  <si>
    <t>https://doi.org/10.1145/2858036.2858221</t>
  </si>
  <si>
    <t>We present a live, multiple-representation novice environment for probabilistic programming based on the Infer.NET language. When compared to a text-only editor in a controlled experiment on 16 participants, our system showed a significant reduction in keystrokes during introductory probabilistic programming exercises, and subsequently, a significant improvement in program description and debugging tasks as measured by task time, keystrokes and deletions.</t>
  </si>
  <si>
    <t>2533–2537</t>
  </si>
  <si>
    <t>9781450333627</t>
  </si>
  <si>
    <t>CHI '16</t>
  </si>
  <si>
    <t>visual languages, probabilistic programming, multiple representation, development environment, computational thinking</t>
  </si>
  <si>
    <t>10.1145/3371647.3372204</t>
  </si>
  <si>
    <t>Preferences of IT Teachers Related to the Implementation of the Thematic Unit of Algorithmization and Programming into the Teaching</t>
  </si>
  <si>
    <t>Klement, Milan and Dragon, Tom\'{a</t>
  </si>
  <si>
    <t>https://doi.org/10.1145/3371647.3372204</t>
  </si>
  <si>
    <t>The development and incorporation of the concept of developing pupils' computational thinking into the curriculum of IT subjects is one of the major challenges which the Czech school system is currently facing. Although there is a prevailing opinion about the need to innovate the curriculum of IT subjects in the professional community, the way to achieve it is still not fixed and many discussions about its form are being led. In this discussion, the view that the main tool for further development in this area is the introduction of a compulsory thematic unit focusing on the teaching of Algorithmization and Programming, which is to become a major cross-cutting theme across the individual age categories of pupils and students, is increasingly resonating. When implementing the innovated curriculum of IT subjects, it is necessary to take into account also the preferences and opinions of the key players-IT teachers who will implement the teaching of the newly introduced thematic unit. So, what are the preferences of IT teachers in the case of the introduction of a new thematic unit of Algorithmization and Programming into teaching? This is one of the questions we have been trying to find an answer to using the conducted research survey, whose course and results are presented in this paper.</t>
  </si>
  <si>
    <t>113–118</t>
  </si>
  <si>
    <t>IT teachers, Curriculum innovation, Algorithmization and Programming</t>
  </si>
  <si>
    <t>10.1145/3736181.3747168</t>
  </si>
  <si>
    <t>Examining the Adaptation of an Infusing Computing Professional Development Program to a Rwandan Context</t>
  </si>
  <si>
    <t>Isvik, Amy and Catet\'{e</t>
  </si>
  <si>
    <t>Proceedings of the ACM Global on Computing Education Conference 2025 Vol 1</t>
  </si>
  <si>
    <t>https://doi.org/10.1145/3736181.3747168</t>
  </si>
  <si>
    <t>Recent research has focused integrating computing (CS) into math and science classrooms to enhance CS teaching and learning. Incorporating programming activities into these subjects has been found to increase access to computing education and improve student experience and learning outcomes in the main subject area. These interventions cannot be successful without the support of prepared teachers. Therefore, we seek to understand the impact from Rwandan secondary teachers attending infusing computing professional development (PD) training. This mixed methods research study involved 32 mathematics and physics A-level teachers. Quantitative and qualitative methods were utilized to analyze teachers' pre- and post-survey responses. Findings indicate teachers rated their overall knowledge of CS higher after the PD. Furthermore, teachers identified potential benefits to using computing-infused activities: improved student engagement, motivation, increased computer skills, and understanding of math/science concepts.</t>
  </si>
  <si>
    <t>240–246</t>
  </si>
  <si>
    <t>9798400719295</t>
  </si>
  <si>
    <t>CompEd 2025</t>
  </si>
  <si>
    <t>africa, computational thinking, professional development, teacher education</t>
  </si>
  <si>
    <t>Gaborone, Botswana</t>
  </si>
  <si>
    <t>10.1145/3287324.3293763</t>
  </si>
  <si>
    <t>Thinking about Computational Thinking: Lessons from Education Research</t>
  </si>
  <si>
    <t>Grover, Shuchi</t>
  </si>
  <si>
    <t>https://doi.org/10.1145/3287324.3293763</t>
  </si>
  <si>
    <t xml:space="preserve">Computational thinking (CT) is a means to help learners engage in authentic disciplinary and problem-solving practices of computer science (CS). For CS classrooms, CT is considered </t>
  </si>
  <si>
    <t>1283</t>
  </si>
  <si>
    <t>problem solving, k-12 computer science, disciplinary thinking skills, computational thinking</t>
  </si>
  <si>
    <t>10.1145/3649409.3691081</t>
  </si>
  <si>
    <t>Integrating Making and Computational Thinking in Early Childhood Education: Preliminary Outcomes from a Teacher Trainer Workshop on Designing an Intervention</t>
  </si>
  <si>
    <t>Proceedings of the 2024 on ACM Virtual Global Computing Education Conference V. 2</t>
  </si>
  <si>
    <t>https://doi.org/10.1145/3649409.3691081</t>
  </si>
  <si>
    <t>In the context of educational equity and social participation in the modern technological world, future skills, including problem-solving, are increasingly important for children. Consequently, various projects have developed learning opportunities in Making and Computational Thinking to foster these skills in early childhood education (ECE). However, several literature reviews highlight a research gap concerning students' process-related competencies and the actual implementation of these learning opportunities by educators in kindergarten. In this context, an intervention that will be taught by kindergarten teachers was designed. This article reports on the design of an intervention incorporating Making and Computational Thinking for students aged 5 and 6, developed during a workshop with 12 experts in ECE, Making, and Computing Education.</t>
  </si>
  <si>
    <t>297–298</t>
  </si>
  <si>
    <t>9798400706042</t>
  </si>
  <si>
    <t>SIGCSE Virtual 2024</t>
  </si>
  <si>
    <t>K-12, computational thinking, computer science education, early childhood education, kindergarten, making</t>
  </si>
  <si>
    <t>Virtual Event, NC, USA</t>
  </si>
  <si>
    <t>10.1145/3569173.3569179</t>
  </si>
  <si>
    <t>Integrating CT into economics: Simulating monetary policy through computer models in spreadsheets by using a Use-Modify-Create strategy</t>
  </si>
  <si>
    <t>De Bruin, Lucas and Nijenhuis-Voogt, Jacqueline and Yeni, Sabiha</t>
  </si>
  <si>
    <t>Proceedings of the 11th Computer Science Education Research Conference</t>
  </si>
  <si>
    <t>https://doi.org/10.1145/3569173.3569179</t>
  </si>
  <si>
    <t>Integrating computational thinking (CT) into the learning of school subjects is receiving increased attention. Developing students’ CT skills may not only advance their digital literacy but it may deepen subject specific learning as well. It is therefore interesting to investigate the learning of CT from a multidisciplinary perspective. This study describes the design of a CT integrated lesson for economics in which computer models in spreadsheets are used to simulate monetary policy. The lesson is structured according to the Use-Modify-Create strategy. The aim of this exploratory study is to evaluate the learning outcomes of this CT integrated lesson and students’ attitudes towards such a lesson. For this purpose, students’ exit tickets, feedback forms, supervisor observations and interviews with students have been analyzed. This qualitative analysis revealed that students perceived the lesson as difficult, especially during the Modify and Create phases. In addition, the results suggest that all phases are dependent on taking enough time to finish the Use phase to get familiar with the computational steps. Several suggestions have been given to improve the lesson, for instance, to use a simpler topic of economics. Furthermore, the analysis of students’ attitudes revealed that connections to CT could be made more explicit rather than implicitly embedded in the instructional strategy.</t>
  </si>
  <si>
    <t>46–53</t>
  </si>
  <si>
    <t>9781450397476</t>
  </si>
  <si>
    <t>CSERC '22</t>
  </si>
  <si>
    <t>spreadsheets, economics, computer models, computational thinking, Use-Modify-Create, CT education</t>
  </si>
  <si>
    <t>Leiden, Netherlands</t>
  </si>
  <si>
    <t>10.1145/3713043.3731526</t>
  </si>
  <si>
    <t>Robotito Test in Practice: A Classroom Evaluation</t>
  </si>
  <si>
    <t>Bakala, Ewelina and Tejera, Gonzalo and Hourcade, Juan Pablo</t>
  </si>
  <si>
    <t>https://doi.org/10.1145/3713043.3731526</t>
  </si>
  <si>
    <t>As Computational Thinking (CT) becomes more prevalent in school curricula, it has reached young children, with growing interest in incorporating CT for children in preschool and kindergarten. As more researchers design systems and curricula to teach CT for this age group, there is a need for assessments to better evaluate and compare approaches to teach CT. In this work-in-progress we present activities with 5-6-year-old children from two classrooms. In these classrooms, children participated in educational robotics (ER) activities using a robot that can be programmed through cards placed on the floor for the robot to read as it moves. We developed a test aimed at evaluating children’s ability to program the robot, which we administered after the activities. We discuss lessons learned through the administration of the test, both about the ER activities and the test.</t>
  </si>
  <si>
    <t>1027–1038</t>
  </si>
  <si>
    <t>10.1145/3641554.3701855</t>
  </si>
  <si>
    <t>Introducing K-12 Teachers to Computer Science Education through an Online Micro-credential: An Experience Report</t>
  </si>
  <si>
    <t>Zhang, Shan and Hutchins, Nicole M. and Barrett, Joanne R. and Botelho, Anthony F. and Israel, Maya</t>
  </si>
  <si>
    <t>https://doi.org/10.1145/3641554.3701855</t>
  </si>
  <si>
    <t>As efforts to incorporate Computer Science (CS) and Computational Thinking (CT) into K-12 classrooms continue to expand, there is a growing need for programs that prepare teachers for the effective teaching and integration of CS and CT into their instruction. An ongoing challenge is preparing current and future teachers to develop the skills and confidence needed to teach and integrate CS and CT. Micro-credentials, designed as a short, focused course, offer opportunities for teachers to build skills and confidence through targeted study. This experience report examines a self-paced online micro-credential developed and implemented within a university-based college of education. The micro-credential was designed to equip both pre-service and in-service teachers with the skills and knowledge necessary to teach and integrate CS and CT into K-12 teaching and learning. We describe the micro-credential, including its structure, sequencing, and content. We then present an exploration of teachers' experiences in the micro-credential. Findings from surveys and CS autobiographies show increases in participants' attitudes, beliefs, and perceptions toward the conceptual and technical aspects of teaching CS, with a particular focus on designing clear and actionable plans for integration. The results from this study provide valuable insights for the development of future CS- and CT-focused micro-credentials.</t>
  </si>
  <si>
    <t>1316–1322</t>
  </si>
  <si>
    <t>computational thinking, computer science education, k-12 teacher, micro-credential, teacher preparation</t>
  </si>
  <si>
    <t>10.1145/2818314.2818338</t>
  </si>
  <si>
    <t>Dr. Scratch: a Web Tool to Automatically Evaluate Scratch Projects</t>
  </si>
  <si>
    <t>Moreno-Le\'{o</t>
  </si>
  <si>
    <t>https://doi.org/10.1145/2818314.2818338</t>
  </si>
  <si>
    <t>This poster paper presents the operation and the new features of Dr. Scratch, an award-winning gamified web application that allows to perform automatic analysis of Scratch projects to assess the development of computational thinking and detect some bad programming habits that are common in students learning to program in this environment.</t>
  </si>
  <si>
    <t>132–133</t>
  </si>
  <si>
    <t>learning, computational thinking, coding, Scratch, Assessment</t>
  </si>
  <si>
    <t>10.1145/3629296.3629313</t>
  </si>
  <si>
    <t>The effects of a progressive scaffolding approach on middle school students'computational thinking skills and self-efficacy</t>
  </si>
  <si>
    <t>Xi, Feifei and Xiao, Tianyu and Li, Xiaofei and Hu, Yafei and Ma, Hongliang</t>
  </si>
  <si>
    <t>Proceedings of the 15th International Conference on Education Technology and Computers</t>
  </si>
  <si>
    <t>https://doi.org/10.1145/3629296.3629313</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</si>
  <si>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</si>
  <si>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107–112</t>
  </si>
  <si>
    <t>9798400709111</t>
  </si>
  <si>
    <t>ICETC '23</t>
  </si>
  <si>
    <t>Computational thinking self-efficacy, Computational thinking skills, Flowchart, Progressive scaffolding approach, Visual programming</t>
  </si>
  <si>
    <t>10.1145/3628516.3655810</t>
  </si>
  <si>
    <t>Enhancing Computational Thinking with 3D printing: Imagining, designing, and printing 3D objects to solve real-world problems.</t>
  </si>
  <si>
    <t>Grizioti, Marianthi and Kynigos, Chronis and Nikolaou, Maria-Stella</t>
  </si>
  <si>
    <t>Proceedings of the 23rd Annual ACM Interaction Design and Children Conference</t>
  </si>
  <si>
    <t>https://doi.org/10.1145/3628516.3655810</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</si>
  <si>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</si>
  <si>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133–141</t>
  </si>
  <si>
    <t>9798400704420</t>
  </si>
  <si>
    <t>IDC '24</t>
  </si>
  <si>
    <t>3D printing, Computational Thinking, Design Thinking, Emerging Technologies, Logo-based programming</t>
  </si>
  <si>
    <t>Delft, Netherlands</t>
  </si>
  <si>
    <t>10.1145/3408877.3432558</t>
  </si>
  <si>
    <t>The Virtual Pivot: Transitioning Computational Thinking PD for Middle and High School Content Area Teachers</t>
  </si>
  <si>
    <t>Jocius, Robin and Joshi, Deepti and Albert, Jennifer and Barnes, Tiffany and Robinson, Richard and Catet\'{e</t>
  </si>
  <si>
    <t>https://doi.org/10.1145/3408877.3432558</t>
  </si>
  <si>
    <t>In 2018 and 2019, Infusing Computing offered face-to-face summer PD workshops to support middle and high school teachers in integrating computational thinking into their classrooms through week-long summer PD workshops and academic-year support. Due to COVID-19, 151 teachers attended the Summer 2020 PD workshops in a week-long virtual conference format. In this paper, we describe Virtual Pivot: Infusing Computing, which employed emerging technology tools, pre-PD training, synchronous and asynchronous sessions, Snap! pair programming, live support, and live networking. Drawing on findings from participant interviews and post-PD surveys, we argue that three categories of changes (digital tools, formats, and supports for teacher engagement and collaboration) were effective in increasing participants' self-efficacy in teaching CT, supporting collaboration, and enabling participants to design CT-infused content-area lessons. We conclude by discussing how elements of this virtual PD can be replicated to increase teacher and student access to CT practices in middle and high school classrooms</t>
  </si>
  <si>
    <t>1198–1204</t>
  </si>
  <si>
    <t>virtual spaces, teacher professional development, online learning, disciplinary teaching, computational thinking</t>
  </si>
  <si>
    <t>10.1145/3670013.3670033</t>
  </si>
  <si>
    <t>Study on Mode of Cultivating Computational Thinking in Online Teaching of Information Technology:A Quasi-Experimental Study</t>
  </si>
  <si>
    <t>Yang, Hairu and Liang, Zhou and Ma, Mingyue and Zhang, Xiaoyu and Fu, Yan and Zhang, Yongmei</t>
  </si>
  <si>
    <t>https://doi.org/10.1145/3670013.3670033</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</si>
  <si>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</si>
  <si>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228–235</t>
  </si>
  <si>
    <t>computational thinking, online teaching,teaching mode,Information technology courses</t>
  </si>
  <si>
    <t>10.1145/3361721.3362110</t>
  </si>
  <si>
    <t>From 'Use' to 'Choose': Scaffolding CT Curricula and Exploring Student Choices while Programming (Practical Report)</t>
  </si>
  <si>
    <t>Lytle, Nicholas and Catete, Veronica and Isvik, Amy and Boulden, Danielle and Dong, Yihuan and Wiebe, Eric and Barnes, Tiffany</t>
  </si>
  <si>
    <t>https://doi.org/10.1145/3361721.3362110</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</si>
  <si>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</si>
  <si>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Use-Modify-Create, Student Choice, Lesson Design</t>
  </si>
  <si>
    <t>10.5555/3722479.3722539</t>
  </si>
  <si>
    <t>Comparing K-8 Computing Education Implementations Between South Africa and Sweden</t>
  </si>
  <si>
    <t>Lee, Michael J. and Lang, Annie and Ferwerda, Bruce</t>
  </si>
  <si>
    <t>Recently, the governments of South Africa and Sweden have mandated that the youth in their respective countries receive compulsory computing education. In this study, we explored how in-service teachers in these countries learned about and taught coding to their students. Moreover, we asked students from these respective countries to report on their prior coding experience, and had them take two coding-related tests. Speaking with six teachers (3 from each country) and surveying 96 students (47 from South Africa and 49 from Sweden), we discovered several interesting results. Teachers from both countries used similar online resources to learn coding themselves. However, teachers from South Africa preferred to provide their students with direct, concrete experiences with coding using existing physical and online resources. Their counterparts in Sweden preferred to teach their students abstract concepts, integrated into other topic areas. However, regardless of the type of instruction, students from both countries did equally well on validated tests measuring their understanding of coding concepts. These results highlight each countries' teachers' dedication and effectiveness in adapting materials for their students, and the students' receptiveness and measurable learning outcomes attributed to these methods.</t>
  </si>
  <si>
    <t>309–321</t>
  </si>
  <si>
    <t>October 2024</t>
  </si>
  <si>
    <t>10.1145/3556787.3556858</t>
  </si>
  <si>
    <t>An Integration of Computational Thinking and Language Arts: The Contribution of Digital Storytelling to Students’ Learning</t>
  </si>
  <si>
    <t>Yeni, Sabiha and Nijenhuis-Voogt, Jacqueline and Hermans, Felienne and Barendsen, Erik</t>
  </si>
  <si>
    <t>Proceedings of the 17th Workshop in Primary and Secondary Computing Education</t>
  </si>
  <si>
    <t>https://doi.org/10.1145/3556787.3556858</t>
  </si>
  <si>
    <t>Embedding Computational Thinking (CT) in the context of various school subjects across the curriculum, not only CS or STEM, is receiving increased attention. CT skills can be instrumental in many subjects, which makes the integration an opportunity for learning CT but also for deepening subject specific learning. This study focuses on language arts, in particular English as a second language. It investigates digital storytelling as a way to integrate CT, analyzing its impact on students’ learning both of English and of CT, and on students’ attitudes toward the CT integrated English lesson. A class of 8th grade students (average age 13 years) participated in the study. The impact of the CT integrated lessons was investigated using students’ final products, surveys, rubrics, exit tickets and focus group interviews. The results suggest that the digital storytelling approach may improve students’ learning of English and of CT, and that it helped enhancing students’ creativity and collaboration, thus promoting their digital participation.</t>
  </si>
  <si>
    <t>9781450398534</t>
  </si>
  <si>
    <t>WiPSCE '22</t>
  </si>
  <si>
    <t>digital storytelling, Language Arts, K–12 education, Computational Thinking</t>
  </si>
  <si>
    <t>Morschach, Switzerland</t>
  </si>
  <si>
    <t>10.1145/3724389</t>
  </si>
  <si>
    <t>ITiCSE 2025: Proceedings of the 30th ACM Conference on Innovation and Technology in Computer Science Education V. 2</t>
  </si>
  <si>
    <t>10.1145/2532748.2532750</t>
  </si>
  <si>
    <t>Designing productive gradations of tasks in primary programming education</t>
  </si>
  <si>
    <t>Gujberova, Monika and Kalas, Ivan</t>
  </si>
  <si>
    <t>Proceedings of the 8th Workshop in Primary and Secondary Computing Education</t>
  </si>
  <si>
    <t>https://doi.org/10.1145/2532748.2532750</t>
  </si>
  <si>
    <t>In several countries, we can recently notice increasing demand to establish modern Computer Science (CS) or Informatics or Computing education in the primary and secondary schools, which would liberate from the common ICT in education conception. In Slovakia we have proceeded in the opposite way -- establishing mandatory CS subject named Informatics nearly 30 years ago in all secondary schools and in 2000 (as a pilot) and 2008 (as a regular subject) in all primary schools. Moreover, educational programming has always been one of the key components of this subject. In this paper, we report on one of our on-going research activities in the area of building and integrating our conception of educational programming into regular primary Informatics. Namely, we present the process and findings of a qualitative study, in which we develop and verify a new approach to designing programming tasks for primary students. We want to understand what cognitive demands these tasks pose to primary students, what the students consider difficult and what they consider easy -- we are in search of better pedagogy for the primary programming education. To meet these goals, we need to identify elementary cognitive operations in primary programming and on the basis of that learn how to be more competent in considering the level of difficulty of the programming tasks and how to design proper gradational sequences (gradations) of tasks, which will support smooth learning process of the primary students' programming skills and early computational thinking -- carefully respecting developmental appropriateness of these activities.</t>
  </si>
  <si>
    <t>108–117</t>
  </si>
  <si>
    <t>9781450324557</t>
  </si>
  <si>
    <t>WiPSE '13</t>
  </si>
  <si>
    <t>programming at primary stage, primary computing education, elementary cognitive operations, educational programming, computational thinking, bebras, beaver contest</t>
  </si>
  <si>
    <t>10.1145/3544548.3580935</t>
  </si>
  <si>
    <t>12 Ways to Empower: Designing for Children’s Digital Autonomy</t>
  </si>
  <si>
    <t>Wang, Ge and Zhao, Jun and Van Kleek, Max and Shadbolt, Nigel</t>
  </si>
  <si>
    <t>https://doi.org/10.1145/3544548.3580935</t>
  </si>
  <si>
    <t>In recent years, growing research has been made on supporting children to become more autonomous in the digital environment around them. However, there has been little consensus regarding the conceptualisation of digital autonomy for children in the HCI community and how best they can be supported. Through a systematic review of autonomy-supportive designs within HCI research, this paper makes three contributions: a landscape overview of the existing conceptualisation of Digital Autonomy for children within HCI; a framework of 12 distinct design mechanisms for supporting children’s digital autonomy, clustered into 5 categories by their common mechanisms; and an identification of 5 critical design considerations for future support of children’s digital autonomy. Our findings provide a critical understanding of current support for children’s digital autonomy in HCI. We highlight the importance of considering children’s digital autonomy from multi-perspectives and suggest critical factors and gaps to be considered for future autonomy-supportive designs.</t>
  </si>
  <si>
    <t>91</t>
  </si>
  <si>
    <t>Autonomy, Children, Systematic Literature Review</t>
  </si>
  <si>
    <t>10.1145/3502718.3524757</t>
  </si>
  <si>
    <t>A Case Study of Middle Schoolers' Use of Computational Thinking Concepts and Practices during Coded Music Composition</t>
  </si>
  <si>
    <t>Zhang, Yifan and Krug, Douglas Lusa and Mouza, Chrystalla and Shepherd, David C. and Pollock, Lori</t>
  </si>
  <si>
    <t>https://doi.org/10.1145/3502718.3524757</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</si>
  <si>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</si>
  <si>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music composition, informal learning, computational thinking (ct)</t>
  </si>
  <si>
    <t>10.1145/3430665.3456334</t>
  </si>
  <si>
    <t>Teacher Views on Computational Thinking as a Pathway to Computer Science</t>
  </si>
  <si>
    <t>Moudgalya, Sukanya Kannan and Yadav, Aman and Sands, Philip and Vogel, Sara and Zamansky, Mike</t>
  </si>
  <si>
    <t>https://doi.org/10.1145/3430665.3456334</t>
  </si>
  <si>
    <t xml:space="preserve">Recent years have seen increased focus on integrating Computational Thinking (CT) across subject areas in lieu of treating it as a standalone subject. Over the course of two years, we focused on teacher development in a large city school system via summer workshops that brought in-service and pre-service teachers together to co-create integrated CT lessons. In this experience report, we will describe the workshop design and share the perspectives of the participating K-5 teachers. One particular area of focus of the workshop was integrating 'plugged' or technology-based computing examples for the teachers. Further, we engaged the teachers with a discussion of the role of CT in promoting equity for students and demonstrated ways in which student cultural experiences could be activated through creative computing. Specific outcomes of the work included increased confidence and value in CT vocabulary usage, ideas to infuse existing curriculum with CT ideas, and teacher belief that CT could be used as a </t>
  </si>
  <si>
    <t>262–268</t>
  </si>
  <si>
    <t>teacher education, equity, computational thinking, K-5</t>
  </si>
  <si>
    <t>10.1145/3704637.3734778</t>
  </si>
  <si>
    <t>Scaffolded Critique Rubrics: An Approach to Computational Thinking and AI Literacy in Teacher Education</t>
  </si>
  <si>
    <t>Moudgalya, Sukanya Kannan and Allen, Taylor</t>
  </si>
  <si>
    <t>https://doi.org/10.1145/3704637.3734778</t>
  </si>
  <si>
    <t>Teacher education programs face the challenge of integrating multiple standards into their licensure courses with limited instructional time. To address this, we need innovative approaches to effectively integrate topics like computational thinking (CT) and Artificial Intelligence (AI) literacy, which are increasingly included in teacher standards. We developed a core educational technology course for teachers from diverse fields-deaf education, math, music, early childhood, and more-to introduce these concepts. Using ''scaffolded critique rubrics,'' teachers evaluated tools and resources from platforms like Code.org or PBS Kids, assessing their suitability for their students. The rubrics helped teachers critique computing tools for accessibility issues, differentiate AI biases from automation ethics, and engage deeply with CT concepts. By connecting these topics to their student needs, teachers reflected on how to adapt resources for their classrooms. This report outlines the course development and its impact on teacher engagement</t>
  </si>
  <si>
    <t>27–33</t>
  </si>
  <si>
    <t>AI literacy, accessibility, computational thinking, ethics, scaffolded critique, teacher education</t>
  </si>
  <si>
    <t>10.1145/3641554.3701817</t>
  </si>
  <si>
    <t>CS Concepts and Contextual Factors in Integrated Computing Activities in U.S. Schools</t>
  </si>
  <si>
    <t>Rahimi, Masoumeh and Margulieux, Lauren E. and Anderson, Erin</t>
  </si>
  <si>
    <t>https://doi.org/10.1145/3641554.3701817</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</si>
  <si>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</si>
  <si>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931–937</t>
  </si>
  <si>
    <t>computational thinking, computing integration, cs+x, integrated computing, k-12 computer science education, survey</t>
  </si>
  <si>
    <t>10.1145/3724363.3729038</t>
  </si>
  <si>
    <t>Building Teacher Capacity to Integrate Computational Thinking into Primary School Instruction: Strategies for Designing High-Quality and Scalable Interventions</t>
  </si>
  <si>
    <t>Jacobson, Miriam R. and Wang, Zhuoying and Fletcher, Carol L. and Carrell, Amy L.</t>
  </si>
  <si>
    <t>https://doi.org/10.1145/3724363.3729038</t>
  </si>
  <si>
    <t>Providing high-quality computing education to all students in primary school is essential for reducing computing disparities, by preparing students for success in secondary education. To impact the quality of computing education experiences for large numbers of diverse primary schools and students, a teacher professional development model must be designed for scalability from the outset. As many countries work to expand national access to computing education at the primary level and reach hundreds or thousands of teachers in the process, there is a need to understand effective systems-based strategies for scaling teacher professional learning across diverse schools and communities. This experience report will share lessons learned from the implementation of an initiative to prepare thousands of primary school (K-5) teachers to integrate computational thinking into their instruction.Initial findings showed that the intervention was able to reach schools in diverse communities. Nearly all teachers completing the program indicated that they planned to use the training materials, they had the knowledge and skills to integrate computational thinking into their classes, and the training would benefit their students. Teachers reported that the most useful aspects of the program included hands-on training and materials for integrating lessons into their instruction. They shared suggestions for improving the program, such as offering more training time, refining asynchronous training, and providing more resources for implementation in specific teacher contexts. Findings highlighted the importance of designing and testing scalable computing interventions with a broad range of educators and schools.</t>
  </si>
  <si>
    <t>541–547</t>
  </si>
  <si>
    <t>computational thinking education, computing education, primary education teachers</t>
  </si>
  <si>
    <t>10.1145/3408877.3432482</t>
  </si>
  <si>
    <t>I Felt Like We Were Actually Going Somewhere: Adapting Summer Professional Development for Elementary Teachers to a Virtual Experience During COVID-19</t>
  </si>
  <si>
    <t>Skuratowicz, Eva and Vanderberg, Maggie and Hung, Eping E. and Krause, Gladys and Bradley, Dominique and Wilson, Joseph P.</t>
  </si>
  <si>
    <t>https://doi.org/10.1145/3408877.3432482</t>
  </si>
  <si>
    <t>In fall 2019, the National Science Foundation awarded Southern Oregon University a two-year Computer Science for All Researcher Practitioner Partnership grant focused on integrating computational thinking (CT) into the K'5 instruction of general elementary and elementary bilingual teachers. This experience report highlights the process of transitioning one essential component of the project an elementary teacher summer institute (SI) from in-person to online due to COVID-19. This report covers the approach the team took to designing the SI to work virtually, the challenges encountered, the experiences of the 15 teachers involved through observations and surveys, and the opportunities for refinement. This report will be of potential interest for other computer science (CS) education researchers who also may be working with elementary teachers to incorporate CS and CT activities into their instruction.</t>
  </si>
  <si>
    <t>739–745</t>
  </si>
  <si>
    <t>virtual engagement, teacher professional development, integrating computational thinking, elementary teachers, covid-19</t>
  </si>
  <si>
    <t>10.1145/3430665.3456319</t>
  </si>
  <si>
    <t>Investigating the Impact of Computing vs Pedagogy Experience in Novices Creation of Computing-Infused Curricula</t>
  </si>
  <si>
    <t>https://doi.org/10.1145/3430665.3456319</t>
  </si>
  <si>
    <t>We compare subject area block-based programming lessons made by two participant groups new to creating K-12 computing curricula. The first group consists of 29 high school interns with prior programming experience but not formal pedagogical training. The second group consists of 86 teachers who attended an infusing computing professional development, with formal pedagogical training but no background in programming. We examine a total of 113 lessons for their use of scaffolding, teacher accessibility, equity, and computing and subject area content. Our analysis extends prior work showing novice-student creator strength in conveying content knowledge and difficulty in incorporating equity into coding lessons. Compared to lessons created by the teacher group (less coding, more pedagogical experience), our results show that teachers also struggle with including equitable practices and opportunity for culturally responsive and identify affirming activities. However, they were much stronger in including assessment focused items. Furthermore, teachers were able to provide adequate support for coding and content knowledge. Our exploration of scaffolding included in these lessons shows that scaffolding included differs by creator and that projects involving worked examples were more often correlated to more evidence of equitable practices. Through this research, we gain insight into what additional knowledge and training are needed to help creators make higher quality and more accessible computing lessons for non-computer science courses.</t>
  </si>
  <si>
    <t>255–261</t>
  </si>
  <si>
    <t>stem + computing, curriculum analysis, computing-infused lessons, computing education</t>
  </si>
  <si>
    <t>10.1145/3287324.3287476</t>
  </si>
  <si>
    <t>Designing a Middle School Science Curriculum that Integrates Computational Thinking and Sensor Technology</t>
  </si>
  <si>
    <t>Gendreau Chakarov, Alexandra and Recker, Mimi and Jacobs, Jennifer and Van Horne, Katie and Sumner, Tamara</t>
  </si>
  <si>
    <t>https://doi.org/10.1145/3287324.3287476</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</si>
  <si>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</si>
  <si>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818–824</t>
  </si>
  <si>
    <t>sensors, middle school science, computational thinking</t>
  </si>
  <si>
    <t>10.1145/2676723.2677275</t>
  </si>
  <si>
    <t>Floors and Flexibility: Designing a Programming Environment for 4th-6th Grade Classrooms</t>
  </si>
  <si>
    <t>Hill, Charlotte and Dwyer, Hilary A. and Martinez, Tim and Harlow, Danielle and Franklin, Diana</t>
  </si>
  <si>
    <t>https://doi.org/10.1145/2676723.2677275</t>
  </si>
  <si>
    <t>The recent renaissance in early computer science education has provided K-12 teachers with multiple options for introducing children to computer science. However, tools for teaching programming for children with wide-scale adoption have been targeted mostly at pre-readers or middle school and higher grade-levels. This leaves a gap for 4th -- 6th grade students, who differ developmentally from older and younger students.In this paper, we investigate block-based programming languages targeted at elementary and middle school students and demonstrate a gap in existing programming languages appropriate for 4th -- 6th grade classrooms. We analyze the benefits of Scratch, ScratchJr, and Blockly for students and curriculum developers. We describe the design principles we created based on our experiences using block-based programming in 4th -- 6th grade classrooms, and introduce LaPlaya, a language and development environment designed specifically for children in the gap between grades K-3 and middle school students.</t>
  </si>
  <si>
    <t>546–551</t>
  </si>
  <si>
    <t>novice programming environments, middle school, graphical programming, elementary school, computer science education</t>
  </si>
  <si>
    <t>10.1145/3551708.3556217</t>
  </si>
  <si>
    <t>Constructing Behavioral Representation of Computational Thinking based on Event Graph: A new approach for learning analytics</t>
  </si>
  <si>
    <t>Shen, Wenyao and Zhan, Zehui and Li, Chen and Chen, Han and Shen, Ranhao</t>
  </si>
  <si>
    <t>Proceedings of the 6th International Conference on Education and Multimedia Technology</t>
  </si>
  <si>
    <t>https://doi.org/10.1145/3551708.3556217</t>
  </si>
  <si>
    <t>At present, the mainstream means of measuring and assessing computational thinking are test papers and scales, which enable us to measure the level of students' computational thinking as a whole, but fail to represent the inner laws and thinking processes, thus cause difficulty on providing appropriate guidance. In this study, data embedding technology was adopted to collect data on students' operational behavior in answering questions, and learning analytic techniques (i.e., semantic analysis, lagged sequence analysis, etc.) were used to evaluate computational thinking. Students with higher- and lower-level of computational thinking were compared on their behavioral patterns in a seriel events in the computational thinking training process. An event graph was constructed to represent the computational thinking behaviors based on logical event relationships. This study provides insights on a novel approach of analyzing computational thinking from the procedural perspective, which could be helpful for understanding how the thinking path is structured during problem-solving process.</t>
  </si>
  <si>
    <t>45–52</t>
  </si>
  <si>
    <t>9781450396455</t>
  </si>
  <si>
    <t>ICEMT '22</t>
  </si>
  <si>
    <t>10.1145/3328778.3366970</t>
  </si>
  <si>
    <t>Integrating Computing and Computational Thinking into K-12 STEM Learning</t>
  </si>
  <si>
    <t>Grover, Shuchi and Fisler, Kathryn and Lee, Irene and Yadav, Aman</t>
  </si>
  <si>
    <t>https://doi.org/10.1145/3328778.3366970</t>
  </si>
  <si>
    <t>Policymakers believe that preparing all students from the earliest grades to high school for a new future of STEM+Computing (STEM+C) integration involves teaching them not only the science and math central to these areas, but also how computational thinking is integral to STEM disciplines. This panel brings together four researchers who focus on research and development of interdisciplinary approaches to the integration of computing within STEM teaching and learning for preK-12 students. They will share the most impactful, practical, and promising approaches to STEM+C integration, their pros and cons, challenges, and key insights to successful STEM+C integration at all grade levels.</t>
  </si>
  <si>
    <t>481–482</t>
  </si>
  <si>
    <t>stem+computing education, stem education, science education, mathematics education</t>
  </si>
  <si>
    <t>10.1145/3456565.3460068</t>
  </si>
  <si>
    <t>Promoting Computational Thinking in Elementary School: A Narrative-Centered Learning Approach</t>
  </si>
  <si>
    <t>Boulden, Danielle and Smith, Andy and Cully, Kimkinyona and Houchins, Jennifer and Elsayed, Rasha and Hubbard Cheuoua, Aleata and Minogue, James and Oliver, Kevin and Ringstaff, Cathy and Mott, Bradford</t>
  </si>
  <si>
    <t>Proceedings of the 26th ACM Conference on Innovation and Technology in Computer Science Education V. 2</t>
  </si>
  <si>
    <t>https://doi.org/10.1145/3456565.3460068</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</si>
  <si>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</si>
  <si>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655</t>
  </si>
  <si>
    <t>9781450383974</t>
  </si>
  <si>
    <t>k-12 education, computational thinking</t>
  </si>
  <si>
    <t>10.1145/3623509.3633401</t>
  </si>
  <si>
    <t>Now That's What I Call A Robot(ics Education Kit)!</t>
  </si>
  <si>
    <t>Fey, James Collin and Robinson, Raquel Breejon and Ovali, Selin and Laffan, Nate and Weatherwax, Kevin and Dagan, Ella and Isbister, Katherine</t>
  </si>
  <si>
    <t>Proceedings of the Eighteenth International Conference on Tangible, Embedded, and Embodied Interaction</t>
  </si>
  <si>
    <t>https://doi.org/10.1145/3623509.3633401</t>
  </si>
  <si>
    <t>STEM education is an important component of broadening participation in computational fields, and robotics-inspired kits are a common avenue for teaching youth computational concepts. In this pictorial, we contrast widely used kits (i.e., Lego Mindstorms, Sphero, and DASH) with a kit we created in the form of a module embedded in a summer camp, that takes an alternative approach. Most existing kits are designed with clear-cut, narrowly defined end goals for learners to accomplish. The lessons typically do not include teaching design concepts, and do not offer opportunities for crafting, personalization, and storytelling. We offer a more flexible and creative kit design; integrating concepts such as design thinking, iterative design, and collaboration. We illustrate our design process used to craft the kit/module, along with artifacts collected from its use, and discuss how this approach might help support a broader range of groups—particularly those that are underrepresented in STEM.</t>
  </si>
  <si>
    <t>9798400704024</t>
  </si>
  <si>
    <t>TEI '24</t>
  </si>
  <si>
    <t>53</t>
  </si>
  <si>
    <t>Additional Key Words and Phrases: robotics, STEAM, design-based approach, eTextiles, edu-larp, education, social wearables</t>
  </si>
  <si>
    <t>Cork, Ireland</t>
  </si>
  <si>
    <t>10.1145/3408877.3439594</t>
  </si>
  <si>
    <t>Exploring Computational Thinking Across Disciplines Through Student-Generated Artifact Analysis</t>
  </si>
  <si>
    <t>Zhang, Yifan and Mohammad Mirzaei, Amanda and Pollock, Lori and Mouza, Chrystalla and Guidry, Kevin</t>
  </si>
  <si>
    <t>https://doi.org/10.1145/3408877.3439594</t>
  </si>
  <si>
    <t>To meet the demands of 21st century societies, it is essential that faculty across disciplines engage students with course activities and assignments that foster the development of computational thinking (CT). In this study, we address two pertinent questions: (1) What types of artifacts do students develop across different disciplines in response to CT-driven problem prompts' and (2) What types of CT skills do these artifacts demonstrate? To answer the questions, we examined 273 artifacts developed by undergraduate students across seven course assignments from four disciplines: mathematics, sociology, music, and English using a rubric developed to evaluate the following CT skills: abstraction, decomposition, data analysis, and algorithmic thinking. We found that a range of skills were reflected across student artifacts.</t>
  </si>
  <si>
    <t>1315</t>
  </si>
  <si>
    <t>undergraduate education, computational thinking</t>
  </si>
  <si>
    <t>10.1145/3381884</t>
  </si>
  <si>
    <t>Broadening artificial intelligence education in K-12: where to start?</t>
  </si>
  <si>
    <t>Wong, Gary K. W. and Ma, Xiaojuan and Dillenbourg, Pierre and Huan, John</t>
  </si>
  <si>
    <t>https://doi.org/10.1145/3381884</t>
  </si>
  <si>
    <t>20–29</t>
  </si>
  <si>
    <t>March 2020</t>
  </si>
  <si>
    <t>10.1145/3287324.3287376</t>
  </si>
  <si>
    <t>Primary School Teachers' Conceptions of Computational Thinking</t>
  </si>
  <si>
    <t>Garvin, Megean and Killen, Heather and Plane, Jan and Weintrop, David</t>
  </si>
  <si>
    <t>https://doi.org/10.1145/3287324.3287376</t>
  </si>
  <si>
    <t>Computational thinking (CT) is increasingly becoming a part of the K-12 educational landscape. While high schools with computer science teachers or technology coaches on staff are well positioned to help teachers integrate computational thinking into instruction, early childhood through middle schools (grades p-8) are often less well equipped. Further, the concept of CT is often poorly defined, especially as it relates to younger learners. Despite these challenges, teachers are being asked to integrate CT into other content lessons. To understand if and how this is happening, we conducted a statewide survey of primary (early childhood through middle school) Maryland teachers. The survey asked the teachers about their conceptualization of CT, CT resources they rely on, and their comfort levels to provide effective CT instruction for their students. The results of our survey demonstrate that teachers hold diverse views of the concept of CT and use a varied set of instructional resources in their classrooms. The contribution of this work is in helping advance our understanding of the current state of CT in primary classrooms.</t>
  </si>
  <si>
    <t>899–905</t>
  </si>
  <si>
    <t>teacher perceptions, k-8, computing across the curriculum, computational thinking, acm proceedings</t>
  </si>
  <si>
    <t>10.1145/3612783.3612785</t>
  </si>
  <si>
    <t>Learning analytics in the design of interactive multimedia experiences for elementary education: a systematic review</t>
  </si>
  <si>
    <t>Proceedings of the XXIII International Conference on Human Computer Interaction</t>
  </si>
  <si>
    <t>https://doi.org/10.1145/3612783.3612785</t>
  </si>
  <si>
    <t>Interactive multimedia experiences are interesting for students because they stimulate several of their senses, provide assorted styles of interaction, and the user can modify the development of the experience thanks to the interactions with it, among other benefits. Moreover, this interaction produces data that can be used to improve the teaching-learning process of students using Learning Analytics techniques. In this sense, this paper presents a review of the state of the art on the impact of Learning Analytics in the development of multimedia technologies and evolution in the design process in the context of elementary education. A systematic literature review methodology has been applied to carry out this research. The results show the need for a well-defined process and a series of specific guidelines to include Learning Analytics in the solutions for this context.</t>
  </si>
  <si>
    <t>9798400707902</t>
  </si>
  <si>
    <t>Interacci\'{o</t>
  </si>
  <si>
    <t>Elementary education, Interactive multimedia experience, Learning analytics</t>
  </si>
  <si>
    <t>Lleida, Spain</t>
  </si>
  <si>
    <t>10.1145/3408877.3432400</t>
  </si>
  <si>
    <t>Frame Shifting as a Challenge to Integrating Computational Thinking in Secondary Mathematics Education</t>
  </si>
  <si>
    <t>Huang, Wendy and Chan, Shiau Wei and Looi, Chee Kit</t>
  </si>
  <si>
    <t>https://doi.org/10.1145/3408877.3432400</t>
  </si>
  <si>
    <t>In this study, we adapted the notion of framing, a theoretical construct that refers to a person's expectations about social spaces (Goffman, 1974), to investigate whether teachers viewed computational thinking (CT) according to subject-specific frames. This case study aimed to understand how teachers make connections between CT and subjects targeted for integration. Epistemological framing contributed new insights on why teachers connected CT in different ways to different subjects: frame shifting focused teachers' attention on goals and activities specific to each subject. As teachers attended to a subject's particularities, they drew upon different epistemic resources to construct their descriptions of CT. Our participants (n=6) were teachers who taught both 7th-12th grade computing and mathematics as separate subjects. Qualitative coding of interview transcripts revealed that teachers' ideas about CT in computing were strongly influenced by computer programming while their ideas about CT in mathematics corresponded with familiar ways of teaching and learning mathematics. Instead of accepting fragmented notions of CT as the price of integration into individual subjects, we propose limiting the scope when defining CT. We explain how this non-intuitive strategy can preserve the coherence of CT and how it might be used in CT professional development (PD) for mathematics teachers.</t>
  </si>
  <si>
    <t>390–396</t>
  </si>
  <si>
    <t>theory, teacher perspective, secondary mathematics education, professional development, framing, epistemic resource, disciplinarity, computational thinking</t>
  </si>
  <si>
    <t>10.1145/3556787</t>
  </si>
  <si>
    <t>WiPSCE '22: Proceedings of the 17th Workshop in Primary and Secondary Computing Education</t>
  </si>
  <si>
    <t>Research in primary and secondary computing education is a young field with strong ties to national educational systems. Nevertheless, its theories, methods, and results are internationally applicable and of interest to researchers and practitioners in the field. WiPSCE aims at improving the exchange of research and practice relevant to teaching and learning in primary and secondary computing education, teacher training, and related research.</t>
  </si>
  <si>
    <t>10.1145/3556787.3556867</t>
  </si>
  <si>
    <t>Observing Computational Thinking Skills of Kindergarten Children</t>
  </si>
  <si>
    <t>Meyer-Baron, Larissa and Stieger, Ramona and Waldvogel, Bettina and Schumann, Nicole and Ruedisueli, Cornelia and Mayr, Franziska</t>
  </si>
  <si>
    <t>https://doi.org/10.1145/3556787.3556867</t>
  </si>
  <si>
    <t xml:space="preserve">Computational Thinking skills along with reading, writing, and calculating skills are basic skills for children’s future. Computational Thinking has much in common with problem-solving and creative thinking in general. With regard to Karl Popper </t>
  </si>
  <si>
    <t>video analysis, problem-solving, kindergarten children, escape box, computational thinking, INGA-Box</t>
  </si>
  <si>
    <t>10.1145/3202185.3210800</t>
  </si>
  <si>
    <t>Game modding for computational thinking: an integrated design approach</t>
  </si>
  <si>
    <t>https://doi.org/10.1145/3202185.3210800</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</si>
  <si>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</si>
  <si>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687–692</t>
  </si>
  <si>
    <t>game modding, computational thinking, block-based programming</t>
  </si>
  <si>
    <t>10.1145/3670013.3670026</t>
  </si>
  <si>
    <t>Current status and enhancement strategies for developing computational thinking of high school students in blended learning --Take the high school information technology curriculum as an example</t>
  </si>
  <si>
    <t>Yang, Hairu and Dong, Jiamin and Li, Qiuhong and Shao, Yanru and Liu, Yuqi and Xu, Fei</t>
  </si>
  <si>
    <t>https://doi.org/10.1145/3670013.3670026</t>
  </si>
  <si>
    <t xml:space="preserve">In the information age, computational thinking has become a basic quality necessary for learners. How to effectively improve the teaching effect and cultivate students' computational thinking ability has become the focus of most scholars. With the extensive development of </t>
  </si>
  <si>
    <t>70–77</t>
  </si>
  <si>
    <t>10.1145/3545945.3569869</t>
  </si>
  <si>
    <t>Describing Elementary Students' Spheres of Influence in Scratch 'About Me' Projects</t>
  </si>
  <si>
    <t>Ojeda-Ramirez, Santiago and Tsan, Jennifer and Eatinger, Donna and Jacob, Sharin and Saito-Stehberger, Dana and Franklin, Diana and Warschauer, Mark</t>
  </si>
  <si>
    <t>https://doi.org/10.1145/3545945.3569869</t>
  </si>
  <si>
    <t>Researchers and practitioners have worked to bring computer science to all students. However, CS is still an inequitable field. When developing curricula, we must account for the importance of connecting the lives and identities of historically marginalized students with instructional materials. We examine the knowledge and experiences that elementary (age 9-10) students drew upon to implement an open-ended programming assignment about themselves. We coded the Scratch projects of 189 students to investigate what aspects of their lives students reference, and how they use various modalities in Scratch to create digital media products about themselves. In our data, we found that the most common spheres portrayed were identity, hobbies and leisure, and interests. When expressing their identities, students narrated their experiences, expressed consciousness about their skills, connected to the user via their interests, and sometimes discussed equity. Additionally, our findings add to previous literature on Scratch as an effective platform for digital media production. In particular, we found that students used dialogue, images, sound, and the title to represent their spheres of influence through programming multimedia and interactive projects. This work has implications for the development of curricula and teaching guides for upper elementary students courses on computational thinking. Spheres of influence could inform researchers on the most influential aspects of students life in a specific context, providing elements for creating culturally relevant and interest-based materials and lessons.</t>
  </si>
  <si>
    <t>333–339</t>
  </si>
  <si>
    <t>digital media, identity, k-5, scratch, spheres of influence</t>
  </si>
  <si>
    <t>10.1145/3386364</t>
  </si>
  <si>
    <t>Elementary Students’ Understanding of CS Terms</t>
  </si>
  <si>
    <t>Vandenberg, Jessica and Tsan, Jennifer and Boulden, Danielle and Zakaria, Zarifa and Lynch, Collin and Boyer, Kristy Elizabeth and Wiebe, Eric</t>
  </si>
  <si>
    <t>https://doi.org/10.1145/3386364</t>
  </si>
  <si>
    <t>The language and concepts used by curriculum designers are not always interpreted by children as designers intended. This can be problematic when researchers use self-reported survey instruments in concert with curricula, which often rely on the implicit belief that students’ understanding aligns with their own. We report on our refinement of a validated survey to measure upper elementary students’ attitudes and perspectives about computer science (CS), using an iterative, design-based research approach informed by educational and psychological cognitive interview processes. We interviewed six groups of students over three iterations of the instrument on their understanding of CS concepts and attitudes toward coding. Our findings indicated that students could not explain the terms&amp;nbsp;computer programs&amp;nbsp;nor&amp;nbsp;computer science&amp;nbsp;as expected. Furthermore, they struggled to understand how coding may support their learning in other domains. These results may guide the development of appropriate CS-related survey instruments and curricular materials for K–6 students.</t>
  </si>
  <si>
    <t>instrument development, elementary, computer science, Cognitive interviewing</t>
  </si>
  <si>
    <t>September 2020</t>
  </si>
  <si>
    <t>10.1145/3304221.3319786</t>
  </si>
  <si>
    <t>Use, Modify, Create: Comparing Computational Thinking Lesson Progressions for STEM Classes</t>
  </si>
  <si>
    <t>https://doi.org/10.1145/3304221.3319786</t>
  </si>
  <si>
    <t xml:space="preserve">Computational Thinking (CT) is being infused into curricula in a variety of core K-12 STEM courses. As these topics are being introduced to students without prior programming experience and are potentially taught by instructors unfamiliar with programming and CT, appropriate lesson design might help support both students and teachers. </t>
  </si>
  <si>
    <t>395–401</t>
  </si>
  <si>
    <t>modify-create, lesson design, computational thinking</t>
  </si>
  <si>
    <t>10.1145/3582515.3609570</t>
  </si>
  <si>
    <t>“It will surely fall”: Exploring Teachers’ Perspectives on Commercial Robots for Preschoolers</t>
  </si>
  <si>
    <t>Bakala, Ewelina and Pires, Ana Cristina and Tejera, Gonzalo and Hourcade, Juan Pablo</t>
  </si>
  <si>
    <t>Proceedings of the 2023 ACM Conference on Information Technology for Social Good</t>
  </si>
  <si>
    <t>https://doi.org/10.1145/3582515.3609570</t>
  </si>
  <si>
    <t>This paper presents a study with kindergarten teachers to assess the advantages, challenges and opportunities of commercial robots to teach computational thinking to young children. Recent studies have highlighted the potential benefits of introducing CT concepts at an early stage. Robots are an engaging and effective educational tool for teaching CT to young children, providing hands-on and interactive learning experiences. Entirely tangible robotic environments have successfully connected the abstract world of CT with the concrete world of preschoolers. Children can program robots by pressing buttons, drawing the path or using code cards. However, there is limited research on the use of commercial robots in preschool classrooms. This research aims to address this gap by investigating preschool teachers’ perspectives on the advantages, challenges, and opportunities associated with using commercial robots in the context of kindergarten classrooms. We contribute with a list of practical, pedagogical and motivational aspects that should be taken into account while evaluating robots and design considerations to build robotic environments for kindergarten classrooms.</t>
  </si>
  <si>
    <t>477–486</t>
  </si>
  <si>
    <t>9798400701160</t>
  </si>
  <si>
    <t>GoodIT '23</t>
  </si>
  <si>
    <t>Educational robotics, Preschoolers, Teachers’ perspective</t>
  </si>
  <si>
    <t>Lisbon, Portugal</t>
  </si>
  <si>
    <t>10.1145/3588243.3588256</t>
  </si>
  <si>
    <t>Construction and Validation of an Online Teaching Model for the Development of Computational Thinking: Take high school information technology course as an example</t>
  </si>
  <si>
    <t>Yang, Hairu and Li, Qiuhong and Dong, Jiamin and Bai, Xinye and Cai, Minghan and Xu, Xiang</t>
  </si>
  <si>
    <t>Proceedings of the 2023 14th International Conference on E-Education, E-Business, E-Management and E-Learning</t>
  </si>
  <si>
    <t>https://doi.org/10.1145/3588243.3588256</t>
  </si>
  <si>
    <t>In the information age, online teaching will gradually become an inevitable trend in the era of modern education informatization. Online teaching has the advantages of easy operation and abundant resources, but it has higher requirements for the design of teaching mode and teaching content. Computational thinking, as the core idea of IT teaching, emphasizes the long-term development and deep development of IT learning, which has great practical significance for students to improve themselves and cultivate their ability development. So in the online teaching of high school IT courses, how to build an online teaching mode suitable for students' development and achieve the purpose of effectively cultivating students' computational thinking? This study combines specific teaching, guided by constructivist theory, nearest developmental zone theory, situational cognition and other theories, and uses literature research method, questionnaire survey method, quasi-experimental research method and other research methods to conduct a study on the construction and validation of online teaching model of high school information technology geared to the cultivation of computational thinking. The results of the study showed that the proposed teaching model was found to have a significant promotion effect on students' academic performance and computational thinking through the examination of students' academic performance and computational thinking.</t>
  </si>
  <si>
    <t>74–81</t>
  </si>
  <si>
    <t>9798400700651</t>
  </si>
  <si>
    <t>IC4E '23</t>
  </si>
  <si>
    <t>teaching models, online learning, computational thinking</t>
  </si>
  <si>
    <t>Shenzhen, China</t>
  </si>
  <si>
    <t>10.1145/3123818.3123861</t>
  </si>
  <si>
    <t>Analyzing the learnability of childprogramming model, as a subcharacteristic of the usability</t>
  </si>
  <si>
    <t>Gonz\'{a</t>
  </si>
  <si>
    <t>Proceedings of the XVIII International Conference on Human Computer Interaction</t>
  </si>
  <si>
    <t>https://doi.org/10.1145/3123818.3123861</t>
  </si>
  <si>
    <t>ChildProgramming is a process model which teaches software programming to children, and its goal is to get computational thinking skills. This model was proposed in the year 2012 and has been implemented in some educational institutions to the programming teaching which is getting significant results. In the investigation and consolidation have performed different case studies where the teachers have manifested some difficulties in the moment of interpret and apply the model in their classroom. However, ChildProgramming is not a software product, but a process, this paper propose to evaluate the learning capacity that offers the model to its end users, as one the subcharacteristics of the proposed usability in the norm ISO/IEC 25010. For this evaluation is defined some metrics related to familiarity, common language, consistency and intuition, which in this work are adapted to the evaluation of a software process with purpose of identify improvements in the structure and description of the ChildProgramming model.</t>
  </si>
  <si>
    <t>9781450352291</t>
  </si>
  <si>
    <t>44</t>
  </si>
  <si>
    <t>usability, learnability, familiarity, common language, childprogramming</t>
  </si>
  <si>
    <t>Cancun, Mexico</t>
  </si>
  <si>
    <t>10.1145/3486011.3486414</t>
  </si>
  <si>
    <t>Specific Didactic Strategies Used for the Development of Computational Thinking in the Female Collective in Primary and Secondary Education: A Systematic Review Protocol</t>
  </si>
  <si>
    <t>Torres-Torres, Yucnary-Daitiana and Rom\'{a</t>
  </si>
  <si>
    <t>https://doi.org/10.1145/3486011.3486414</t>
  </si>
  <si>
    <t>Science, Technology, Engineering, Arts and Mathematics (STEAM) are fundamental basis for the development of our society. From this perspective, it is necessary to educate all people to solve problems underlying computer programming tasks since it is an important foundation of the STEAM world. Consequently, it is urgent to implement proposals aimed at the development of computational thinking, especially for girls since there is little representation of this group in the STEAM context. Therefore, this work is based on a systematic review protocol aimed at identifying the different strategies in the teaching and learning of computational thinking from a gender perspective, generating an alert regarding the needs of the female group in learning computational thinking and promoting gender-equitable education in this regard.</t>
  </si>
  <si>
    <t>25–29</t>
  </si>
  <si>
    <t>10.5555/3199572.3199594</t>
  </si>
  <si>
    <t>Preparing upper elementary school teachers for integrating computational thinking into regular classroom activities</t>
  </si>
  <si>
    <t>Recent initiatives demonstrate the interest in, and demand for, computational thinking education in elementary schools. However, teachers' readiness for programming-based activities along with their concerns about taking away time from key subject content present barriers for broader integration of computational thinking. This paper presents our experience and findings of a yearlong professional development for a cohort of 21 teachers from self-contained classrooms in grades 4 - 6. The project targeted these grade levels for two reasons: (1) self-contained classrooms provide maximum contact time between teachers and students, affording more flexibility in scheduling and potential for sustained impact, and (2) these grades are critical times for students to build interest and foundations in STEM while many teachers in these classrooms have limited STEM and computing background. The paper provides an overview of the professional development and describes selected activities in more detail. The impact of the professional development on the participating teachers is also presented.</t>
  </si>
  <si>
    <t>165–171</t>
  </si>
  <si>
    <t>April 2018</t>
  </si>
  <si>
    <t>10.1145/3569173</t>
  </si>
  <si>
    <t>CSERC '22: Proceedings of the 11th Computer Science Education Research Conference</t>
  </si>
  <si>
    <t>10.1145/3488838.3488842</t>
  </si>
  <si>
    <t>Testing a design-based learning approach to enhance elementary students’ computational thinking with experience-sampling method</t>
  </si>
  <si>
    <t>Li, Xing and Zhang, Yi and Huang, Jing</t>
  </si>
  <si>
    <t>Proceedings of the 3rd World Symposium on Software Engineering</t>
  </si>
  <si>
    <t>https://doi.org/10.1145/3488838.3488842</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</si>
  <si>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</si>
  <si>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17–22</t>
  </si>
  <si>
    <t>9781450384094</t>
  </si>
  <si>
    <t>WSSE '21</t>
  </si>
  <si>
    <t>STEM education, Experience-sampling method, Design based learning, Computational thinking</t>
  </si>
  <si>
    <t>Xiamen, China</t>
  </si>
  <si>
    <t>10.1145/3372782.3406268</t>
  </si>
  <si>
    <t>Opening the Black Box: Investigating Student Understanding of Data Displays Using Programmable Sensor Technology</t>
  </si>
  <si>
    <t>Gendreau Chakarov, Alexandra and Biddy, Quentin and Jacobs, Jennifer and Recker, Mimi and Sumner, Tamara</t>
  </si>
  <si>
    <t>Proceedings of the 2020 ACM Conference on International Computing Education Research</t>
  </si>
  <si>
    <t>https://doi.org/10.1145/3372782.3406268</t>
  </si>
  <si>
    <t>This paper describes the design and classroom implementation of a week-long unit that aims to integrate computational thinking (CT) into middle school science classes using programmable sensor technology. The goals of this sensor immersion unit are to help students understand why and how to use sensor and visualization technology as a powerful data-driven tool for scientific inquiry in ways that align with modern scientific practice. The sensor immersion unit is anchored in the investigation of classroom data where students engage with the sensor technology to ask questions about and design displays of the collected data. Students first generate questions about how data data displays work and then proceed through a set of programming exercises to help them understand how to collect and display data collected from their classrooms by building their own mini data displays. Throughout the unit students draw and update their hand drawn models representing their current understanding of how the data displays work. The sensor immersion unit was implemented by ten middle school science teachers during the 2019/2020 school year. Student drawn models of the classroom data displays from four of these teachers were analyzed to examine students' understandings in four areas: function of sensor components, process models of data flow, design of data displays, and control of the display. Students showed the best understanding when describing sensor components. Students exhibited greater confusion when describing the process of how data streams moved through displays and how programming controlled the data displays.</t>
  </si>
  <si>
    <t>291–301</t>
  </si>
  <si>
    <t>9781450370929</t>
  </si>
  <si>
    <t>ICER '20</t>
  </si>
  <si>
    <t>sensors, middle school science, micro:bit, computational thinking</t>
  </si>
  <si>
    <t>Virtual Event, New Zealand</t>
  </si>
  <si>
    <t>10.1145/3625298</t>
  </si>
  <si>
    <t>Programmable Analog System Benchmarks Leading to Efficient Analog Computation Synthesis</t>
  </si>
  <si>
    <t>Hasler, Jennifer and Hao, Cong</t>
  </si>
  <si>
    <t>https://doi.org/10.1145/3625298</t>
  </si>
  <si>
    <t>This effort develops the first rich suite of analog and mixed-signal benchmark of various sizes and domains, intended for use with contemporary analog and mixed-signal designs and synthesis tools. Benchmarking enables analog-digital co-design exploration as well as extensive evaluation of analog synthesis tools and the generated analog/mixed-signal circuit or device. The goals of this effort are defining analog computation system benchmarks, developing the required concepts for higher-level analog and mixed-signal tools to utilize these benchmarks, and enabling future automated architectural design space exploration (DSE) to determine the best configurable architecture (e.g., a new FPAA) for a certain family of applications. The benchmarks comprise multiple levels of an acoustic, a vision, a communications, and an analog filter system that must be simultaneously satisfied for a complete system.</t>
  </si>
  <si>
    <t>Analog benchmarks, analog system synthesis, mixed-signal HLS, analog computing</t>
  </si>
  <si>
    <t>10.1145/3677619.3678116</t>
  </si>
  <si>
    <t>Extrinsic Barriers to Integrating Computer Science in Elementary School Subject Areas in the United States</t>
  </si>
  <si>
    <t>McGill, Monica M. and Thigpen, Laycee</t>
  </si>
  <si>
    <t>https://doi.org/10.1145/3677619.3678116</t>
  </si>
  <si>
    <t>Problem. With the expansion of K-12 Computer Science (CS) education across the United States, some schools are actively integrating CS into elementary schools (K-5). To successfully introduce CS into K-5 classrooms and integrate it into existing subjects like mathematics and literacy, understanding the key barriers to successful integration is necessary for paving the way for future adoption. However, little is still known about extrinsic barriers within the K-5 classroom and how they can be overcome. Research Question. Our research question for this study was What are the extrinsic barriers associated with integrating computer science in the elementary grade levels?Method. We conducted a mixed methods study, including a survey (n = 160) and a set of focus groups (n = 23) with decision makers in education. We synthesized the results, deriving categories within extrinsic. Findings. We found eight categories of extrinsic barriers: lack of physical resources, lack of curriculum, lack of funding, limited professional development, limited administrator knowledge about CS, limited time to plan and teach, lack of local policies and priorities, and limited community support. Implications. The majority of these barriers are not new and educators can lean on past practices for mitigating barriers. Researchers can also focus their studies on efforts where barriers still remain, such as how to plan, teach, and assess computing integrated with other K-5 subjects.</t>
  </si>
  <si>
    <t>K-5, United States, barriers, computer science, computing education, education, elementary, extrinsic, first-order, primary</t>
  </si>
  <si>
    <t>10.1145/3649409</t>
  </si>
  <si>
    <t>SIGCSE Virtual 2024: Proceedings of the 2024 on ACM Virtual Global Computing Education Conference V. 2</t>
  </si>
  <si>
    <t>On behalf of SIGCSE Virtual 2024 Steering, Organization, and Program Committees, we would like to welcome you to this wonderful event. SIGCSE Virtual 2024, 1st ACM Virtual Global Computing Education Conference is now a reality after over a year of work by all the committee members. We like to send our special thanks to the SIGCSE Board and ACM for their continued support, encouragement and facilitation.One of the major goals of SIGCSE Virtual is to promote an inclusive and easily accessible conference to all interested in CS education research and practice. The hope is to allow those who are not able to easily travel to SIGCSE conferences to participate virtually from around the world. For this reason, the core of the conference follows all other SIGCSE conferences by providing papers, panels, posters/lightning talks, working groups, and doctoral consortium sessions dedicated to CS education research and practice.The conference has different themes based on the global aspects of CS education while considering regional circumstances. The sessions are offered considering time-zone constraints. The online program adjusts to time zones.Several different activities are provided besides the technical sessions by conference sponsors as well as for social engagements. All these activities are included in the program.</t>
  </si>
  <si>
    <t>10.1145/3625704.3625766</t>
  </si>
  <si>
    <t>Applying a Blended Board Game System with Robotic Arm for Training Computational Thinking: Learning through Human-Machine Competition</t>
  </si>
  <si>
    <t>Yong, Lin and Zhan, Zehui and Zou, Xuanxuan and Chen, Li and Lin, Zhihang and Zhan, Weiyu</t>
  </si>
  <si>
    <t>Proceedings of the 7th International Conference on Education and Multimedia Technology</t>
  </si>
  <si>
    <t>https://doi.org/10.1145/3625704.3625766</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</si>
  <si>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</si>
  <si>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9798400709142</t>
  </si>
  <si>
    <t>ICEMT '23</t>
  </si>
  <si>
    <t>Computational thinking, abstraction, blended board game system, human-machine competition, robotic arm</t>
  </si>
  <si>
    <t>10.1145/3328778.3366925</t>
  </si>
  <si>
    <t>Lessons Learned From Introducing Preteens in Parent-Led Homeschooling to Computational Thinking</t>
  </si>
  <si>
    <t>Sep\'{u</t>
  </si>
  <si>
    <t>https://doi.org/10.1145/3328778.3366925</t>
  </si>
  <si>
    <t xml:space="preserve">Parents that homeschool their children ignore certain topics when they lack mastery or interest in them. Homeschool groups try to address this issue, cooperatively educating their children. We were contacted by such a group that wanted to introduce their children to computational thinking (CT). These children, aged 7-11, have showed an interest in technology, and use online educational resources. None of the parents felt capable of tutoring the group about CT. They also worried about losing control about how their children interact with technology. We report an intervention over 9 months to introduce eleven young homeschoolers to CT in a suburban environment, describing the impact on parent and children attitudes towards technology and CT. We conclude with three lessons: 1)~science-related activities should be used to introduce CT among homeschoolers, 2) </t>
  </si>
  <si>
    <t>65–71</t>
  </si>
  <si>
    <t>young learners, homeschooling, computational thinking</t>
  </si>
  <si>
    <t>10.1145/3736181</t>
  </si>
  <si>
    <t>CompEd 2025: Proceedings of the ACM Global on Computing Education Conference 2025 Vol 1</t>
  </si>
  <si>
    <t>Welcome to ACM SIGCSE CompEd 2025. It is my great honor to welcome you to the 3rd ACM Global Computing Education Conference (CompEd 2025), which is being held in Gaborone, Botswana. The Working Groups are meeting on October 21-22, the Doctoral Consortium on October 22, and the main conference from October 23-25, 2025.Every two years, CompEd brings the SIGCSE community to new regions of the world, creating opportunities to grow computing education research in places not traditionally reached by its other conferences. After Chengdu, China (2019) and Hyderabad, India (2023), we are proud to host CompEd on the African continent for the first time.The choice of Botswana is deeply significant. Africa is witnessing rapid growth in computing education and research. Once only a small fraction of participation at SIGCSE conferences, African voices are now emerging with strength and visibility. CompEd 2025 marks not just a geographic milestone, but a moment of growth for our global community.Continuing its mission, CompEd fosters global dialogue, builds partnerships across borders, and amplifies diverse perspectives in computing education. More than a conference, it is a space for collaboration, innovation, and community building.We invite you to celebrate this milestone with us, to engage with colleagues from across the globe, and to help shape the future of computing education together.Welcome to Botswana. Welcome to Africa. Welcome to CompEd 2025.</t>
  </si>
  <si>
    <t>10.1145/3408877.3432532</t>
  </si>
  <si>
    <t>The Design and Implementation of a Method for Evaluating and Building Research Practice Partnerships</t>
  </si>
  <si>
    <t>Rorrer, Audrey and Pugalee, David and Edwards, Callie and Boulden, Danielle and Maher, Mary Lou and Cao, Lijuan and Dorodchi, Mohsen and Catete, Veronica and Frye, David and Barnes, Tiffany and Wiebe, Eric</t>
  </si>
  <si>
    <t>https://doi.org/10.1145/3408877.3432532</t>
  </si>
  <si>
    <t>We have established a research-practice partnership (RPP) to build a computer science (CS) and computational thinking (CT)-focused STEM ecosystem at two middle schools. Creating such an ecosystem to broaden student participation in computing through an RPP approach involves all stakeholders in the research process. Borrowing upon visual participatory research methods, we developed a graphic research instrument to engage teachers in the research process and elicit their perspectives on strategies for building the ecosystem. This experience report describes our research methodology across two distinct cases to demonstrate the utility of this drawing activity as an investigative and partnership development tool. The contribution is in offering a flexible approach to other university-based RPP teams that enables a synergistic partnership development tool and data collection instrument that can be tailored to a variety of RPP contexts, facilitating more productive and equitable ways of engaging stakeholders in the research process. We describe our project contexts and share results from the pilot study with practitioner-members of our RPP teams. We discuss two cases to highlight the contribution this approach made to the development of our partnerships.</t>
  </si>
  <si>
    <t>753–759</t>
  </si>
  <si>
    <t>research-practice partnerships, qualitative measures, program evaluation, design-based research</t>
  </si>
  <si>
    <t>10.1145/3576882</t>
  </si>
  <si>
    <t>CompEd 2023: Proceedings of the ACM Conference on Global Computing Education Vol 1</t>
  </si>
  <si>
    <t>It is our great pleasure to welcome participants to the 2nd ACM Global Conference on Computing Education (ACM CompEd 2023) being held in Hyderabad, India, 7th-9th December, 2023 with the Working Groups meetings being held on 5th and 6th December 2023.ACM CompEd is a recent addition to the list of ACM sponsored conferences devoted to research in all aspects of computing education, including education at the school and college levels. The Hyderabad edition is only the second in this promising series. The long hiatus due to Covid-19 pushed this conference by two years, but we are glad that it is finally here!This edition of ACM CompEd partly overlaps with COMPUTE 2023, ACM India's flagship conference on Computing Education. Having the two conferences adjacent to each other is a great way to build synergy between the Indian computing education community and the global community of computing education researchers.</t>
  </si>
  <si>
    <t>10.1145/3578837.3578869</t>
  </si>
  <si>
    <t>The Effect of Logical Argument Recomposition using Triangular Logic Model on Critical Thinking Compared to Conventional Method</t>
  </si>
  <si>
    <t>Rashid, Hori and Khudhur, Nawras and Hayashi, Yusuke and Hirashima, Tsukasa</t>
  </si>
  <si>
    <t>Proceedings of the 2022 6th International Conference on Education and E-Learning</t>
  </si>
  <si>
    <t>https://doi.org/10.1145/3578837.3578869</t>
  </si>
  <si>
    <t>The terms critical thinking and logical reasoning are highly valued in schools, at work, or in daily life. Critical thinking consists of five mutual skills of analyzing arguments, assumptions, deductions, inference, and interpreting information. This research explores the effects of using a logical argument recomposition approach on the skills of critical thinking compared to the conventional method. The effect of logical argument recomposition exercise and each category of critical thinking are also explored. To collect preliminary data, a pilot study was conducted recruiting undergraduate students at an Indonesian university. The Watson Glaser Critical Thinking Appraisal (WGCTA) assessment is used to measure the change in students' critical thinking skills. The results indicated that: 1) TLM exercise possibly has a positive effect on improving the skill of critical thinking; 2) TLM exercise has an influence on three of the five critical thinking categories of WGCTA. 3) Students give a very strong agreement in their opinion on using TLM-based exercise as a tool to improve their critical thinking skills.</t>
  </si>
  <si>
    <t>220–226</t>
  </si>
  <si>
    <t>9781450398428</t>
  </si>
  <si>
    <t>ICEEL '22</t>
  </si>
  <si>
    <t>Critical thinking, Logical argument, Recomposition, Toulmin, Triangular logic model</t>
  </si>
  <si>
    <t>Yamanashi, Japan</t>
  </si>
  <si>
    <t>10.1145/3230977.3231010</t>
  </si>
  <si>
    <t>Using Computational Thinking to Transform Elementary Mathematics Instruction</t>
  </si>
  <si>
    <t>Rich, Kathryn M.</t>
  </si>
  <si>
    <t>https://doi.org/10.1145/3230977.3231010</t>
  </si>
  <si>
    <t>Computer science (CS) education advocates argue that integration of computational thinking (CT) into instruction in other subjects has promise for providing a strong foundation in computer science ideas for elementary school students. Less attention has been given to the role that CT may play in improving learning in subjects other than computer science. This document summarizes my plans to study how teaching elementary level mathematics through computational thinking practices can improve mathematics learning.</t>
  </si>
  <si>
    <t>286–287</t>
  </si>
  <si>
    <t>computational thinking, k-5, mathematics</t>
  </si>
  <si>
    <t>10.1145/3322276.3322358</t>
  </si>
  <si>
    <t>Exploring the Intersection of Emotional Literacy and Computational Modeling Using Scratch</t>
  </si>
  <si>
    <t>Vacca, Ralph</t>
  </si>
  <si>
    <t>Proceedings of the 2019 on Designing Interactive Systems Conference</t>
  </si>
  <si>
    <t>https://doi.org/10.1145/3322276.3322358</t>
  </si>
  <si>
    <t>Computational thinking learning tools such as Scratch support forms of expressive making that can aid in reflection and understanding complex scientific concepts and systems. However, little research has explored how such computational tools might support forms of emotional literacy such as developing an understanding of emotions. Through an exploratory design with 11 participants, Scratch was used to create models representing participants' emotion knowledge. The overarching research question focused on how might computational tools aid in supporting reflection on emotion knowledge. Analysis of artifacts generated through sketching and Scratch, as well as transcribed design discussions were used as points of data analysis. Drawing on theories of computational thinking and emotional literacy, we present an analysis that highlights the potential for such tools to support certain reflective practices around emotion knowledge.</t>
  </si>
  <si>
    <t>849–858</t>
  </si>
  <si>
    <t>9781450358507</t>
  </si>
  <si>
    <t>DIS '19</t>
  </si>
  <si>
    <t>systems modeling, self-reflection, scratch, mental health, emotional literacy, emotion understanding, emotion knowledge, computational modeling</t>
  </si>
  <si>
    <t>San Diego, CA, USA</t>
  </si>
  <si>
    <t>10.1145/3670013</t>
  </si>
  <si>
    <t>IC4E '24: Proceedings of the 2024 15th International Conference on E-Education, E-Business, E-Management and E-Learning</t>
  </si>
  <si>
    <t>10.1145/3287324.3287456</t>
  </si>
  <si>
    <t>A Teacher Workshop for Introducing Computational Thinking in Rural and Vulnerable Environments</t>
  </si>
  <si>
    <t>Simmonds, Jocelyn and Gutierrez, Francisco J. and Casanova, Cecilia and Sotomayor, Cecilia and Hitschfeld, Nancy</t>
  </si>
  <si>
    <t>https://doi.org/10.1145/3287324.3287456</t>
  </si>
  <si>
    <t>In Latin America, computational thinking workshops are mostly developed in urban areas, charging participation fees. And although teachers are increasingly being expected to include technology in their classrooms, computational thinking and programming are not mandatory topics in teacher training programs. This hinders the development of digital skills among Latino students, and we expect that the digital gap between urban and rural populations will expand over time, especially in socio-economically vulnerable populations. Believing that teachers can be agents of change, we designed a 12 hour workshop to train the K-8 teaching staff in a rural and vulnerable school. The goal of this experience was to help these teachers develop basic computational thinking skills and devise new ways to incorporate what they learned in their classrooms. In this paper, we report our experience facilitating this workshop, and analyze the teacher perceptions before and after the intervention. Teacher attitudes changed drastically during the execution of the workshop, and they were able to come up with creative ways of incorporating computational thinking activities into their subjects. The reported experience can be used as input to develop public policies with respect to how computational thinking should be introduced in rural and vulnerable environments.</t>
  </si>
  <si>
    <t>1143–1149</t>
  </si>
  <si>
    <t>teacher development, socio-economic vulnerability, rural environments, latin america, computational thinking</t>
  </si>
  <si>
    <t>10.1145/2445196.2445404</t>
  </si>
  <si>
    <t>Using a discourse-intensive pedagogy and android's app inventor for introducing computational concepts to middle school students</t>
  </si>
  <si>
    <t>Grover, Shuchi and Pea, Roy</t>
  </si>
  <si>
    <t>Proceeding of the 44th ACM Technical Symposium on Computer Science Education</t>
  </si>
  <si>
    <t>https://doi.org/10.1145/2445196.2445404</t>
  </si>
  <si>
    <t>Past research on children and programming from the 1980s called for deepening the study of the pedagogy of programming in order to help children build better cognitive models of foundational concepts of CS. More recently, computing education researchers are beginning to recognize the need to apply the learning sciences to develop age- and grade-appropriate curricula and pedagogies for developing computational competencies among children. This paper presents the curriculum of an exploratory workshop that employed a discourse-intensive pedagogy to introduce middle school children to programming and foundational concepts of computer science through programming mobile apps in App Inventor for Android (AIA).</t>
  </si>
  <si>
    <t>723–728</t>
  </si>
  <si>
    <t>9781450318686</t>
  </si>
  <si>
    <t>SIGCSE '13</t>
  </si>
  <si>
    <t>middle school, introductory programming, experience report, computational thinking, app inventor, android, K-12 instruction, CS ed research</t>
  </si>
  <si>
    <t>Denver, Colorado, USA</t>
  </si>
  <si>
    <t>10.1145/3610969</t>
  </si>
  <si>
    <t>UKICER '23: Proceedings of the 2023 Conference on United Kingdom &amp;amp; Ireland Computing Education Research</t>
  </si>
  <si>
    <t>10.1145/1508865.1509042</t>
  </si>
  <si>
    <t>Young women in computing: lessons learned from an educational &amp;amp; outreach program</t>
  </si>
  <si>
    <t>Pivkina, Inna and Pontelli, Enrico and Jensen, Rachel and Haebe, Jessica</t>
  </si>
  <si>
    <t>2009</t>
  </si>
  <si>
    <t>Proceedings of the 40th ACM Technical Symposium on Computer Science Education</t>
  </si>
  <si>
    <t>https://doi.org/10.1145/1508865.1509042</t>
  </si>
  <si>
    <t>This paper describes the Young Women in Computing program, an ongoing outreach program in Computer Science at New Mexico State University (NMSU). Features of the program include summer camps and academic year activities, computing in context, peer mentoring, and role models. The main goal is to increase interest in computing among female high school students. The paper discusses lessons learned from three years of experience with the program.</t>
  </si>
  <si>
    <t>509–513</t>
  </si>
  <si>
    <t>9781605581835</t>
  </si>
  <si>
    <t>SIGCSE '09</t>
  </si>
  <si>
    <t>gender, diversity, cs outreach, camp</t>
  </si>
  <si>
    <t>Chattanooga, TN, USA</t>
  </si>
  <si>
    <t>10.1145/3629296</t>
  </si>
  <si>
    <t>ICETC '23: Proceedings of the 15th International Conference on Education Technology and Computers</t>
  </si>
  <si>
    <t>10.1145/1645953.1646084</t>
  </si>
  <si>
    <t>A framework for semantic link discovery over relational data</t>
  </si>
  <si>
    <t>Hassanzadeh, Oktie and Kementsietsidis, Anastasios and Lim, Lipyeow and Miller, Ren\'{e</t>
  </si>
  <si>
    <t>Proceedings of the 18th ACM Conference on Information and Knowledge Management</t>
  </si>
  <si>
    <t>https://doi.org/10.1145/1645953.1646084</t>
  </si>
  <si>
    <t>Discovering links between different data items in a single data source or across different data sources is a challenging problem faced by many information systems today. In particular, the recent Linking Open Data (LOD) community project has highlighted the paramount importance of establishing semantic links among web data sources. Currently, LOD sources provide billions of RDF triples, but only millions of links between data sources. Many of these data sources are published using tools that operate over relational data stored in a standard RDBMS. In this paper, we present a framework for discovery of semantic links from relational data. Our framework is based on declarative specification of linkage requirements by a user. We illustrate the use of our framework using several link discovery algorithms on a real world scenario. Our framework allows data publishers to easily find and publish high-quality links to other data sources, and therefore could significantly enhance the value of the data in the next generation of web.</t>
  </si>
  <si>
    <t>1027–1036</t>
  </si>
  <si>
    <t>9781605585123</t>
  </si>
  <si>
    <t>CIKM '09</t>
  </si>
  <si>
    <t>semantic link discovery, record matching, linked data, data management</t>
  </si>
  <si>
    <t>Hong Kong, China</t>
  </si>
  <si>
    <t>10.1145/3572549</t>
  </si>
  <si>
    <t>ICETC '22: Proceedings of the 14th International Conference on Education Technology and Computers</t>
  </si>
  <si>
    <t>10.1145/3628516</t>
  </si>
  <si>
    <t>IDC '24: Proceedings of the 23rd Annual ACM Interaction Design and Children Conference</t>
  </si>
  <si>
    <t>10.1145/3638067</t>
  </si>
  <si>
    <t>IHC '23: Proceedings of the XXII Brazilian Symposium on Human Factors in Computing Systems</t>
  </si>
  <si>
    <t>9798400717154</t>
  </si>
  <si>
    <t>Macei\'{o</t>
  </si>
  <si>
    <t>10.1145/3578837</t>
  </si>
  <si>
    <t>ICEEL '22: Proceedings of the 2022 6th International Conference on Education and E-Learning</t>
  </si>
  <si>
    <t>10.1145/3551708</t>
  </si>
  <si>
    <t>ICEMT '22: Proceedings of the 6th International Conference on Education and Multimedia Technology</t>
  </si>
  <si>
    <t>10.1145/3612783</t>
  </si>
  <si>
    <t>10.1145/3582515</t>
  </si>
  <si>
    <t>GoodIT '23: Proceedings of the 2023 ACM Conference on Information Technology for Social Good</t>
  </si>
  <si>
    <t>10.1145/3588243</t>
  </si>
  <si>
    <t>IC4E '23: Proceedings of the 2023 14th International Conference on E-Education, E-Business, E-Management and E-Learning</t>
  </si>
  <si>
    <t>10.1145/103085.103089</t>
  </si>
  <si>
    <t>The JPEG still picture compression standard</t>
  </si>
  <si>
    <t>Wallace, Gregory K.</t>
  </si>
  <si>
    <t>1991</t>
  </si>
  <si>
    <t>https://doi.org/10.1145/103085.103089</t>
  </si>
  <si>
    <t>30–44</t>
  </si>
  <si>
    <t>34</t>
  </si>
  <si>
    <t>April 1991</t>
  </si>
  <si>
    <t>10.1145/3623509</t>
  </si>
  <si>
    <t>TEI '24: Proceedings of the Eighteenth International Conference on Tangible, Embedded, and Embodied Interaction</t>
  </si>
  <si>
    <t>10.1145/3625704</t>
  </si>
  <si>
    <t>ICEMT '23: Proceedings of the 7th International Conference on Education and Multimedia Technology</t>
  </si>
  <si>
    <t>Replicated</t>
  </si>
  <si>
    <t>News intervention</t>
  </si>
  <si>
    <t>News evaluation</t>
  </si>
  <si>
    <t>Integrating computational thinking into english dialogue learning through graphical programming tool</t>
  </si>
  <si>
    <t>Computational Thinking Education for Children: Algorithmic Thinking and Debugging</t>
  </si>
  <si>
    <t>A Formative Assessment Tool to Support Computational Thinking in the Classroom</t>
  </si>
  <si>
    <t>Computational thinking in school education in South America: Systematic review of the literature</t>
  </si>
  <si>
    <t>Computational Thinking Growth During a First-Year Engineering Course</t>
  </si>
  <si>
    <t>Promoting Teaching Self-efficacy in Computational Thinking of School Teachers</t>
  </si>
  <si>
    <t>Collaborative Game-Based Environment and Assessment Tool for Learning Computational Thinking in Primary School: A Case Study</t>
  </si>
  <si>
    <t>Educational Robotics Applied to Computational Thinking Development: A Systematic Mapping Study</t>
  </si>
  <si>
    <t>Using Structural Equation Modeling to Examine the Relationship Between Preservice Teachers’ Computational Thinking Attitudes and Skills</t>
  </si>
  <si>
    <t>A Framework to Assess Melodic Effectiveness in Training Computational Thinking to Visually Impaired People</t>
  </si>
  <si>
    <t>Computational Thinking Integration into Archival Educators’ Networked Instruction</t>
  </si>
  <si>
    <t>The Future Nexus of Computational Thinking Education: A Preliminary Systematic Review of Reviews</t>
  </si>
  <si>
    <t>Assessment of Computational Thinking Skills: A Systematic Review of the Literature</t>
  </si>
  <si>
    <t>Development and Validation of the Engineering Computational Thinking Diagnostic for Undergraduate Students</t>
  </si>
  <si>
    <t>Math+CS: Comparing Teaching Candidates in a Methods Course and Pre-Service Teachers in a Math and Technology Course</t>
  </si>
  <si>
    <t>GeoGebra applet to learn programming and debugging in mathematics lessons</t>
  </si>
  <si>
    <t>Design and Application of a Game Activity-Based Unplugged Programming Curriculum for Elementary Schools</t>
  </si>
  <si>
    <t>Inequalities in Computational Thinking Among Incoming Students in an STEM Chilean University</t>
  </si>
  <si>
    <t>Teachers' Intention to Integrate Computational Thinking Skills in Higher Education: A Survey Study in the Netherlands</t>
  </si>
  <si>
    <t>Constructing a Computational Thinking Evaluation Framework for Pupils</t>
  </si>
  <si>
    <t>Integrating Computational Thinking Skills in Secondary Education: a Feasibility Study</t>
  </si>
  <si>
    <t>Integrating Computational Thinking Into the Curricula to Bridge the Skill Gap in Engineering Education</t>
  </si>
  <si>
    <t>Design and Performance Validation of a Computational Thinking Gamified Intelligent Tutoring System Focusing on Thinking Process</t>
  </si>
  <si>
    <t>Pattern recognition in programming to support the evaluation of Computational Thinking</t>
  </si>
  <si>
    <t>Theoretical Evaluation of a Computation Thinking Instrument for Primary School Graduates</t>
  </si>
  <si>
    <t>Development and Validation Study of Computational Thinking Test for Elementary and Middle School Students in Artificial Intelligence Contexts</t>
  </si>
  <si>
    <t>Enhancing A Holistic Approach Towards Computational Thinking Assessment in Education</t>
  </si>
  <si>
    <t>Does text-based programming improve K-12 students’ CT skills? Evidence from a meta-analysis and synthesis of qualitative data in educational contexts</t>
  </si>
  <si>
    <t>Towards an Assessment Model of College Students' Computational Thinking with Text-Based Programming</t>
  </si>
  <si>
    <t>Amplifying Children's Computational Problem-Solving Skills: A Hybrid-Based Design for Programming Education</t>
  </si>
  <si>
    <t>Instrumental Genesis Stages of Programming for Mathematical Work</t>
  </si>
  <si>
    <t>Accessible Computational Thinking in Elementary Science: An Aligning Framework for Teacher Learning and Implementation</t>
  </si>
  <si>
    <t>Preparing inservice science teachers to bring unplugged computational thinking to their students</t>
  </si>
  <si>
    <t>Advancing young students’ computational thinking: An investigation of structured curriculum in early years primary schooling</t>
  </si>
  <si>
    <t>Preschool children, robots, and computational thinking: A systematic review</t>
  </si>
  <si>
    <t>Understanding the use of physical computing in K-12 education: A systematic literature review</t>
  </si>
  <si>
    <t>Enhancing computational thinking in early childhood education with educational robotics: A meta-analysis</t>
  </si>
  <si>
    <t>Supporting interest development in gifted software education through computational thinking and project-based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</si>
</sst>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amily val="2"/>
    </font>
    <font>
      <u/>
      <sz val="11"/>
      <color rgb="FF0563C1"/>
      <name val="Calibri"/>
      <family val="2"/>
    </font>
    <font>
      <b/>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1" xfId="0" applyFont="1" applyBorder="1" applyAlignment="1">
      <alignment horizontal="center" vertical="top"/>
    </xf>
    <xf numFmtId="0" fontId="2" fillId="0" borderId="2" xfId="0" applyFont="1" applyBorder="1" applyAlignment="1">
      <alignment horizontal="center" vertical="top"/>
    </xf>
    <xf numFmtId="0" fontId="1" fillId="0" borderId="0" xfId="1" applyFont="1" applyAlignment="1"/>
    <xf numFmtId="0" fontId="2" fillId="0" borderId="0" xfId="0" applyFont="1"/>
  </cellXfs>
  <cellStyles count="2">
    <cellStyle name="Hyperlink"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45/3503229.3547057" TargetMode="External"/><Relationship Id="rId21" Type="http://schemas.openxmlformats.org/officeDocument/2006/relationships/hyperlink" Target="https://doi.org/10.1145/3631802.3631807" TargetMode="External"/><Relationship Id="rId42" Type="http://schemas.openxmlformats.org/officeDocument/2006/relationships/hyperlink" Target="https://doi.org/10.1145/3585088.3589364" TargetMode="External"/><Relationship Id="rId63" Type="http://schemas.openxmlformats.org/officeDocument/2006/relationships/hyperlink" Target="https://doi.org/10.1145/3568739.3568752" TargetMode="External"/><Relationship Id="rId84" Type="http://schemas.openxmlformats.org/officeDocument/2006/relationships/hyperlink" Target="https://doi.org/10.1145/3313831.3376755" TargetMode="External"/><Relationship Id="rId138" Type="http://schemas.openxmlformats.org/officeDocument/2006/relationships/hyperlink" Target="https://doi.org/10.1145/3637528.3671551" TargetMode="External"/><Relationship Id="rId159" Type="http://schemas.openxmlformats.org/officeDocument/2006/relationships/hyperlink" Target="https://doi.org/10.1145/3230977.3230979" TargetMode="External"/><Relationship Id="rId107" Type="http://schemas.openxmlformats.org/officeDocument/2006/relationships/hyperlink" Target="https://doi.org/10.1145/3681716.3681722" TargetMode="External"/><Relationship Id="rId11" Type="http://schemas.openxmlformats.org/officeDocument/2006/relationships/hyperlink" Target="https://doi.org/10.1145/3287324.3293798" TargetMode="External"/><Relationship Id="rId32" Type="http://schemas.openxmlformats.org/officeDocument/2006/relationships/hyperlink" Target="https://doi.org/10.1145/3287324.3287390" TargetMode="External"/><Relationship Id="rId53" Type="http://schemas.openxmlformats.org/officeDocument/2006/relationships/hyperlink" Target="https://doi.org/10.1145/3713043.3731507" TargetMode="External"/><Relationship Id="rId74" Type="http://schemas.openxmlformats.org/officeDocument/2006/relationships/hyperlink" Target="https://doi.org/10.1145/3633205" TargetMode="External"/><Relationship Id="rId128" Type="http://schemas.openxmlformats.org/officeDocument/2006/relationships/hyperlink" Target="https://doi.org/10.1145/3362789.3362874" TargetMode="External"/><Relationship Id="rId149" Type="http://schemas.openxmlformats.org/officeDocument/2006/relationships/hyperlink" Target="https://doi.org/10.1145/3012430.3012496" TargetMode="External"/><Relationship Id="rId5" Type="http://schemas.openxmlformats.org/officeDocument/2006/relationships/hyperlink" Target="https://doi.org/10.1145/3361721.3361729" TargetMode="External"/><Relationship Id="rId95" Type="http://schemas.openxmlformats.org/officeDocument/2006/relationships/hyperlink" Target="https://doi.org/10.1145/3507951.3519289" TargetMode="External"/><Relationship Id="rId160" Type="http://schemas.openxmlformats.org/officeDocument/2006/relationships/hyperlink" Target="https://doi.org/10.1109/TNET.2023.3262651" TargetMode="External"/><Relationship Id="rId22" Type="http://schemas.openxmlformats.org/officeDocument/2006/relationships/hyperlink" Target="https://doi.org/10.1145/3279720.3279735" TargetMode="External"/><Relationship Id="rId43" Type="http://schemas.openxmlformats.org/officeDocument/2006/relationships/hyperlink" Target="https://doi.org/10.1145/3704637.3734766" TargetMode="External"/><Relationship Id="rId64" Type="http://schemas.openxmlformats.org/officeDocument/2006/relationships/hyperlink" Target="https://doi.org/10.1145/3202185.3202738" TargetMode="External"/><Relationship Id="rId118" Type="http://schemas.openxmlformats.org/officeDocument/2006/relationships/hyperlink" Target="https://doi.org/10.1145/3713043.3728856" TargetMode="External"/><Relationship Id="rId139" Type="http://schemas.openxmlformats.org/officeDocument/2006/relationships/hyperlink" Target="https://doi.org/10.1145/3213818.3213824" TargetMode="External"/><Relationship Id="rId85" Type="http://schemas.openxmlformats.org/officeDocument/2006/relationships/hyperlink" Target="https://doi.org/10.1145/3676845" TargetMode="External"/><Relationship Id="rId150" Type="http://schemas.openxmlformats.org/officeDocument/2006/relationships/hyperlink" Target="https://doi.org/10.1145/3287324.3287431" TargetMode="External"/><Relationship Id="rId12" Type="http://schemas.openxmlformats.org/officeDocument/2006/relationships/hyperlink" Target="https://doi.org/10.1145/2591708.2591724" TargetMode="External"/><Relationship Id="rId17" Type="http://schemas.openxmlformats.org/officeDocument/2006/relationships/hyperlink" Target="https://doi.org/10.1145/3501385.3543979" TargetMode="External"/><Relationship Id="rId33" Type="http://schemas.openxmlformats.org/officeDocument/2006/relationships/hyperlink" Target="https://doi.org/10.1145/3311927.3323152" TargetMode="External"/><Relationship Id="rId38" Type="http://schemas.openxmlformats.org/officeDocument/2006/relationships/hyperlink" Target="https://doi.org/10.1145/3287324.3287470" TargetMode="External"/><Relationship Id="rId59" Type="http://schemas.openxmlformats.org/officeDocument/2006/relationships/hyperlink" Target="https://doi.org/10.1145/3328778.3366840" TargetMode="External"/><Relationship Id="rId103" Type="http://schemas.openxmlformats.org/officeDocument/2006/relationships/hyperlink" Target="https://doi.org/10.1145/3605468.3609779" TargetMode="External"/><Relationship Id="rId108" Type="http://schemas.openxmlformats.org/officeDocument/2006/relationships/hyperlink" Target="https://doi.org/10.1145/3369255.3369303" TargetMode="External"/><Relationship Id="rId124" Type="http://schemas.openxmlformats.org/officeDocument/2006/relationships/hyperlink" Target="https://doi.org/10.1145/3379351" TargetMode="External"/><Relationship Id="rId129" Type="http://schemas.openxmlformats.org/officeDocument/2006/relationships/hyperlink" Target="https://doi.org/10.1145/3494579" TargetMode="External"/><Relationship Id="rId54" Type="http://schemas.openxmlformats.org/officeDocument/2006/relationships/hyperlink" Target="https://doi.org/10.1145/3489410.3489422" TargetMode="External"/><Relationship Id="rId70" Type="http://schemas.openxmlformats.org/officeDocument/2006/relationships/hyperlink" Target="https://doi.org/10.1145/3328778.3366813" TargetMode="External"/><Relationship Id="rId75" Type="http://schemas.openxmlformats.org/officeDocument/2006/relationships/hyperlink" Target="https://doi.org/10.1145/3585088.3593886" TargetMode="External"/><Relationship Id="rId91" Type="http://schemas.openxmlformats.org/officeDocument/2006/relationships/hyperlink" Target="https://doi.org/10.1145/2818314.2818325" TargetMode="External"/><Relationship Id="rId96" Type="http://schemas.openxmlformats.org/officeDocument/2006/relationships/hyperlink" Target="https://doi.org/10.1145/3546932.3547007" TargetMode="External"/><Relationship Id="rId140" Type="http://schemas.openxmlformats.org/officeDocument/2006/relationships/hyperlink" Target="https://doi.org/10.1145/3243138" TargetMode="External"/><Relationship Id="rId145" Type="http://schemas.openxmlformats.org/officeDocument/2006/relationships/hyperlink" Target="https://doi.org/10.1145/3268808.3268860" TargetMode="External"/><Relationship Id="rId161" Type="http://schemas.openxmlformats.org/officeDocument/2006/relationships/hyperlink" Target="https://doi.org/10.1145/2513456.2513484" TargetMode="External"/><Relationship Id="rId166" Type="http://schemas.openxmlformats.org/officeDocument/2006/relationships/hyperlink" Target="https://doi.org/10.1145/253168.253206" TargetMode="External"/><Relationship Id="rId1" Type="http://schemas.openxmlformats.org/officeDocument/2006/relationships/hyperlink" Target="https://doi.org/10.1145/3689535.3689545" TargetMode="External"/><Relationship Id="rId6" Type="http://schemas.openxmlformats.org/officeDocument/2006/relationships/hyperlink" Target="https://doi.org/10.1145/3677619.3678110" TargetMode="External"/><Relationship Id="rId23" Type="http://schemas.openxmlformats.org/officeDocument/2006/relationships/hyperlink" Target="https://doi.org/10.1145/3545945.3569856" TargetMode="External"/><Relationship Id="rId28" Type="http://schemas.openxmlformats.org/officeDocument/2006/relationships/hyperlink" Target="https://doi.org/10.1145/3341525.3394002" TargetMode="External"/><Relationship Id="rId49" Type="http://schemas.openxmlformats.org/officeDocument/2006/relationships/hyperlink" Target="https://doi.org/10.1145/3593663.3593677" TargetMode="External"/><Relationship Id="rId114" Type="http://schemas.openxmlformats.org/officeDocument/2006/relationships/hyperlink" Target="https://doi.org/10.1145/3291280.3291787" TargetMode="External"/><Relationship Id="rId119" Type="http://schemas.openxmlformats.org/officeDocument/2006/relationships/hyperlink" Target="https://doi.org/10.1145/3300115.3309527" TargetMode="External"/><Relationship Id="rId44" Type="http://schemas.openxmlformats.org/officeDocument/2006/relationships/hyperlink" Target="https://doi.org/10.1145/3364510.3364521" TargetMode="External"/><Relationship Id="rId60" Type="http://schemas.openxmlformats.org/officeDocument/2006/relationships/hyperlink" Target="https://doi.org/10.1145/3547522.3547680" TargetMode="External"/><Relationship Id="rId65" Type="http://schemas.openxmlformats.org/officeDocument/2006/relationships/hyperlink" Target="https://doi.org/10.1145/3291533.3291537" TargetMode="External"/><Relationship Id="rId81" Type="http://schemas.openxmlformats.org/officeDocument/2006/relationships/hyperlink" Target="https://doi.org/10.1145/3613905.3644056" TargetMode="External"/><Relationship Id="rId86" Type="http://schemas.openxmlformats.org/officeDocument/2006/relationships/hyperlink" Target="https://doi.org/10.1145/3706598.3713851" TargetMode="External"/><Relationship Id="rId130" Type="http://schemas.openxmlformats.org/officeDocument/2006/relationships/hyperlink" Target="https://doi.org/10.1145/3328778.3372667" TargetMode="External"/><Relationship Id="rId135" Type="http://schemas.openxmlformats.org/officeDocument/2006/relationships/hyperlink" Target="https://doi.org/10.1145/2994591" TargetMode="External"/><Relationship Id="rId151" Type="http://schemas.openxmlformats.org/officeDocument/2006/relationships/hyperlink" Target="https://doi.org/10.1145/3491102.3502091" TargetMode="External"/><Relationship Id="rId156" Type="http://schemas.openxmlformats.org/officeDocument/2006/relationships/hyperlink" Target="https://doi.org/10.1145/2851581.2851589" TargetMode="External"/><Relationship Id="rId13" Type="http://schemas.openxmlformats.org/officeDocument/2006/relationships/hyperlink" Target="https://doi.org/10.1145/3471573" TargetMode="External"/><Relationship Id="rId18" Type="http://schemas.openxmlformats.org/officeDocument/2006/relationships/hyperlink" Target="https://doi.org/10.1145/3543407.3543414" TargetMode="External"/><Relationship Id="rId39" Type="http://schemas.openxmlformats.org/officeDocument/2006/relationships/hyperlink" Target="https://doi.org/10.1145/3507951.3519285" TargetMode="External"/><Relationship Id="rId109" Type="http://schemas.openxmlformats.org/officeDocument/2006/relationships/hyperlink" Target="https://doi.org/10.1145/3650200.3656634" TargetMode="External"/><Relationship Id="rId34" Type="http://schemas.openxmlformats.org/officeDocument/2006/relationships/hyperlink" Target="https://doi.org/10.1145/3626252.3630882" TargetMode="External"/><Relationship Id="rId50" Type="http://schemas.openxmlformats.org/officeDocument/2006/relationships/hyperlink" Target="https://doi.org/10.1145/3702163.3702417" TargetMode="External"/><Relationship Id="rId55" Type="http://schemas.openxmlformats.org/officeDocument/2006/relationships/hyperlink" Target="https://doi.org/10.1145/2462476.2466518" TargetMode="External"/><Relationship Id="rId76" Type="http://schemas.openxmlformats.org/officeDocument/2006/relationships/hyperlink" Target="https://doi.org/10.1145/3744367.3744424" TargetMode="External"/><Relationship Id="rId97" Type="http://schemas.openxmlformats.org/officeDocument/2006/relationships/hyperlink" Target="https://doi.org/10.1145/3265757.3265778" TargetMode="External"/><Relationship Id="rId104" Type="http://schemas.openxmlformats.org/officeDocument/2006/relationships/hyperlink" Target="https://doi.org/10.1145/3582580.3582632" TargetMode="External"/><Relationship Id="rId120" Type="http://schemas.openxmlformats.org/officeDocument/2006/relationships/hyperlink" Target="https://doi.org/10.1145/3371647.3371651" TargetMode="External"/><Relationship Id="rId125" Type="http://schemas.openxmlformats.org/officeDocument/2006/relationships/hyperlink" Target="https://doi.org/10.1145/3055258" TargetMode="External"/><Relationship Id="rId141" Type="http://schemas.openxmlformats.org/officeDocument/2006/relationships/hyperlink" Target="https://doi.org/10.1145/2930674.2930703" TargetMode="External"/><Relationship Id="rId146" Type="http://schemas.openxmlformats.org/officeDocument/2006/relationships/hyperlink" Target="https://doi.org/10.1145/3207677.3277985" TargetMode="External"/><Relationship Id="rId7" Type="http://schemas.openxmlformats.org/officeDocument/2006/relationships/hyperlink" Target="https://doi.org/10.1145/3767723" TargetMode="External"/><Relationship Id="rId71" Type="http://schemas.openxmlformats.org/officeDocument/2006/relationships/hyperlink" Target="https://doi.org/10.1145/3756580.3756611" TargetMode="External"/><Relationship Id="rId92" Type="http://schemas.openxmlformats.org/officeDocument/2006/relationships/hyperlink" Target="https://doi.org/10.1145/3481312.3481320" TargetMode="External"/><Relationship Id="rId162" Type="http://schemas.openxmlformats.org/officeDocument/2006/relationships/hyperlink" Target="https://doi.org/10.1145/2858796.2858801" TargetMode="External"/><Relationship Id="rId2" Type="http://schemas.openxmlformats.org/officeDocument/2006/relationships/hyperlink" Target="https://doi.org/10.1145/3362789.3362803" TargetMode="External"/><Relationship Id="rId29" Type="http://schemas.openxmlformats.org/officeDocument/2006/relationships/hyperlink" Target="https://doi.org/10.1145/3486598" TargetMode="External"/><Relationship Id="rId24" Type="http://schemas.openxmlformats.org/officeDocument/2006/relationships/hyperlink" Target="https://doi.org/10.1145/3626252.3630778" TargetMode="External"/><Relationship Id="rId40" Type="http://schemas.openxmlformats.org/officeDocument/2006/relationships/hyperlink" Target="https://doi.org/10.1145/3675812.3675864" TargetMode="External"/><Relationship Id="rId45" Type="http://schemas.openxmlformats.org/officeDocument/2006/relationships/hyperlink" Target="https://doi.org/10.1109/TNET.2021.3123507" TargetMode="External"/><Relationship Id="rId66" Type="http://schemas.openxmlformats.org/officeDocument/2006/relationships/hyperlink" Target="https://doi.org/10.1145/2897073.2897096" TargetMode="External"/><Relationship Id="rId87" Type="http://schemas.openxmlformats.org/officeDocument/2006/relationships/hyperlink" Target="https://doi.org/10.1145/3446871.3469746" TargetMode="External"/><Relationship Id="rId110" Type="http://schemas.openxmlformats.org/officeDocument/2006/relationships/hyperlink" Target="https://doi.org/10.1145/3656650.3656671" TargetMode="External"/><Relationship Id="rId115" Type="http://schemas.openxmlformats.org/officeDocument/2006/relationships/hyperlink" Target="https://doi.org/10.1145/3723045" TargetMode="External"/><Relationship Id="rId131" Type="http://schemas.openxmlformats.org/officeDocument/2006/relationships/hyperlink" Target="https://doi.org/10.1145/3102071.3116221" TargetMode="External"/><Relationship Id="rId136" Type="http://schemas.openxmlformats.org/officeDocument/2006/relationships/hyperlink" Target="https://doi.org/10.1145/3017680.3017778" TargetMode="External"/><Relationship Id="rId157" Type="http://schemas.openxmlformats.org/officeDocument/2006/relationships/hyperlink" Target="https://doi.org/10.1145/3214354" TargetMode="External"/><Relationship Id="rId61" Type="http://schemas.openxmlformats.org/officeDocument/2006/relationships/hyperlink" Target="https://doi.org/10.1145/3578269" TargetMode="External"/><Relationship Id="rId82" Type="http://schemas.openxmlformats.org/officeDocument/2006/relationships/hyperlink" Target="https://doi.org/10.1145/3545945.3569873" TargetMode="External"/><Relationship Id="rId152" Type="http://schemas.openxmlformats.org/officeDocument/2006/relationships/hyperlink" Target="https://doi.org/10.1145/2591708.2591713" TargetMode="External"/><Relationship Id="rId19" Type="http://schemas.openxmlformats.org/officeDocument/2006/relationships/hyperlink" Target="https://doi.org/10.1145/3486011.3486429" TargetMode="External"/><Relationship Id="rId14" Type="http://schemas.openxmlformats.org/officeDocument/2006/relationships/hyperlink" Target="https://doi.org/10.1145/3568813.3600143" TargetMode="External"/><Relationship Id="rId30" Type="http://schemas.openxmlformats.org/officeDocument/2006/relationships/hyperlink" Target="https://doi.org/10.1145/3421590.3421598" TargetMode="External"/><Relationship Id="rId35" Type="http://schemas.openxmlformats.org/officeDocument/2006/relationships/hyperlink" Target="https://doi.org/10.1145/3678726.3678729" TargetMode="External"/><Relationship Id="rId56" Type="http://schemas.openxmlformats.org/officeDocument/2006/relationships/hyperlink" Target="https://doi.org/10.1145/3706598.3713368" TargetMode="External"/><Relationship Id="rId77" Type="http://schemas.openxmlformats.org/officeDocument/2006/relationships/hyperlink" Target="https://doi.org/10.1145/3585088.3589365" TargetMode="External"/><Relationship Id="rId100" Type="http://schemas.openxmlformats.org/officeDocument/2006/relationships/hyperlink" Target="https://doi.org/10.1145/3502717.3532137" TargetMode="External"/><Relationship Id="rId105" Type="http://schemas.openxmlformats.org/officeDocument/2006/relationships/hyperlink" Target="https://doi.org/10.1145/3416797.3416819" TargetMode="External"/><Relationship Id="rId126" Type="http://schemas.openxmlformats.org/officeDocument/2006/relationships/hyperlink" Target="https://doi.org/10.1145/3286960.3286970" TargetMode="External"/><Relationship Id="rId147" Type="http://schemas.openxmlformats.org/officeDocument/2006/relationships/hyperlink" Target="https://doi.org/10.1145/2808006.2808033" TargetMode="External"/><Relationship Id="rId8" Type="http://schemas.openxmlformats.org/officeDocument/2006/relationships/hyperlink" Target="https://doi.org/10.1145/3641555.3705131" TargetMode="External"/><Relationship Id="rId51" Type="http://schemas.openxmlformats.org/officeDocument/2006/relationships/hyperlink" Target="https://doi.org/10.1145/3544548.3580981" TargetMode="External"/><Relationship Id="rId72" Type="http://schemas.openxmlformats.org/officeDocument/2006/relationships/hyperlink" Target="https://doi.org/10.1145/3587103.3594151" TargetMode="External"/><Relationship Id="rId93" Type="http://schemas.openxmlformats.org/officeDocument/2006/relationships/hyperlink" Target="https://doi.org/10.1145/3613904.3642283" TargetMode="External"/><Relationship Id="rId98" Type="http://schemas.openxmlformats.org/officeDocument/2006/relationships/hyperlink" Target="https://doi.org/10.1145/3345120.3345134" TargetMode="External"/><Relationship Id="rId121" Type="http://schemas.openxmlformats.org/officeDocument/2006/relationships/hyperlink" Target="https://doi.org/10.1109/SC41406.2024.00104" TargetMode="External"/><Relationship Id="rId142" Type="http://schemas.openxmlformats.org/officeDocument/2006/relationships/hyperlink" Target="https://doi.org/10.1145/2978192.2978220" TargetMode="External"/><Relationship Id="rId163" Type="http://schemas.openxmlformats.org/officeDocument/2006/relationships/hyperlink" Target="https://doi.org/10.1145/1822090.1822126" TargetMode="External"/><Relationship Id="rId3" Type="http://schemas.openxmlformats.org/officeDocument/2006/relationships/hyperlink" Target="https://doi.org/10.1145/3362789.3362802" TargetMode="External"/><Relationship Id="rId25" Type="http://schemas.openxmlformats.org/officeDocument/2006/relationships/hyperlink" Target="https://doi.org/10.1145/3328778.3366845" TargetMode="External"/><Relationship Id="rId46" Type="http://schemas.openxmlformats.org/officeDocument/2006/relationships/hyperlink" Target="https://doi.org/10.1145/3724363.3729057" TargetMode="External"/><Relationship Id="rId67" Type="http://schemas.openxmlformats.org/officeDocument/2006/relationships/hyperlink" Target="https://doi.org/10.1145/3706468.3706474" TargetMode="External"/><Relationship Id="rId116" Type="http://schemas.openxmlformats.org/officeDocument/2006/relationships/hyperlink" Target="https://doi.org/10.1145/3434780.3436705" TargetMode="External"/><Relationship Id="rId137" Type="http://schemas.openxmlformats.org/officeDocument/2006/relationships/hyperlink" Target="https://doi.org/10.1145/2787622.2787737" TargetMode="External"/><Relationship Id="rId158" Type="http://schemas.openxmlformats.org/officeDocument/2006/relationships/hyperlink" Target="https://doi.org/10.1145/2485760.2485846" TargetMode="External"/><Relationship Id="rId20" Type="http://schemas.openxmlformats.org/officeDocument/2006/relationships/hyperlink" Target="https://doi.org/10.1145/3373165.3373173" TargetMode="External"/><Relationship Id="rId41" Type="http://schemas.openxmlformats.org/officeDocument/2006/relationships/hyperlink" Target="https://doi.org/10.1145/3641555.3705122" TargetMode="External"/><Relationship Id="rId62" Type="http://schemas.openxmlformats.org/officeDocument/2006/relationships/hyperlink" Target="https://doi.org/10.1145/2960310.2960347" TargetMode="External"/><Relationship Id="rId83" Type="http://schemas.openxmlformats.org/officeDocument/2006/relationships/hyperlink" Target="https://doi.org/10.1145/3618115" TargetMode="External"/><Relationship Id="rId88" Type="http://schemas.openxmlformats.org/officeDocument/2006/relationships/hyperlink" Target="https://doi.org/10.1145/3594781.3594794" TargetMode="External"/><Relationship Id="rId111" Type="http://schemas.openxmlformats.org/officeDocument/2006/relationships/hyperlink" Target="https://doi.org/10.1145/3507951.3519283" TargetMode="External"/><Relationship Id="rId132" Type="http://schemas.openxmlformats.org/officeDocument/2006/relationships/hyperlink" Target="https://doi.org/10.1145/3583781.3590217" TargetMode="External"/><Relationship Id="rId153" Type="http://schemas.openxmlformats.org/officeDocument/2006/relationships/hyperlink" Target="https://doi.org/10.1145/3491102.3517636" TargetMode="External"/><Relationship Id="rId15" Type="http://schemas.openxmlformats.org/officeDocument/2006/relationships/hyperlink" Target="https://doi.org/10.1145/3641554.3701782" TargetMode="External"/><Relationship Id="rId36" Type="http://schemas.openxmlformats.org/officeDocument/2006/relationships/hyperlink" Target="https://doi.org/10.1145/3502718.3524790" TargetMode="External"/><Relationship Id="rId57" Type="http://schemas.openxmlformats.org/officeDocument/2006/relationships/hyperlink" Target="https://doi.org/10.1145/3328778.3366849" TargetMode="External"/><Relationship Id="rId106" Type="http://schemas.openxmlformats.org/officeDocument/2006/relationships/hyperlink" Target="https://doi.org/10.1145/3762807" TargetMode="External"/><Relationship Id="rId127" Type="http://schemas.openxmlformats.org/officeDocument/2006/relationships/hyperlink" Target="https://doi.org/10.1145/2968120.2987750" TargetMode="External"/><Relationship Id="rId10" Type="http://schemas.openxmlformats.org/officeDocument/2006/relationships/hyperlink" Target="https://doi.org/10.1145/3748269.3749380" TargetMode="External"/><Relationship Id="rId31" Type="http://schemas.openxmlformats.org/officeDocument/2006/relationships/hyperlink" Target="https://doi.org/10.1145/3669947.3669951" TargetMode="External"/><Relationship Id="rId52" Type="http://schemas.openxmlformats.org/officeDocument/2006/relationships/hyperlink" Target="https://doi.org/10.1145/3336126" TargetMode="External"/><Relationship Id="rId73" Type="http://schemas.openxmlformats.org/officeDocument/2006/relationships/hyperlink" Target="https://doi.org/10.1145/2676723.2677244" TargetMode="External"/><Relationship Id="rId78" Type="http://schemas.openxmlformats.org/officeDocument/2006/relationships/hyperlink" Target="https://doi.org/10.1145/3773081" TargetMode="External"/><Relationship Id="rId94" Type="http://schemas.openxmlformats.org/officeDocument/2006/relationships/hyperlink" Target="https://doi.org/10.1145/2676723.2677269" TargetMode="External"/><Relationship Id="rId99" Type="http://schemas.openxmlformats.org/officeDocument/2006/relationships/hyperlink" Target="https://doi.org/10.1145/3663548.3688527" TargetMode="External"/><Relationship Id="rId101" Type="http://schemas.openxmlformats.org/officeDocument/2006/relationships/hyperlink" Target="https://doi.org/10.1145/3459990.3460706" TargetMode="External"/><Relationship Id="rId122" Type="http://schemas.openxmlformats.org/officeDocument/2006/relationships/hyperlink" Target="https://doi.org/10.1145/3459990.3460728" TargetMode="External"/><Relationship Id="rId143" Type="http://schemas.openxmlformats.org/officeDocument/2006/relationships/hyperlink" Target="https://doi.org/10.1145/3308557.3308676" TargetMode="External"/><Relationship Id="rId148" Type="http://schemas.openxmlformats.org/officeDocument/2006/relationships/hyperlink" Target="https://doi.org/10.1145/3411764.3445039" TargetMode="External"/><Relationship Id="rId164" Type="http://schemas.openxmlformats.org/officeDocument/2006/relationships/hyperlink" Target="https://doi.org/10.1145/2660267.2660311" TargetMode="External"/><Relationship Id="rId4" Type="http://schemas.openxmlformats.org/officeDocument/2006/relationships/hyperlink" Target="https://doi.org/10.1145/3587103.3594218" TargetMode="External"/><Relationship Id="rId9" Type="http://schemas.openxmlformats.org/officeDocument/2006/relationships/hyperlink" Target="https://doi.org/10.1145/3724363.3729025" TargetMode="External"/><Relationship Id="rId26" Type="http://schemas.openxmlformats.org/officeDocument/2006/relationships/hyperlink" Target="https://doi.org/10.1145/3012430.3012499" TargetMode="External"/><Relationship Id="rId47" Type="http://schemas.openxmlformats.org/officeDocument/2006/relationships/hyperlink" Target="https://doi.org/10.1145/3626253.3635523" TargetMode="External"/><Relationship Id="rId68" Type="http://schemas.openxmlformats.org/officeDocument/2006/relationships/hyperlink" Target="https://doi.org/10.1145/3383923.3383935" TargetMode="External"/><Relationship Id="rId89" Type="http://schemas.openxmlformats.org/officeDocument/2006/relationships/hyperlink" Target="https://doi.org/10.1145/3287324.3287348" TargetMode="External"/><Relationship Id="rId112" Type="http://schemas.openxmlformats.org/officeDocument/2006/relationships/hyperlink" Target="https://doi.org/10.1145/3478431.3499333" TargetMode="External"/><Relationship Id="rId133" Type="http://schemas.openxmlformats.org/officeDocument/2006/relationships/hyperlink" Target="https://doi.org/10.1145/3102071.3116225" TargetMode="External"/><Relationship Id="rId154" Type="http://schemas.openxmlformats.org/officeDocument/2006/relationships/hyperlink" Target="https://doi.org/10.1145/2897845.2897895" TargetMode="External"/><Relationship Id="rId16" Type="http://schemas.openxmlformats.org/officeDocument/2006/relationships/hyperlink" Target="https://doi.org/10.1145/3430665.3456380" TargetMode="External"/><Relationship Id="rId37" Type="http://schemas.openxmlformats.org/officeDocument/2006/relationships/hyperlink" Target="https://doi.org/10.1145/3653666.3656091" TargetMode="External"/><Relationship Id="rId58" Type="http://schemas.openxmlformats.org/officeDocument/2006/relationships/hyperlink" Target="https://doi.org/10.1145/3362789.3362957" TargetMode="External"/><Relationship Id="rId79" Type="http://schemas.openxmlformats.org/officeDocument/2006/relationships/hyperlink" Target="https://doi.org/10.1145/3581783.3612175" TargetMode="External"/><Relationship Id="rId102" Type="http://schemas.openxmlformats.org/officeDocument/2006/relationships/hyperlink" Target="https://doi.org/10.1145/3507951.3519290" TargetMode="External"/><Relationship Id="rId123" Type="http://schemas.openxmlformats.org/officeDocument/2006/relationships/hyperlink" Target="https://doi.org/10.1145/3615430.3615447" TargetMode="External"/><Relationship Id="rId144" Type="http://schemas.openxmlformats.org/officeDocument/2006/relationships/hyperlink" Target="https://doi.org/10.1145/3571884.3597136" TargetMode="External"/><Relationship Id="rId90" Type="http://schemas.openxmlformats.org/officeDocument/2006/relationships/hyperlink" Target="https://doi.org/10.1145/3368308.3415411" TargetMode="External"/><Relationship Id="rId165" Type="http://schemas.openxmlformats.org/officeDocument/2006/relationships/hyperlink" Target="https://doi.org/10.1145/1082473.1082532" TargetMode="External"/><Relationship Id="rId27" Type="http://schemas.openxmlformats.org/officeDocument/2006/relationships/hyperlink" Target="https://doi.org/10.1145/3478432.3499214" TargetMode="External"/><Relationship Id="rId48" Type="http://schemas.openxmlformats.org/officeDocument/2006/relationships/hyperlink" Target="https://doi.org/10.1145/3104982" TargetMode="External"/><Relationship Id="rId69" Type="http://schemas.openxmlformats.org/officeDocument/2006/relationships/hyperlink" Target="https://doi.org/10.1145/2493394.2493403" TargetMode="External"/><Relationship Id="rId113" Type="http://schemas.openxmlformats.org/officeDocument/2006/relationships/hyperlink" Target="https://doi.org/10.1145/3545179" TargetMode="External"/><Relationship Id="rId134" Type="http://schemas.openxmlformats.org/officeDocument/2006/relationships/hyperlink" Target="https://doi.org/10.1145/3105726.3106194" TargetMode="External"/><Relationship Id="rId80" Type="http://schemas.openxmlformats.org/officeDocument/2006/relationships/hyperlink" Target="https://doi.org/10.1145/3408877.3432376" TargetMode="External"/><Relationship Id="rId155" Type="http://schemas.openxmlformats.org/officeDocument/2006/relationships/hyperlink" Target="https://doi.org/10.1145/3265757.3265764"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145/3341525.3394002" TargetMode="External"/><Relationship Id="rId21" Type="http://schemas.openxmlformats.org/officeDocument/2006/relationships/hyperlink" Target="https://doi.org/10.1145/3626253.3635579" TargetMode="External"/><Relationship Id="rId42" Type="http://schemas.openxmlformats.org/officeDocument/2006/relationships/hyperlink" Target="https://doi.org/10.1145/3287324.3287431" TargetMode="External"/><Relationship Id="rId47" Type="http://schemas.openxmlformats.org/officeDocument/2006/relationships/hyperlink" Target="https://doi.org/10.1145/3328778.3366919" TargetMode="External"/><Relationship Id="rId63" Type="http://schemas.openxmlformats.org/officeDocument/2006/relationships/hyperlink" Target="https://doi.org/10.1145/3641554.3701855" TargetMode="External"/><Relationship Id="rId68" Type="http://schemas.openxmlformats.org/officeDocument/2006/relationships/hyperlink" Target="https://doi.org/10.1145/3670013.3670033" TargetMode="External"/><Relationship Id="rId84" Type="http://schemas.openxmlformats.org/officeDocument/2006/relationships/hyperlink" Target="https://doi.org/10.1145/3408877.3432482" TargetMode="External"/><Relationship Id="rId89" Type="http://schemas.openxmlformats.org/officeDocument/2006/relationships/hyperlink" Target="https://doi.org/10.1145/3328778.3366970" TargetMode="External"/><Relationship Id="rId112" Type="http://schemas.openxmlformats.org/officeDocument/2006/relationships/hyperlink" Target="https://doi.org/10.1145/3625298" TargetMode="External"/><Relationship Id="rId16" Type="http://schemas.openxmlformats.org/officeDocument/2006/relationships/hyperlink" Target="https://doi.org/10.1145/3328778.3366797" TargetMode="External"/><Relationship Id="rId107" Type="http://schemas.openxmlformats.org/officeDocument/2006/relationships/hyperlink" Target="https://doi.org/10.1145/3588243.3588256" TargetMode="External"/><Relationship Id="rId11" Type="http://schemas.openxmlformats.org/officeDocument/2006/relationships/hyperlink" Target="https://doi.org/10.1145/3641555.3705131" TargetMode="External"/><Relationship Id="rId32" Type="http://schemas.openxmlformats.org/officeDocument/2006/relationships/hyperlink" Target="https://doi.org/10.1145/3545947.3576268" TargetMode="External"/><Relationship Id="rId37" Type="http://schemas.openxmlformats.org/officeDocument/2006/relationships/hyperlink" Target="https://doi.org/10.1145/3576882.3617919" TargetMode="External"/><Relationship Id="rId53" Type="http://schemas.openxmlformats.org/officeDocument/2006/relationships/hyperlink" Target="https://doi.org/10.1145/3159450.3159520" TargetMode="External"/><Relationship Id="rId58" Type="http://schemas.openxmlformats.org/officeDocument/2006/relationships/hyperlink" Target="https://doi.org/10.1145/3649409.3691081" TargetMode="External"/><Relationship Id="rId74" Type="http://schemas.openxmlformats.org/officeDocument/2006/relationships/hyperlink" Target="https://doi.org/10.1145/3544548.3580935" TargetMode="External"/><Relationship Id="rId79" Type="http://schemas.openxmlformats.org/officeDocument/2006/relationships/hyperlink" Target="https://doi.org/10.1145/3724363.3729038" TargetMode="External"/><Relationship Id="rId102" Type="http://schemas.openxmlformats.org/officeDocument/2006/relationships/hyperlink" Target="https://doi.org/10.1145/3545945.3569869" TargetMode="External"/><Relationship Id="rId123" Type="http://schemas.openxmlformats.org/officeDocument/2006/relationships/hyperlink" Target="https://doi.org/10.1145/3265757.3265778" TargetMode="External"/><Relationship Id="rId128" Type="http://schemas.openxmlformats.org/officeDocument/2006/relationships/hyperlink" Target="https://doi.org/10.1145/2445196.2445404" TargetMode="External"/><Relationship Id="rId5" Type="http://schemas.openxmlformats.org/officeDocument/2006/relationships/hyperlink" Target="https://doi.org/10.1145/3507951.3519289" TargetMode="External"/><Relationship Id="rId90" Type="http://schemas.openxmlformats.org/officeDocument/2006/relationships/hyperlink" Target="https://doi.org/10.1145/3677619.3678110" TargetMode="External"/><Relationship Id="rId95" Type="http://schemas.openxmlformats.org/officeDocument/2006/relationships/hyperlink" Target="https://doi.org/10.1145/3287324.3287376" TargetMode="External"/><Relationship Id="rId22" Type="http://schemas.openxmlformats.org/officeDocument/2006/relationships/hyperlink" Target="https://doi.org/10.1145/3626253.3635498" TargetMode="External"/><Relationship Id="rId27" Type="http://schemas.openxmlformats.org/officeDocument/2006/relationships/hyperlink" Target="https://doi.org/10.1145/3502718.3524783" TargetMode="External"/><Relationship Id="rId43" Type="http://schemas.openxmlformats.org/officeDocument/2006/relationships/hyperlink" Target="https://doi.org/10.1145/3486598" TargetMode="External"/><Relationship Id="rId48" Type="http://schemas.openxmlformats.org/officeDocument/2006/relationships/hyperlink" Target="https://doi.org/10.1145/3507951.3519281" TargetMode="External"/><Relationship Id="rId64" Type="http://schemas.openxmlformats.org/officeDocument/2006/relationships/hyperlink" Target="https://doi.org/10.1145/2818314.2818338" TargetMode="External"/><Relationship Id="rId69" Type="http://schemas.openxmlformats.org/officeDocument/2006/relationships/hyperlink" Target="https://doi.org/10.1145/3361721.3362110" TargetMode="External"/><Relationship Id="rId113" Type="http://schemas.openxmlformats.org/officeDocument/2006/relationships/hyperlink" Target="https://doi.org/10.1145/3677619.3678116" TargetMode="External"/><Relationship Id="rId118" Type="http://schemas.openxmlformats.org/officeDocument/2006/relationships/hyperlink" Target="https://doi.org/10.1145/3408877.3432532" TargetMode="External"/><Relationship Id="rId80" Type="http://schemas.openxmlformats.org/officeDocument/2006/relationships/hyperlink" Target="https://doi.org/10.1145/3361721.3361729" TargetMode="External"/><Relationship Id="rId85" Type="http://schemas.openxmlformats.org/officeDocument/2006/relationships/hyperlink" Target="https://doi.org/10.1145/3430665.3456319" TargetMode="External"/><Relationship Id="rId12" Type="http://schemas.openxmlformats.org/officeDocument/2006/relationships/hyperlink" Target="https://doi.org/10.1145/3724363.3729057" TargetMode="External"/><Relationship Id="rId17" Type="http://schemas.openxmlformats.org/officeDocument/2006/relationships/hyperlink" Target="https://doi.org/10.1145/3626253.3635586" TargetMode="External"/><Relationship Id="rId33" Type="http://schemas.openxmlformats.org/officeDocument/2006/relationships/hyperlink" Target="https://doi.org/10.1145/3568739.3568766" TargetMode="External"/><Relationship Id="rId38" Type="http://schemas.openxmlformats.org/officeDocument/2006/relationships/hyperlink" Target="https://doi.org/10.1145/3373165.3373173" TargetMode="External"/><Relationship Id="rId59" Type="http://schemas.openxmlformats.org/officeDocument/2006/relationships/hyperlink" Target="https://doi.org/10.1145/3569173.3569179" TargetMode="External"/><Relationship Id="rId103" Type="http://schemas.openxmlformats.org/officeDocument/2006/relationships/hyperlink" Target="https://doi.org/10.1145/3386364" TargetMode="External"/><Relationship Id="rId108" Type="http://schemas.openxmlformats.org/officeDocument/2006/relationships/hyperlink" Target="https://doi.org/10.1145/3123818.3123861" TargetMode="External"/><Relationship Id="rId124" Type="http://schemas.openxmlformats.org/officeDocument/2006/relationships/hyperlink" Target="https://doi.org/10.1145/2968120.2987750" TargetMode="External"/><Relationship Id="rId129" Type="http://schemas.openxmlformats.org/officeDocument/2006/relationships/hyperlink" Target="https://doi.org/10.1145/1508865.1509042" TargetMode="External"/><Relationship Id="rId54" Type="http://schemas.openxmlformats.org/officeDocument/2006/relationships/hyperlink" Target="https://doi.org/10.1145/2858036.2858221" TargetMode="External"/><Relationship Id="rId70" Type="http://schemas.openxmlformats.org/officeDocument/2006/relationships/hyperlink" Target="https://doi.org/10.1145/3556787.3556858" TargetMode="External"/><Relationship Id="rId75" Type="http://schemas.openxmlformats.org/officeDocument/2006/relationships/hyperlink" Target="https://doi.org/10.1145/3502718.3524757" TargetMode="External"/><Relationship Id="rId91" Type="http://schemas.openxmlformats.org/officeDocument/2006/relationships/hyperlink" Target="https://doi.org/10.1145/3456565.3460068" TargetMode="External"/><Relationship Id="rId96" Type="http://schemas.openxmlformats.org/officeDocument/2006/relationships/hyperlink" Target="https://doi.org/10.1145/3612783.3612785" TargetMode="External"/><Relationship Id="rId1" Type="http://schemas.openxmlformats.org/officeDocument/2006/relationships/hyperlink" Target="https://doi.org/10.1145/3507951.3519283" TargetMode="External"/><Relationship Id="rId6" Type="http://schemas.openxmlformats.org/officeDocument/2006/relationships/hyperlink" Target="https://doi.org/10.1145/3545945.3569737" TargetMode="External"/><Relationship Id="rId23" Type="http://schemas.openxmlformats.org/officeDocument/2006/relationships/hyperlink" Target="https://doi.org/10.1145/3471573" TargetMode="External"/><Relationship Id="rId28" Type="http://schemas.openxmlformats.org/officeDocument/2006/relationships/hyperlink" Target="https://doi.org/10.1145/3706599.3719763" TargetMode="External"/><Relationship Id="rId49" Type="http://schemas.openxmlformats.org/officeDocument/2006/relationships/hyperlink" Target="https://doi.org/10.1145/3572549.3572611" TargetMode="External"/><Relationship Id="rId114" Type="http://schemas.openxmlformats.org/officeDocument/2006/relationships/hyperlink" Target="https://doi.org/10.1145/3568739.3568752" TargetMode="External"/><Relationship Id="rId119" Type="http://schemas.openxmlformats.org/officeDocument/2006/relationships/hyperlink" Target="https://doi.org/10.1145/3578837.3578869" TargetMode="External"/><Relationship Id="rId44" Type="http://schemas.openxmlformats.org/officeDocument/2006/relationships/hyperlink" Target="https://doi.org/10.1145/3374920.3374939" TargetMode="External"/><Relationship Id="rId60" Type="http://schemas.openxmlformats.org/officeDocument/2006/relationships/hyperlink" Target="https://doi.org/10.1145/3706598.3713368" TargetMode="External"/><Relationship Id="rId65" Type="http://schemas.openxmlformats.org/officeDocument/2006/relationships/hyperlink" Target="https://doi.org/10.1145/3629296.3629313" TargetMode="External"/><Relationship Id="rId81" Type="http://schemas.openxmlformats.org/officeDocument/2006/relationships/hyperlink" Target="https://doi.org/10.1145/3478431.3499333" TargetMode="External"/><Relationship Id="rId86" Type="http://schemas.openxmlformats.org/officeDocument/2006/relationships/hyperlink" Target="https://doi.org/10.1145/3287324.3287476" TargetMode="External"/><Relationship Id="rId130" Type="http://schemas.openxmlformats.org/officeDocument/2006/relationships/hyperlink" Target="https://doi.org/10.1145/1645953.1646084" TargetMode="External"/><Relationship Id="rId13" Type="http://schemas.openxmlformats.org/officeDocument/2006/relationships/hyperlink" Target="https://doi.org/10.1145/3724389.3730779" TargetMode="External"/><Relationship Id="rId18" Type="http://schemas.openxmlformats.org/officeDocument/2006/relationships/hyperlink" Target="https://doi.org/10.1145/3587103.3594187" TargetMode="External"/><Relationship Id="rId39" Type="http://schemas.openxmlformats.org/officeDocument/2006/relationships/hyperlink" Target="https://doi.org/10.1145/3416797.3416819" TargetMode="External"/><Relationship Id="rId109" Type="http://schemas.openxmlformats.org/officeDocument/2006/relationships/hyperlink" Target="https://doi.org/10.1145/3486011.3486414" TargetMode="External"/><Relationship Id="rId34" Type="http://schemas.openxmlformats.org/officeDocument/2006/relationships/hyperlink" Target="https://doi.org/10.1145/3362789.3362910" TargetMode="External"/><Relationship Id="rId50" Type="http://schemas.openxmlformats.org/officeDocument/2006/relationships/hyperlink" Target="https://doi.org/10.1145/3744751" TargetMode="External"/><Relationship Id="rId55" Type="http://schemas.openxmlformats.org/officeDocument/2006/relationships/hyperlink" Target="https://doi.org/10.1145/3371647.3372204" TargetMode="External"/><Relationship Id="rId76" Type="http://schemas.openxmlformats.org/officeDocument/2006/relationships/hyperlink" Target="https://doi.org/10.1145/3430665.3456334" TargetMode="External"/><Relationship Id="rId97" Type="http://schemas.openxmlformats.org/officeDocument/2006/relationships/hyperlink" Target="https://doi.org/10.1145/3408877.3432400" TargetMode="External"/><Relationship Id="rId104" Type="http://schemas.openxmlformats.org/officeDocument/2006/relationships/hyperlink" Target="https://doi.org/10.1145/3304221.3319786" TargetMode="External"/><Relationship Id="rId120" Type="http://schemas.openxmlformats.org/officeDocument/2006/relationships/hyperlink" Target="https://doi.org/10.1145/3230977.3231010" TargetMode="External"/><Relationship Id="rId125" Type="http://schemas.openxmlformats.org/officeDocument/2006/relationships/hyperlink" Target="https://doi.org/10.1145/3287324.3287456" TargetMode="External"/><Relationship Id="rId7" Type="http://schemas.openxmlformats.org/officeDocument/2006/relationships/hyperlink" Target="https://doi.org/10.1145/3408877.3432379" TargetMode="External"/><Relationship Id="rId71" Type="http://schemas.openxmlformats.org/officeDocument/2006/relationships/hyperlink" Target="https://doi.org/10.1145/3633205" TargetMode="External"/><Relationship Id="rId92" Type="http://schemas.openxmlformats.org/officeDocument/2006/relationships/hyperlink" Target="https://doi.org/10.1145/3623509.3633401" TargetMode="External"/><Relationship Id="rId2" Type="http://schemas.openxmlformats.org/officeDocument/2006/relationships/hyperlink" Target="https://doi.org/10.1145/3605468.3609770" TargetMode="External"/><Relationship Id="rId29" Type="http://schemas.openxmlformats.org/officeDocument/2006/relationships/hyperlink" Target="https://doi.org/10.1145/3618115" TargetMode="External"/><Relationship Id="rId24" Type="http://schemas.openxmlformats.org/officeDocument/2006/relationships/hyperlink" Target="https://doi.org/10.1145/3626253.3635631" TargetMode="External"/><Relationship Id="rId40" Type="http://schemas.openxmlformats.org/officeDocument/2006/relationships/hyperlink" Target="https://doi.org/10.1145/3364510.3364521" TargetMode="External"/><Relationship Id="rId45" Type="http://schemas.openxmlformats.org/officeDocument/2006/relationships/hyperlink" Target="https://doi.org/10.1145/3677619.3678133" TargetMode="External"/><Relationship Id="rId66" Type="http://schemas.openxmlformats.org/officeDocument/2006/relationships/hyperlink" Target="https://doi.org/10.1145/3628516.3655810" TargetMode="External"/><Relationship Id="rId87" Type="http://schemas.openxmlformats.org/officeDocument/2006/relationships/hyperlink" Target="https://doi.org/10.1145/2676723.2677275" TargetMode="External"/><Relationship Id="rId110" Type="http://schemas.openxmlformats.org/officeDocument/2006/relationships/hyperlink" Target="https://doi.org/10.1145/3488838.3488842" TargetMode="External"/><Relationship Id="rId115" Type="http://schemas.openxmlformats.org/officeDocument/2006/relationships/hyperlink" Target="https://doi.org/10.1145/3625704.3625766" TargetMode="External"/><Relationship Id="rId131" Type="http://schemas.openxmlformats.org/officeDocument/2006/relationships/hyperlink" Target="https://doi.org/10.1145/103085.103089" TargetMode="External"/><Relationship Id="rId61" Type="http://schemas.openxmlformats.org/officeDocument/2006/relationships/hyperlink" Target="https://doi.org/10.1145/3706468.3706474" TargetMode="External"/><Relationship Id="rId82" Type="http://schemas.openxmlformats.org/officeDocument/2006/relationships/hyperlink" Target="https://doi.org/10.1145/3408877.3432376" TargetMode="External"/><Relationship Id="rId19" Type="http://schemas.openxmlformats.org/officeDocument/2006/relationships/hyperlink" Target="https://doi.org/10.1145/3610969.3611140" TargetMode="External"/><Relationship Id="rId14" Type="http://schemas.openxmlformats.org/officeDocument/2006/relationships/hyperlink" Target="https://doi.org/10.1145/3724389.3730802" TargetMode="External"/><Relationship Id="rId30" Type="http://schemas.openxmlformats.org/officeDocument/2006/relationships/hyperlink" Target="https://doi.org/10.1145/3328778.3372632" TargetMode="External"/><Relationship Id="rId35" Type="http://schemas.openxmlformats.org/officeDocument/2006/relationships/hyperlink" Target="https://doi.org/10.1145/3507951.3519285" TargetMode="External"/><Relationship Id="rId56" Type="http://schemas.openxmlformats.org/officeDocument/2006/relationships/hyperlink" Target="https://doi.org/10.1145/3736181.3747168" TargetMode="External"/><Relationship Id="rId77" Type="http://schemas.openxmlformats.org/officeDocument/2006/relationships/hyperlink" Target="https://doi.org/10.1145/3704637.3734778" TargetMode="External"/><Relationship Id="rId100" Type="http://schemas.openxmlformats.org/officeDocument/2006/relationships/hyperlink" Target="https://doi.org/10.1145/3670013.3670026" TargetMode="External"/><Relationship Id="rId105" Type="http://schemas.openxmlformats.org/officeDocument/2006/relationships/hyperlink" Target="https://doi.org/10.1145/3287324.3287470" TargetMode="External"/><Relationship Id="rId126" Type="http://schemas.openxmlformats.org/officeDocument/2006/relationships/hyperlink" Target="https://doi.org/10.1145/3345120.3345134" TargetMode="External"/><Relationship Id="rId8" Type="http://schemas.openxmlformats.org/officeDocument/2006/relationships/hyperlink" Target="https://doi.org/10.1145/3313831.3376755" TargetMode="External"/><Relationship Id="rId51" Type="http://schemas.openxmlformats.org/officeDocument/2006/relationships/hyperlink" Target="https://doi.org/10.1145/3507951.3519282" TargetMode="External"/><Relationship Id="rId72" Type="http://schemas.openxmlformats.org/officeDocument/2006/relationships/hyperlink" Target="https://doi.org/10.1145/2532748.2532750" TargetMode="External"/><Relationship Id="rId93" Type="http://schemas.openxmlformats.org/officeDocument/2006/relationships/hyperlink" Target="https://doi.org/10.1145/3408877.3439594" TargetMode="External"/><Relationship Id="rId98" Type="http://schemas.openxmlformats.org/officeDocument/2006/relationships/hyperlink" Target="https://doi.org/10.1145/3556787.3556867" TargetMode="External"/><Relationship Id="rId121" Type="http://schemas.openxmlformats.org/officeDocument/2006/relationships/hyperlink" Target="https://doi.org/10.1145/3055258" TargetMode="External"/><Relationship Id="rId3" Type="http://schemas.openxmlformats.org/officeDocument/2006/relationships/hyperlink" Target="https://doi.org/10.1145/3670013.3670027" TargetMode="External"/><Relationship Id="rId25" Type="http://schemas.openxmlformats.org/officeDocument/2006/relationships/hyperlink" Target="https://doi.org/10.1145/3287324.3287469" TargetMode="External"/><Relationship Id="rId46" Type="http://schemas.openxmlformats.org/officeDocument/2006/relationships/hyperlink" Target="https://doi.org/10.1145/3159450.3162325" TargetMode="External"/><Relationship Id="rId67" Type="http://schemas.openxmlformats.org/officeDocument/2006/relationships/hyperlink" Target="https://doi.org/10.1145/3408877.3432558" TargetMode="External"/><Relationship Id="rId116" Type="http://schemas.openxmlformats.org/officeDocument/2006/relationships/hyperlink" Target="https://doi.org/10.1145/3328778.3366925" TargetMode="External"/><Relationship Id="rId20" Type="http://schemas.openxmlformats.org/officeDocument/2006/relationships/hyperlink" Target="https://doi.org/10.1145/3341525.3387415" TargetMode="External"/><Relationship Id="rId41" Type="http://schemas.openxmlformats.org/officeDocument/2006/relationships/hyperlink" Target="https://doi.org/10.1145/3304221.3319772" TargetMode="External"/><Relationship Id="rId62" Type="http://schemas.openxmlformats.org/officeDocument/2006/relationships/hyperlink" Target="https://doi.org/10.1145/3713043.3731526" TargetMode="External"/><Relationship Id="rId83" Type="http://schemas.openxmlformats.org/officeDocument/2006/relationships/hyperlink" Target="https://doi.org/10.1145/3494579" TargetMode="External"/><Relationship Id="rId88" Type="http://schemas.openxmlformats.org/officeDocument/2006/relationships/hyperlink" Target="https://doi.org/10.1145/3551708.3556217" TargetMode="External"/><Relationship Id="rId111" Type="http://schemas.openxmlformats.org/officeDocument/2006/relationships/hyperlink" Target="https://doi.org/10.1145/3372782.3406268" TargetMode="External"/><Relationship Id="rId15" Type="http://schemas.openxmlformats.org/officeDocument/2006/relationships/hyperlink" Target="https://doi.org/10.1145/3481312.3481320" TargetMode="External"/><Relationship Id="rId36" Type="http://schemas.openxmlformats.org/officeDocument/2006/relationships/hyperlink" Target="https://doi.org/10.1145/3702163.3702452" TargetMode="External"/><Relationship Id="rId57" Type="http://schemas.openxmlformats.org/officeDocument/2006/relationships/hyperlink" Target="https://doi.org/10.1145/3287324.3293763" TargetMode="External"/><Relationship Id="rId106" Type="http://schemas.openxmlformats.org/officeDocument/2006/relationships/hyperlink" Target="https://doi.org/10.1145/3582515.3609570" TargetMode="External"/><Relationship Id="rId127" Type="http://schemas.openxmlformats.org/officeDocument/2006/relationships/hyperlink" Target="https://doi.org/10.1145/3105726.3106194" TargetMode="External"/><Relationship Id="rId10" Type="http://schemas.openxmlformats.org/officeDocument/2006/relationships/hyperlink" Target="https://doi.org/10.1145/3311927.3323152" TargetMode="External"/><Relationship Id="rId31" Type="http://schemas.openxmlformats.org/officeDocument/2006/relationships/hyperlink" Target="https://doi.org/10.1145/3328778.3372631" TargetMode="External"/><Relationship Id="rId52" Type="http://schemas.openxmlformats.org/officeDocument/2006/relationships/hyperlink" Target="https://doi.org/10.1145/3284179.3284186" TargetMode="External"/><Relationship Id="rId73" Type="http://schemas.openxmlformats.org/officeDocument/2006/relationships/hyperlink" Target="https://doi.org/10.1145/3626253.3635523" TargetMode="External"/><Relationship Id="rId78" Type="http://schemas.openxmlformats.org/officeDocument/2006/relationships/hyperlink" Target="https://doi.org/10.1145/3641554.3701817" TargetMode="External"/><Relationship Id="rId94" Type="http://schemas.openxmlformats.org/officeDocument/2006/relationships/hyperlink" Target="https://doi.org/10.1145/3381884" TargetMode="External"/><Relationship Id="rId99" Type="http://schemas.openxmlformats.org/officeDocument/2006/relationships/hyperlink" Target="https://doi.org/10.1145/3202185.3210800" TargetMode="External"/><Relationship Id="rId101" Type="http://schemas.openxmlformats.org/officeDocument/2006/relationships/hyperlink" Target="https://doi.org/10.1145/3706598.3713851" TargetMode="External"/><Relationship Id="rId122" Type="http://schemas.openxmlformats.org/officeDocument/2006/relationships/hyperlink" Target="https://doi.org/10.1145/3322276.3322358" TargetMode="External"/><Relationship Id="rId4" Type="http://schemas.openxmlformats.org/officeDocument/2006/relationships/hyperlink" Target="https://doi.org/10.1145/3408877.3439639" TargetMode="External"/><Relationship Id="rId9" Type="http://schemas.openxmlformats.org/officeDocument/2006/relationships/hyperlink" Target="https://doi.org/10.1145/3291280.3291787" TargetMode="External"/><Relationship Id="rId26" Type="http://schemas.openxmlformats.org/officeDocument/2006/relationships/hyperlink" Target="https://doi.org/10.1145/3510309.35103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15"/>
  <sheetViews>
    <sheetView topLeftCell="F4" workbookViewId="0"/>
  </sheetViews>
  <sheetFormatPr defaultRowHeight="15" x14ac:dyDescent="0.35"/>
  <cols>
    <col min="1" max="1" width="8.7265625" customWidth="1"/>
  </cols>
  <sheetData>
    <row r="1" spans="1:25"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t="s">
        <v>24</v>
      </c>
    </row>
    <row r="2" spans="1:25" ht="14.5" x14ac:dyDescent="0.35">
      <c r="A2" t="s">
        <v>25</v>
      </c>
      <c r="B2" t="s">
        <v>26</v>
      </c>
      <c r="C2" t="s">
        <v>27</v>
      </c>
      <c r="D2" t="s">
        <v>28</v>
      </c>
      <c r="E2" t="s">
        <v>29</v>
      </c>
      <c r="G2" t="s">
        <v>30</v>
      </c>
      <c r="H2" t="s">
        <v>25</v>
      </c>
      <c r="I2" s="3" t="s">
        <v>31</v>
      </c>
      <c r="J2" t="s">
        <v>32</v>
      </c>
      <c r="K2" t="s">
        <v>33</v>
      </c>
      <c r="M2" t="s">
        <v>34</v>
      </c>
      <c r="Q2" t="s">
        <v>35</v>
      </c>
      <c r="S2" t="s">
        <v>36</v>
      </c>
      <c r="T2" t="s">
        <v>37</v>
      </c>
      <c r="U2" t="s">
        <v>38</v>
      </c>
      <c r="V2" t="s">
        <v>39</v>
      </c>
      <c r="Y2" t="s">
        <v>24</v>
      </c>
    </row>
    <row r="3" spans="1:25" ht="14.5" x14ac:dyDescent="0.35">
      <c r="A3" t="s">
        <v>40</v>
      </c>
      <c r="B3" t="s">
        <v>41</v>
      </c>
      <c r="C3" t="s">
        <v>42</v>
      </c>
      <c r="D3" t="s">
        <v>43</v>
      </c>
      <c r="E3" t="s">
        <v>44</v>
      </c>
      <c r="G3" t="s">
        <v>30</v>
      </c>
      <c r="H3" t="s">
        <v>40</v>
      </c>
      <c r="I3" s="3" t="s">
        <v>45</v>
      </c>
      <c r="J3" t="s">
        <v>46</v>
      </c>
      <c r="K3" t="s">
        <v>33</v>
      </c>
      <c r="L3" t="s">
        <v>47</v>
      </c>
      <c r="M3" t="s">
        <v>48</v>
      </c>
      <c r="Q3" t="s">
        <v>49</v>
      </c>
      <c r="T3" t="s">
        <v>50</v>
      </c>
      <c r="U3" t="s">
        <v>51</v>
      </c>
      <c r="V3" t="s">
        <v>52</v>
      </c>
      <c r="Y3" t="s">
        <v>24</v>
      </c>
    </row>
    <row r="4" spans="1:25" ht="14.5" x14ac:dyDescent="0.35">
      <c r="A4" t="s">
        <v>53</v>
      </c>
      <c r="B4" t="s">
        <v>54</v>
      </c>
      <c r="C4" t="s">
        <v>42</v>
      </c>
      <c r="D4" t="s">
        <v>43</v>
      </c>
      <c r="E4" t="s">
        <v>44</v>
      </c>
      <c r="G4" t="s">
        <v>30</v>
      </c>
      <c r="H4" t="s">
        <v>53</v>
      </c>
      <c r="I4" s="3" t="s">
        <v>55</v>
      </c>
      <c r="J4" t="s">
        <v>56</v>
      </c>
      <c r="K4" t="s">
        <v>33</v>
      </c>
      <c r="L4" t="s">
        <v>57</v>
      </c>
      <c r="M4" t="s">
        <v>48</v>
      </c>
      <c r="Q4" t="s">
        <v>49</v>
      </c>
      <c r="T4" t="s">
        <v>58</v>
      </c>
      <c r="U4" t="s">
        <v>51</v>
      </c>
      <c r="V4" t="s">
        <v>52</v>
      </c>
      <c r="Y4" t="s">
        <v>24</v>
      </c>
    </row>
    <row r="5" spans="1:25" ht="14.5" x14ac:dyDescent="0.35">
      <c r="A5" t="s">
        <v>59</v>
      </c>
      <c r="B5" t="s">
        <v>60</v>
      </c>
      <c r="C5" t="s">
        <v>61</v>
      </c>
      <c r="D5" t="s">
        <v>62</v>
      </c>
      <c r="E5" t="s">
        <v>63</v>
      </c>
      <c r="G5" t="s">
        <v>30</v>
      </c>
      <c r="H5" t="s">
        <v>59</v>
      </c>
      <c r="I5" s="3" t="s">
        <v>64</v>
      </c>
      <c r="J5" t="s">
        <v>65</v>
      </c>
      <c r="K5" t="s">
        <v>33</v>
      </c>
      <c r="L5" t="s">
        <v>66</v>
      </c>
      <c r="M5" t="s">
        <v>67</v>
      </c>
      <c r="Q5" t="s">
        <v>68</v>
      </c>
      <c r="T5" t="s">
        <v>69</v>
      </c>
      <c r="U5" t="s">
        <v>70</v>
      </c>
      <c r="V5" t="s">
        <v>71</v>
      </c>
      <c r="Y5" t="s">
        <v>24</v>
      </c>
    </row>
    <row r="6" spans="1:25" ht="14.5" x14ac:dyDescent="0.35">
      <c r="A6" t="s">
        <v>72</v>
      </c>
      <c r="B6" t="s">
        <v>73</v>
      </c>
      <c r="C6" t="s">
        <v>74</v>
      </c>
      <c r="D6" t="s">
        <v>43</v>
      </c>
      <c r="E6" t="s">
        <v>75</v>
      </c>
      <c r="G6" t="s">
        <v>30</v>
      </c>
      <c r="H6" t="s">
        <v>72</v>
      </c>
      <c r="I6" s="3" t="s">
        <v>76</v>
      </c>
      <c r="J6" t="s">
        <v>77</v>
      </c>
      <c r="K6" t="s">
        <v>33</v>
      </c>
      <c r="M6" t="s">
        <v>78</v>
      </c>
      <c r="Q6" t="s">
        <v>79</v>
      </c>
      <c r="S6" t="s">
        <v>80</v>
      </c>
      <c r="T6" t="s">
        <v>81</v>
      </c>
      <c r="U6" t="s">
        <v>82</v>
      </c>
      <c r="V6" t="s">
        <v>83</v>
      </c>
      <c r="Y6" t="s">
        <v>24</v>
      </c>
    </row>
    <row r="7" spans="1:25" ht="14.5" x14ac:dyDescent="0.35">
      <c r="A7" t="s">
        <v>84</v>
      </c>
      <c r="B7" t="s">
        <v>85</v>
      </c>
      <c r="C7" t="s">
        <v>86</v>
      </c>
      <c r="D7" t="s">
        <v>28</v>
      </c>
      <c r="E7" t="s">
        <v>87</v>
      </c>
      <c r="G7" t="s">
        <v>30</v>
      </c>
      <c r="H7" t="s">
        <v>84</v>
      </c>
      <c r="I7" s="3" t="s">
        <v>88</v>
      </c>
      <c r="J7" t="s">
        <v>89</v>
      </c>
      <c r="K7" t="s">
        <v>33</v>
      </c>
      <c r="M7" t="s">
        <v>90</v>
      </c>
      <c r="Q7" t="s">
        <v>91</v>
      </c>
      <c r="S7" t="s">
        <v>92</v>
      </c>
      <c r="T7" t="s">
        <v>81</v>
      </c>
      <c r="U7" t="s">
        <v>93</v>
      </c>
      <c r="V7" t="s">
        <v>94</v>
      </c>
      <c r="Y7" t="s">
        <v>24</v>
      </c>
    </row>
    <row r="8" spans="1:25" ht="14.5" x14ac:dyDescent="0.35">
      <c r="A8" t="s">
        <v>95</v>
      </c>
      <c r="B8" t="s">
        <v>96</v>
      </c>
      <c r="C8" t="s">
        <v>97</v>
      </c>
      <c r="D8" t="s">
        <v>98</v>
      </c>
      <c r="F8" t="s">
        <v>99</v>
      </c>
      <c r="G8" t="s">
        <v>30</v>
      </c>
      <c r="H8" t="s">
        <v>95</v>
      </c>
      <c r="I8" s="3" t="s">
        <v>100</v>
      </c>
      <c r="J8" t="s">
        <v>101</v>
      </c>
      <c r="K8" t="s">
        <v>33</v>
      </c>
      <c r="R8" t="s">
        <v>102</v>
      </c>
      <c r="U8" t="s">
        <v>103</v>
      </c>
      <c r="Y8" t="s">
        <v>24</v>
      </c>
    </row>
    <row r="9" spans="1:25" ht="14.5" x14ac:dyDescent="0.35">
      <c r="A9" t="s">
        <v>104</v>
      </c>
      <c r="B9" t="s">
        <v>105</v>
      </c>
      <c r="C9" t="s">
        <v>106</v>
      </c>
      <c r="D9" t="s">
        <v>98</v>
      </c>
      <c r="E9" t="s">
        <v>107</v>
      </c>
      <c r="G9" t="s">
        <v>30</v>
      </c>
      <c r="H9" t="s">
        <v>104</v>
      </c>
      <c r="I9" s="3" t="s">
        <v>108</v>
      </c>
      <c r="J9" t="s">
        <v>109</v>
      </c>
      <c r="K9" t="s">
        <v>33</v>
      </c>
      <c r="L9" t="s">
        <v>110</v>
      </c>
      <c r="M9" t="s">
        <v>111</v>
      </c>
      <c r="Q9" t="s">
        <v>112</v>
      </c>
      <c r="T9" t="s">
        <v>69</v>
      </c>
      <c r="U9" t="s">
        <v>113</v>
      </c>
      <c r="V9" t="s">
        <v>114</v>
      </c>
      <c r="Y9" t="s">
        <v>24</v>
      </c>
    </row>
    <row r="10" spans="1:25" ht="14.5" x14ac:dyDescent="0.35">
      <c r="A10" t="s">
        <v>115</v>
      </c>
      <c r="B10" t="s">
        <v>116</v>
      </c>
      <c r="C10" t="s">
        <v>117</v>
      </c>
      <c r="D10" t="s">
        <v>98</v>
      </c>
      <c r="E10" t="s">
        <v>118</v>
      </c>
      <c r="G10" t="s">
        <v>30</v>
      </c>
      <c r="H10" t="s">
        <v>115</v>
      </c>
      <c r="I10" s="3" t="s">
        <v>119</v>
      </c>
      <c r="J10" t="s">
        <v>120</v>
      </c>
      <c r="K10" t="s">
        <v>33</v>
      </c>
      <c r="L10" t="s">
        <v>121</v>
      </c>
      <c r="M10" t="s">
        <v>122</v>
      </c>
      <c r="Q10" t="s">
        <v>123</v>
      </c>
      <c r="T10" t="s">
        <v>58</v>
      </c>
      <c r="U10" t="s">
        <v>124</v>
      </c>
      <c r="V10" t="s">
        <v>125</v>
      </c>
      <c r="Y10" t="s">
        <v>24</v>
      </c>
    </row>
    <row r="11" spans="1:25" ht="14.5" x14ac:dyDescent="0.35">
      <c r="A11" t="s">
        <v>126</v>
      </c>
      <c r="B11" t="s">
        <v>127</v>
      </c>
      <c r="C11" t="s">
        <v>128</v>
      </c>
      <c r="D11" t="s">
        <v>98</v>
      </c>
      <c r="E11" t="s">
        <v>129</v>
      </c>
      <c r="G11" t="s">
        <v>30</v>
      </c>
      <c r="H11" t="s">
        <v>126</v>
      </c>
      <c r="I11" s="3" t="s">
        <v>130</v>
      </c>
      <c r="J11" t="s">
        <v>131</v>
      </c>
      <c r="K11" t="s">
        <v>33</v>
      </c>
      <c r="L11" t="s">
        <v>132</v>
      </c>
      <c r="M11" t="s">
        <v>133</v>
      </c>
      <c r="Q11" t="s">
        <v>134</v>
      </c>
      <c r="T11" t="s">
        <v>135</v>
      </c>
      <c r="U11" t="s">
        <v>136</v>
      </c>
      <c r="V11" t="s">
        <v>137</v>
      </c>
      <c r="Y11" t="s">
        <v>24</v>
      </c>
    </row>
    <row r="12" spans="1:25" ht="14.5" x14ac:dyDescent="0.35">
      <c r="A12" t="s">
        <v>138</v>
      </c>
      <c r="B12" t="s">
        <v>139</v>
      </c>
      <c r="C12" t="s">
        <v>140</v>
      </c>
      <c r="D12" t="s">
        <v>43</v>
      </c>
      <c r="E12" t="s">
        <v>141</v>
      </c>
      <c r="G12" t="s">
        <v>30</v>
      </c>
      <c r="H12" t="s">
        <v>138</v>
      </c>
      <c r="I12" s="3" t="s">
        <v>142</v>
      </c>
      <c r="J12" t="s">
        <v>143</v>
      </c>
      <c r="K12" t="s">
        <v>33</v>
      </c>
      <c r="L12" t="s">
        <v>144</v>
      </c>
      <c r="M12" t="s">
        <v>145</v>
      </c>
      <c r="Q12" t="s">
        <v>146</v>
      </c>
      <c r="T12" t="s">
        <v>37</v>
      </c>
      <c r="U12" t="s">
        <v>147</v>
      </c>
      <c r="V12" t="s">
        <v>148</v>
      </c>
      <c r="Y12" t="s">
        <v>24</v>
      </c>
    </row>
    <row r="13" spans="1:25" ht="14.5" x14ac:dyDescent="0.35">
      <c r="A13" t="s">
        <v>149</v>
      </c>
      <c r="B13" t="s">
        <v>150</v>
      </c>
      <c r="C13" t="s">
        <v>151</v>
      </c>
      <c r="D13" t="s">
        <v>152</v>
      </c>
      <c r="E13" t="s">
        <v>153</v>
      </c>
      <c r="G13" t="s">
        <v>30</v>
      </c>
      <c r="H13" t="s">
        <v>149</v>
      </c>
      <c r="I13" s="3" t="s">
        <v>154</v>
      </c>
      <c r="J13" t="s">
        <v>155</v>
      </c>
      <c r="K13" t="s">
        <v>33</v>
      </c>
      <c r="L13" t="s">
        <v>156</v>
      </c>
      <c r="M13" t="s">
        <v>157</v>
      </c>
      <c r="Q13" t="s">
        <v>158</v>
      </c>
      <c r="T13" t="s">
        <v>50</v>
      </c>
      <c r="U13" t="s">
        <v>159</v>
      </c>
      <c r="V13" t="s">
        <v>160</v>
      </c>
      <c r="Y13" t="s">
        <v>24</v>
      </c>
    </row>
    <row r="14" spans="1:25" ht="14.5" x14ac:dyDescent="0.35">
      <c r="A14" t="s">
        <v>161</v>
      </c>
      <c r="B14" t="s">
        <v>162</v>
      </c>
      <c r="C14" t="s">
        <v>163</v>
      </c>
      <c r="D14" t="s">
        <v>164</v>
      </c>
      <c r="F14" t="s">
        <v>99</v>
      </c>
      <c r="G14" t="s">
        <v>30</v>
      </c>
      <c r="H14" t="s">
        <v>161</v>
      </c>
      <c r="I14" s="3" t="s">
        <v>165</v>
      </c>
      <c r="J14" t="s">
        <v>166</v>
      </c>
      <c r="K14" t="s">
        <v>33</v>
      </c>
      <c r="O14" t="s">
        <v>167</v>
      </c>
      <c r="P14" t="s">
        <v>69</v>
      </c>
      <c r="S14" t="s">
        <v>168</v>
      </c>
      <c r="T14" t="s">
        <v>36</v>
      </c>
      <c r="U14" t="s">
        <v>169</v>
      </c>
      <c r="W14" t="s">
        <v>170</v>
      </c>
      <c r="Y14" t="s">
        <v>24</v>
      </c>
    </row>
    <row r="15" spans="1:25" ht="14.5" x14ac:dyDescent="0.35">
      <c r="A15" t="s">
        <v>171</v>
      </c>
      <c r="B15" t="s">
        <v>172</v>
      </c>
      <c r="C15" t="s">
        <v>173</v>
      </c>
      <c r="D15" t="s">
        <v>62</v>
      </c>
      <c r="E15" t="s">
        <v>174</v>
      </c>
      <c r="G15" t="s">
        <v>30</v>
      </c>
      <c r="H15" t="s">
        <v>171</v>
      </c>
      <c r="I15" s="3" t="s">
        <v>175</v>
      </c>
      <c r="J15" t="s">
        <v>176</v>
      </c>
      <c r="K15" t="s">
        <v>33</v>
      </c>
      <c r="L15" t="s">
        <v>177</v>
      </c>
      <c r="M15" t="s">
        <v>178</v>
      </c>
      <c r="Q15" t="s">
        <v>179</v>
      </c>
      <c r="T15" t="s">
        <v>180</v>
      </c>
      <c r="U15" t="s">
        <v>181</v>
      </c>
      <c r="V15" t="s">
        <v>182</v>
      </c>
      <c r="Y15" t="s">
        <v>24</v>
      </c>
    </row>
    <row r="16" spans="1:25" ht="14.5" x14ac:dyDescent="0.35">
      <c r="A16" t="s">
        <v>183</v>
      </c>
      <c r="B16" t="s">
        <v>184</v>
      </c>
      <c r="C16" t="s">
        <v>185</v>
      </c>
      <c r="D16" t="s">
        <v>98</v>
      </c>
      <c r="E16" t="s">
        <v>186</v>
      </c>
      <c r="G16" t="s">
        <v>30</v>
      </c>
      <c r="H16" t="s">
        <v>183</v>
      </c>
      <c r="I16" s="3" t="s">
        <v>187</v>
      </c>
      <c r="J16" t="s">
        <v>188</v>
      </c>
      <c r="K16" t="s">
        <v>33</v>
      </c>
      <c r="L16" t="s">
        <v>189</v>
      </c>
      <c r="M16" t="s">
        <v>190</v>
      </c>
      <c r="Q16" t="s">
        <v>112</v>
      </c>
      <c r="T16" t="s">
        <v>58</v>
      </c>
      <c r="U16" t="s">
        <v>191</v>
      </c>
      <c r="V16" t="s">
        <v>114</v>
      </c>
      <c r="Y16" t="s">
        <v>24</v>
      </c>
    </row>
    <row r="17" spans="1:25" ht="14.5" x14ac:dyDescent="0.35">
      <c r="A17" t="s">
        <v>192</v>
      </c>
      <c r="B17" t="s">
        <v>193</v>
      </c>
      <c r="C17" t="s">
        <v>194</v>
      </c>
      <c r="D17" t="s">
        <v>195</v>
      </c>
      <c r="E17" t="s">
        <v>196</v>
      </c>
      <c r="G17" t="s">
        <v>30</v>
      </c>
      <c r="H17" t="s">
        <v>192</v>
      </c>
      <c r="I17" s="3" t="s">
        <v>197</v>
      </c>
      <c r="J17" t="s">
        <v>198</v>
      </c>
      <c r="K17" t="s">
        <v>33</v>
      </c>
      <c r="L17" t="s">
        <v>199</v>
      </c>
      <c r="M17" t="s">
        <v>200</v>
      </c>
      <c r="Q17" t="s">
        <v>201</v>
      </c>
      <c r="T17" t="s">
        <v>58</v>
      </c>
      <c r="U17" t="s">
        <v>202</v>
      </c>
      <c r="V17" t="s">
        <v>203</v>
      </c>
      <c r="Y17" t="s">
        <v>24</v>
      </c>
    </row>
    <row r="18" spans="1:25" ht="14.5" x14ac:dyDescent="0.35">
      <c r="A18" t="s">
        <v>204</v>
      </c>
      <c r="B18" t="s">
        <v>205</v>
      </c>
      <c r="C18" t="s">
        <v>206</v>
      </c>
      <c r="D18" t="s">
        <v>164</v>
      </c>
      <c r="E18" t="s">
        <v>207</v>
      </c>
      <c r="G18" t="s">
        <v>30</v>
      </c>
      <c r="H18" t="s">
        <v>204</v>
      </c>
      <c r="I18" s="3" t="s">
        <v>208</v>
      </c>
      <c r="J18" t="s">
        <v>209</v>
      </c>
      <c r="K18" t="s">
        <v>33</v>
      </c>
      <c r="L18" t="s">
        <v>210</v>
      </c>
      <c r="M18" t="s">
        <v>211</v>
      </c>
      <c r="Q18" t="s">
        <v>212</v>
      </c>
      <c r="T18" t="s">
        <v>213</v>
      </c>
      <c r="U18" t="s">
        <v>202</v>
      </c>
      <c r="V18" t="s">
        <v>214</v>
      </c>
      <c r="Y18" t="s">
        <v>24</v>
      </c>
    </row>
    <row r="19" spans="1:25" ht="14.5" x14ac:dyDescent="0.35">
      <c r="A19" t="s">
        <v>215</v>
      </c>
      <c r="B19" t="s">
        <v>216</v>
      </c>
      <c r="C19" t="s">
        <v>217</v>
      </c>
      <c r="D19" t="s">
        <v>164</v>
      </c>
      <c r="E19" t="s">
        <v>218</v>
      </c>
      <c r="G19" t="s">
        <v>30</v>
      </c>
      <c r="H19" t="s">
        <v>215</v>
      </c>
      <c r="I19" s="3" t="s">
        <v>219</v>
      </c>
      <c r="K19" t="s">
        <v>33</v>
      </c>
      <c r="L19" t="s">
        <v>220</v>
      </c>
      <c r="M19" t="s">
        <v>221</v>
      </c>
      <c r="Q19" t="s">
        <v>222</v>
      </c>
      <c r="T19" t="s">
        <v>50</v>
      </c>
      <c r="U19" t="s">
        <v>223</v>
      </c>
      <c r="V19" t="s">
        <v>224</v>
      </c>
      <c r="Y19" t="s">
        <v>24</v>
      </c>
    </row>
    <row r="20" spans="1:25" ht="14.5" x14ac:dyDescent="0.35">
      <c r="A20" t="s">
        <v>225</v>
      </c>
      <c r="B20" t="s">
        <v>226</v>
      </c>
      <c r="C20" t="s">
        <v>227</v>
      </c>
      <c r="D20" t="s">
        <v>195</v>
      </c>
      <c r="E20" t="s">
        <v>228</v>
      </c>
      <c r="G20" t="s">
        <v>30</v>
      </c>
      <c r="H20" t="s">
        <v>225</v>
      </c>
      <c r="I20" s="3" t="s">
        <v>229</v>
      </c>
      <c r="J20" t="s">
        <v>230</v>
      </c>
      <c r="K20" t="s">
        <v>33</v>
      </c>
      <c r="L20" t="s">
        <v>231</v>
      </c>
      <c r="M20" t="s">
        <v>232</v>
      </c>
      <c r="Q20" t="s">
        <v>233</v>
      </c>
      <c r="T20" t="s">
        <v>50</v>
      </c>
      <c r="U20" t="s">
        <v>234</v>
      </c>
      <c r="V20" t="s">
        <v>235</v>
      </c>
      <c r="Y20" t="s">
        <v>24</v>
      </c>
    </row>
    <row r="21" spans="1:25" ht="14.5" x14ac:dyDescent="0.35">
      <c r="A21" t="s">
        <v>236</v>
      </c>
      <c r="B21" t="s">
        <v>237</v>
      </c>
      <c r="C21" t="s">
        <v>238</v>
      </c>
      <c r="D21" t="s">
        <v>239</v>
      </c>
      <c r="E21" t="s">
        <v>240</v>
      </c>
      <c r="G21" t="s">
        <v>30</v>
      </c>
      <c r="H21" t="s">
        <v>236</v>
      </c>
      <c r="I21" s="3" t="s">
        <v>241</v>
      </c>
      <c r="J21" t="s">
        <v>242</v>
      </c>
      <c r="K21" t="s">
        <v>33</v>
      </c>
      <c r="L21" t="s">
        <v>243</v>
      </c>
      <c r="M21" t="s">
        <v>244</v>
      </c>
      <c r="Q21" t="s">
        <v>245</v>
      </c>
      <c r="T21" t="s">
        <v>246</v>
      </c>
      <c r="U21" t="s">
        <v>247</v>
      </c>
      <c r="V21" t="s">
        <v>248</v>
      </c>
      <c r="Y21" t="s">
        <v>24</v>
      </c>
    </row>
    <row r="22" spans="1:25" ht="14.5" x14ac:dyDescent="0.35">
      <c r="A22" t="s">
        <v>249</v>
      </c>
      <c r="B22" t="s">
        <v>250</v>
      </c>
      <c r="C22" t="s">
        <v>251</v>
      </c>
      <c r="D22" t="s">
        <v>28</v>
      </c>
      <c r="E22" t="s">
        <v>252</v>
      </c>
      <c r="G22" t="s">
        <v>30</v>
      </c>
      <c r="H22" t="s">
        <v>249</v>
      </c>
      <c r="I22" s="3" t="s">
        <v>253</v>
      </c>
      <c r="J22" t="s">
        <v>254</v>
      </c>
      <c r="K22" t="s">
        <v>33</v>
      </c>
      <c r="M22" t="s">
        <v>255</v>
      </c>
      <c r="Q22" t="s">
        <v>256</v>
      </c>
      <c r="S22" t="s">
        <v>257</v>
      </c>
      <c r="T22" t="s">
        <v>50</v>
      </c>
      <c r="U22" t="s">
        <v>258</v>
      </c>
      <c r="V22" t="s">
        <v>259</v>
      </c>
      <c r="Y22" t="s">
        <v>24</v>
      </c>
    </row>
    <row r="23" spans="1:25" ht="14.5" x14ac:dyDescent="0.35">
      <c r="A23" t="s">
        <v>260</v>
      </c>
      <c r="B23" t="s">
        <v>261</v>
      </c>
      <c r="C23" t="s">
        <v>262</v>
      </c>
      <c r="D23" t="s">
        <v>263</v>
      </c>
      <c r="E23" t="s">
        <v>264</v>
      </c>
      <c r="G23" t="s">
        <v>30</v>
      </c>
      <c r="H23" t="s">
        <v>260</v>
      </c>
      <c r="I23" s="3" t="s">
        <v>265</v>
      </c>
      <c r="J23" t="s">
        <v>266</v>
      </c>
      <c r="K23" t="s">
        <v>33</v>
      </c>
      <c r="M23" t="s">
        <v>267</v>
      </c>
      <c r="Q23" t="s">
        <v>268</v>
      </c>
      <c r="S23" t="s">
        <v>269</v>
      </c>
      <c r="T23" t="s">
        <v>135</v>
      </c>
      <c r="U23" t="s">
        <v>270</v>
      </c>
      <c r="V23" t="s">
        <v>259</v>
      </c>
      <c r="Y23" t="s">
        <v>24</v>
      </c>
    </row>
    <row r="24" spans="1:25" ht="14.5" x14ac:dyDescent="0.35">
      <c r="A24" t="s">
        <v>271</v>
      </c>
      <c r="B24" t="s">
        <v>272</v>
      </c>
      <c r="C24" t="s">
        <v>273</v>
      </c>
      <c r="D24" t="s">
        <v>62</v>
      </c>
      <c r="E24" t="s">
        <v>274</v>
      </c>
      <c r="G24" t="s">
        <v>30</v>
      </c>
      <c r="H24" t="s">
        <v>271</v>
      </c>
      <c r="I24" s="3" t="s">
        <v>275</v>
      </c>
      <c r="J24" t="s">
        <v>276</v>
      </c>
      <c r="K24" t="s">
        <v>33</v>
      </c>
      <c r="L24" t="s">
        <v>277</v>
      </c>
      <c r="M24" t="s">
        <v>278</v>
      </c>
      <c r="Q24" t="s">
        <v>279</v>
      </c>
      <c r="T24" t="s">
        <v>58</v>
      </c>
      <c r="U24" t="s">
        <v>280</v>
      </c>
      <c r="V24" t="s">
        <v>281</v>
      </c>
      <c r="Y24" t="s">
        <v>24</v>
      </c>
    </row>
    <row r="25" spans="1:25" ht="14.5" x14ac:dyDescent="0.35">
      <c r="A25" t="s">
        <v>282</v>
      </c>
      <c r="B25" t="s">
        <v>283</v>
      </c>
      <c r="C25" t="s">
        <v>284</v>
      </c>
      <c r="D25" t="s">
        <v>28</v>
      </c>
      <c r="E25" t="s">
        <v>285</v>
      </c>
      <c r="G25" t="s">
        <v>30</v>
      </c>
      <c r="H25" t="s">
        <v>282</v>
      </c>
      <c r="I25" s="3" t="s">
        <v>286</v>
      </c>
      <c r="J25" t="s">
        <v>287</v>
      </c>
      <c r="K25" t="s">
        <v>33</v>
      </c>
      <c r="L25" t="s">
        <v>288</v>
      </c>
      <c r="M25" t="s">
        <v>289</v>
      </c>
      <c r="Q25" t="s">
        <v>290</v>
      </c>
      <c r="T25" t="s">
        <v>58</v>
      </c>
      <c r="U25" t="s">
        <v>291</v>
      </c>
      <c r="V25" t="s">
        <v>292</v>
      </c>
      <c r="Y25" t="s">
        <v>24</v>
      </c>
    </row>
    <row r="26" spans="1:25" ht="14.5" x14ac:dyDescent="0.35">
      <c r="A26" t="s">
        <v>293</v>
      </c>
      <c r="B26" t="s">
        <v>294</v>
      </c>
      <c r="C26" t="s">
        <v>295</v>
      </c>
      <c r="D26" t="s">
        <v>239</v>
      </c>
      <c r="E26" t="s">
        <v>296</v>
      </c>
      <c r="G26" t="s">
        <v>30</v>
      </c>
      <c r="H26" t="s">
        <v>293</v>
      </c>
      <c r="I26" s="3" t="s">
        <v>297</v>
      </c>
      <c r="J26" t="s">
        <v>298</v>
      </c>
      <c r="K26" t="s">
        <v>33</v>
      </c>
      <c r="L26" t="s">
        <v>299</v>
      </c>
      <c r="M26" t="s">
        <v>300</v>
      </c>
      <c r="Q26" t="s">
        <v>301</v>
      </c>
      <c r="T26" t="s">
        <v>58</v>
      </c>
      <c r="U26" t="s">
        <v>302</v>
      </c>
      <c r="V26" t="s">
        <v>292</v>
      </c>
      <c r="Y26" t="s">
        <v>24</v>
      </c>
    </row>
    <row r="27" spans="1:25" ht="14.5" x14ac:dyDescent="0.35">
      <c r="A27" t="s">
        <v>303</v>
      </c>
      <c r="B27" t="s">
        <v>304</v>
      </c>
      <c r="C27" t="s">
        <v>305</v>
      </c>
      <c r="D27" t="s">
        <v>306</v>
      </c>
      <c r="E27" t="s">
        <v>307</v>
      </c>
      <c r="G27" t="s">
        <v>30</v>
      </c>
      <c r="H27" t="s">
        <v>303</v>
      </c>
      <c r="I27" s="3" t="s">
        <v>308</v>
      </c>
      <c r="J27" t="s">
        <v>309</v>
      </c>
      <c r="K27" t="s">
        <v>33</v>
      </c>
      <c r="L27" t="s">
        <v>310</v>
      </c>
      <c r="M27" t="s">
        <v>311</v>
      </c>
      <c r="Q27" t="s">
        <v>312</v>
      </c>
      <c r="T27" t="s">
        <v>135</v>
      </c>
      <c r="U27" t="s">
        <v>313</v>
      </c>
      <c r="V27" t="s">
        <v>314</v>
      </c>
      <c r="Y27" t="s">
        <v>24</v>
      </c>
    </row>
    <row r="28" spans="1:25" ht="14.5" x14ac:dyDescent="0.35">
      <c r="A28" t="s">
        <v>315</v>
      </c>
      <c r="B28" t="s">
        <v>316</v>
      </c>
      <c r="C28" t="s">
        <v>317</v>
      </c>
      <c r="D28" t="s">
        <v>164</v>
      </c>
      <c r="E28" t="s">
        <v>318</v>
      </c>
      <c r="G28" t="s">
        <v>30</v>
      </c>
      <c r="H28" t="s">
        <v>315</v>
      </c>
      <c r="I28" s="3" t="s">
        <v>319</v>
      </c>
      <c r="J28" t="s">
        <v>320</v>
      </c>
      <c r="K28" t="s">
        <v>33</v>
      </c>
      <c r="L28" t="s">
        <v>321</v>
      </c>
      <c r="M28" t="s">
        <v>322</v>
      </c>
      <c r="Q28" t="s">
        <v>323</v>
      </c>
      <c r="T28" t="s">
        <v>37</v>
      </c>
      <c r="U28" t="s">
        <v>324</v>
      </c>
      <c r="V28" t="s">
        <v>325</v>
      </c>
      <c r="Y28" t="s">
        <v>24</v>
      </c>
    </row>
    <row r="29" spans="1:25" ht="14.5" x14ac:dyDescent="0.35">
      <c r="A29" t="s">
        <v>326</v>
      </c>
      <c r="B29" t="s">
        <v>327</v>
      </c>
      <c r="C29" t="s">
        <v>328</v>
      </c>
      <c r="D29" t="s">
        <v>239</v>
      </c>
      <c r="E29" t="s">
        <v>329</v>
      </c>
      <c r="G29" t="s">
        <v>30</v>
      </c>
      <c r="H29" t="s">
        <v>326</v>
      </c>
      <c r="I29" s="3" t="s">
        <v>330</v>
      </c>
      <c r="J29" t="s">
        <v>331</v>
      </c>
      <c r="K29" t="s">
        <v>33</v>
      </c>
      <c r="L29" t="s">
        <v>332</v>
      </c>
      <c r="M29" t="s">
        <v>333</v>
      </c>
      <c r="Q29" t="s">
        <v>334</v>
      </c>
      <c r="T29" t="s">
        <v>69</v>
      </c>
      <c r="U29" t="s">
        <v>335</v>
      </c>
      <c r="V29" t="s">
        <v>336</v>
      </c>
      <c r="Y29" t="s">
        <v>24</v>
      </c>
    </row>
    <row r="30" spans="1:25" ht="14.5" x14ac:dyDescent="0.35">
      <c r="A30" t="s">
        <v>337</v>
      </c>
      <c r="B30" t="s">
        <v>338</v>
      </c>
      <c r="C30" t="s">
        <v>339</v>
      </c>
      <c r="D30" t="s">
        <v>195</v>
      </c>
      <c r="F30" t="s">
        <v>99</v>
      </c>
      <c r="G30" t="s">
        <v>30</v>
      </c>
      <c r="H30" t="s">
        <v>337</v>
      </c>
      <c r="I30" s="3" t="s">
        <v>340</v>
      </c>
      <c r="J30" t="s">
        <v>341</v>
      </c>
      <c r="K30" t="s">
        <v>33</v>
      </c>
      <c r="O30" t="s">
        <v>167</v>
      </c>
      <c r="P30" t="s">
        <v>69</v>
      </c>
      <c r="S30" t="s">
        <v>180</v>
      </c>
      <c r="T30" t="s">
        <v>342</v>
      </c>
      <c r="U30" t="s">
        <v>343</v>
      </c>
      <c r="W30" t="s">
        <v>170</v>
      </c>
      <c r="Y30" t="s">
        <v>24</v>
      </c>
    </row>
    <row r="31" spans="1:25" ht="14.5" x14ac:dyDescent="0.35">
      <c r="A31" t="s">
        <v>344</v>
      </c>
      <c r="B31" t="s">
        <v>345</v>
      </c>
      <c r="C31" t="s">
        <v>346</v>
      </c>
      <c r="D31" t="s">
        <v>239</v>
      </c>
      <c r="E31" t="s">
        <v>347</v>
      </c>
      <c r="G31" t="s">
        <v>30</v>
      </c>
      <c r="H31" t="s">
        <v>344</v>
      </c>
      <c r="I31" s="3" t="s">
        <v>348</v>
      </c>
      <c r="J31" t="s">
        <v>349</v>
      </c>
      <c r="K31" t="s">
        <v>33</v>
      </c>
      <c r="M31" t="s">
        <v>350</v>
      </c>
      <c r="Q31" t="s">
        <v>351</v>
      </c>
      <c r="S31" t="s">
        <v>246</v>
      </c>
      <c r="T31" t="s">
        <v>246</v>
      </c>
      <c r="U31" t="s">
        <v>352</v>
      </c>
      <c r="V31" t="s">
        <v>203</v>
      </c>
      <c r="Y31" t="s">
        <v>24</v>
      </c>
    </row>
    <row r="32" spans="1:25" ht="14.5" x14ac:dyDescent="0.35">
      <c r="A32" t="s">
        <v>353</v>
      </c>
      <c r="B32" t="s">
        <v>354</v>
      </c>
      <c r="C32" t="s">
        <v>355</v>
      </c>
      <c r="D32" t="s">
        <v>28</v>
      </c>
      <c r="E32" t="s">
        <v>356</v>
      </c>
      <c r="G32" t="s">
        <v>30</v>
      </c>
      <c r="H32" t="s">
        <v>353</v>
      </c>
      <c r="I32" s="3" t="s">
        <v>357</v>
      </c>
      <c r="J32" t="s">
        <v>358</v>
      </c>
      <c r="K32" t="s">
        <v>33</v>
      </c>
      <c r="L32" t="s">
        <v>359</v>
      </c>
      <c r="M32" t="s">
        <v>360</v>
      </c>
      <c r="Q32" t="s">
        <v>361</v>
      </c>
      <c r="T32" t="s">
        <v>58</v>
      </c>
      <c r="U32" t="s">
        <v>362</v>
      </c>
      <c r="V32" t="s">
        <v>363</v>
      </c>
      <c r="Y32" t="s">
        <v>24</v>
      </c>
    </row>
    <row r="33" spans="1:25" ht="14.5" x14ac:dyDescent="0.35">
      <c r="A33" t="s">
        <v>364</v>
      </c>
      <c r="B33" t="s">
        <v>365</v>
      </c>
      <c r="C33" t="s">
        <v>366</v>
      </c>
      <c r="D33" t="s">
        <v>43</v>
      </c>
      <c r="E33" t="s">
        <v>141</v>
      </c>
      <c r="G33" t="s">
        <v>30</v>
      </c>
      <c r="H33" t="s">
        <v>364</v>
      </c>
      <c r="I33" s="3" t="s">
        <v>367</v>
      </c>
      <c r="J33" t="s">
        <v>368</v>
      </c>
      <c r="K33" t="s">
        <v>33</v>
      </c>
      <c r="L33" t="s">
        <v>369</v>
      </c>
      <c r="M33" t="s">
        <v>145</v>
      </c>
      <c r="Q33" t="s">
        <v>146</v>
      </c>
      <c r="T33" t="s">
        <v>50</v>
      </c>
      <c r="V33" t="s">
        <v>148</v>
      </c>
      <c r="Y33" t="s">
        <v>24</v>
      </c>
    </row>
    <row r="34" spans="1:25" ht="14.5" x14ac:dyDescent="0.35">
      <c r="A34" t="s">
        <v>370</v>
      </c>
      <c r="B34" t="s">
        <v>371</v>
      </c>
      <c r="C34" t="s">
        <v>372</v>
      </c>
      <c r="D34" t="s">
        <v>43</v>
      </c>
      <c r="E34" t="s">
        <v>373</v>
      </c>
      <c r="G34" t="s">
        <v>30</v>
      </c>
      <c r="H34" t="s">
        <v>370</v>
      </c>
      <c r="I34" s="3" t="s">
        <v>374</v>
      </c>
      <c r="J34" t="s">
        <v>375</v>
      </c>
      <c r="K34" t="s">
        <v>33</v>
      </c>
      <c r="L34" t="s">
        <v>376</v>
      </c>
      <c r="M34" t="s">
        <v>377</v>
      </c>
      <c r="Q34" t="s">
        <v>378</v>
      </c>
      <c r="T34" t="s">
        <v>379</v>
      </c>
      <c r="U34" t="s">
        <v>380</v>
      </c>
      <c r="V34" t="s">
        <v>381</v>
      </c>
      <c r="Y34" t="s">
        <v>24</v>
      </c>
    </row>
    <row r="35" spans="1:25" ht="14.5" x14ac:dyDescent="0.35">
      <c r="A35" t="s">
        <v>382</v>
      </c>
      <c r="B35" t="s">
        <v>383</v>
      </c>
      <c r="C35" t="s">
        <v>384</v>
      </c>
      <c r="D35" t="s">
        <v>28</v>
      </c>
      <c r="E35" t="s">
        <v>285</v>
      </c>
      <c r="G35" t="s">
        <v>30</v>
      </c>
      <c r="H35" t="s">
        <v>382</v>
      </c>
      <c r="I35" s="3" t="s">
        <v>385</v>
      </c>
      <c r="J35" t="s">
        <v>386</v>
      </c>
      <c r="K35" t="s">
        <v>33</v>
      </c>
      <c r="L35" t="s">
        <v>387</v>
      </c>
      <c r="M35" t="s">
        <v>289</v>
      </c>
      <c r="Q35" t="s">
        <v>290</v>
      </c>
      <c r="T35" t="s">
        <v>58</v>
      </c>
      <c r="U35" t="s">
        <v>388</v>
      </c>
      <c r="V35" t="s">
        <v>292</v>
      </c>
      <c r="Y35" t="s">
        <v>24</v>
      </c>
    </row>
    <row r="36" spans="1:25" ht="14.5" x14ac:dyDescent="0.35">
      <c r="A36" t="s">
        <v>389</v>
      </c>
      <c r="B36" t="s">
        <v>390</v>
      </c>
      <c r="C36" t="s">
        <v>391</v>
      </c>
      <c r="D36" t="s">
        <v>28</v>
      </c>
      <c r="E36" t="s">
        <v>392</v>
      </c>
      <c r="G36" t="s">
        <v>30</v>
      </c>
      <c r="H36" t="s">
        <v>389</v>
      </c>
      <c r="I36" s="3" t="s">
        <v>393</v>
      </c>
      <c r="J36" t="s">
        <v>394</v>
      </c>
      <c r="K36" t="s">
        <v>33</v>
      </c>
      <c r="L36" t="s">
        <v>395</v>
      </c>
      <c r="M36" t="s">
        <v>396</v>
      </c>
      <c r="Q36" t="s">
        <v>397</v>
      </c>
      <c r="T36" t="s">
        <v>398</v>
      </c>
      <c r="U36" t="s">
        <v>399</v>
      </c>
      <c r="V36" t="s">
        <v>400</v>
      </c>
      <c r="Y36" t="s">
        <v>24</v>
      </c>
    </row>
    <row r="37" spans="1:25" ht="14.5" x14ac:dyDescent="0.35">
      <c r="A37" t="s">
        <v>401</v>
      </c>
      <c r="B37" t="s">
        <v>402</v>
      </c>
      <c r="C37" t="s">
        <v>403</v>
      </c>
      <c r="D37" t="s">
        <v>164</v>
      </c>
      <c r="E37" t="s">
        <v>404</v>
      </c>
      <c r="G37" t="s">
        <v>30</v>
      </c>
      <c r="H37" t="s">
        <v>401</v>
      </c>
      <c r="I37" s="3" t="s">
        <v>405</v>
      </c>
      <c r="J37" t="s">
        <v>406</v>
      </c>
      <c r="K37" t="s">
        <v>33</v>
      </c>
      <c r="L37" t="s">
        <v>407</v>
      </c>
      <c r="M37" t="s">
        <v>408</v>
      </c>
      <c r="Q37" t="s">
        <v>409</v>
      </c>
      <c r="T37" t="s">
        <v>58</v>
      </c>
      <c r="U37" t="s">
        <v>410</v>
      </c>
      <c r="V37" t="s">
        <v>411</v>
      </c>
      <c r="Y37" t="s">
        <v>24</v>
      </c>
    </row>
    <row r="38" spans="1:25" ht="14.5" x14ac:dyDescent="0.35">
      <c r="A38" t="s">
        <v>412</v>
      </c>
      <c r="B38" t="s">
        <v>413</v>
      </c>
      <c r="C38" t="s">
        <v>414</v>
      </c>
      <c r="D38" t="s">
        <v>28</v>
      </c>
      <c r="E38" t="s">
        <v>415</v>
      </c>
      <c r="G38" t="s">
        <v>30</v>
      </c>
      <c r="H38" t="s">
        <v>412</v>
      </c>
      <c r="I38" s="3" t="s">
        <v>416</v>
      </c>
      <c r="J38" t="s">
        <v>417</v>
      </c>
      <c r="K38" t="s">
        <v>33</v>
      </c>
      <c r="L38" t="s">
        <v>418</v>
      </c>
      <c r="M38" t="s">
        <v>419</v>
      </c>
      <c r="Q38" t="s">
        <v>420</v>
      </c>
      <c r="T38" t="s">
        <v>81</v>
      </c>
      <c r="U38" t="s">
        <v>421</v>
      </c>
      <c r="V38" t="s">
        <v>422</v>
      </c>
      <c r="Y38" t="s">
        <v>24</v>
      </c>
    </row>
    <row r="39" spans="1:25" ht="14.5" x14ac:dyDescent="0.35">
      <c r="A39" t="s">
        <v>423</v>
      </c>
      <c r="B39" t="s">
        <v>424</v>
      </c>
      <c r="C39" t="s">
        <v>425</v>
      </c>
      <c r="D39" t="s">
        <v>263</v>
      </c>
      <c r="F39" t="s">
        <v>426</v>
      </c>
      <c r="G39" t="s">
        <v>427</v>
      </c>
      <c r="J39" t="s">
        <v>428</v>
      </c>
      <c r="K39" t="s">
        <v>429</v>
      </c>
      <c r="L39" t="s">
        <v>430</v>
      </c>
      <c r="N39" t="s">
        <v>431</v>
      </c>
      <c r="O39" t="s">
        <v>432</v>
      </c>
      <c r="P39" t="s">
        <v>50</v>
      </c>
      <c r="T39" t="s">
        <v>433</v>
      </c>
      <c r="W39" t="s">
        <v>434</v>
      </c>
      <c r="Y39" t="s">
        <v>24</v>
      </c>
    </row>
    <row r="40" spans="1:25" ht="14.5" x14ac:dyDescent="0.35">
      <c r="A40" t="s">
        <v>435</v>
      </c>
      <c r="B40" t="s">
        <v>436</v>
      </c>
      <c r="C40" t="s">
        <v>437</v>
      </c>
      <c r="D40" t="s">
        <v>43</v>
      </c>
      <c r="E40" t="s">
        <v>141</v>
      </c>
      <c r="G40" t="s">
        <v>30</v>
      </c>
      <c r="H40" t="s">
        <v>435</v>
      </c>
      <c r="I40" s="3" t="s">
        <v>438</v>
      </c>
      <c r="J40" t="s">
        <v>439</v>
      </c>
      <c r="K40" t="s">
        <v>33</v>
      </c>
      <c r="L40" t="s">
        <v>440</v>
      </c>
      <c r="M40" t="s">
        <v>145</v>
      </c>
      <c r="Q40" t="s">
        <v>146</v>
      </c>
      <c r="T40" t="s">
        <v>58</v>
      </c>
      <c r="U40" t="s">
        <v>441</v>
      </c>
      <c r="V40" t="s">
        <v>148</v>
      </c>
      <c r="Y40" t="s">
        <v>24</v>
      </c>
    </row>
    <row r="41" spans="1:25" ht="14.5" x14ac:dyDescent="0.35">
      <c r="A41" t="s">
        <v>442</v>
      </c>
      <c r="B41" t="s">
        <v>443</v>
      </c>
      <c r="C41" t="s">
        <v>444</v>
      </c>
      <c r="D41" t="s">
        <v>164</v>
      </c>
      <c r="E41" t="s">
        <v>445</v>
      </c>
      <c r="G41" t="s">
        <v>30</v>
      </c>
      <c r="I41" s="3" t="s">
        <v>446</v>
      </c>
      <c r="J41" t="s">
        <v>447</v>
      </c>
      <c r="K41" t="s">
        <v>33</v>
      </c>
      <c r="L41" t="s">
        <v>448</v>
      </c>
      <c r="M41" t="s">
        <v>449</v>
      </c>
      <c r="T41" t="s">
        <v>81</v>
      </c>
      <c r="Y41" t="s">
        <v>24</v>
      </c>
    </row>
    <row r="42" spans="1:25" ht="14.5" x14ac:dyDescent="0.35">
      <c r="A42" t="s">
        <v>450</v>
      </c>
      <c r="B42" t="s">
        <v>451</v>
      </c>
      <c r="C42" t="s">
        <v>452</v>
      </c>
      <c r="D42" t="s">
        <v>28</v>
      </c>
      <c r="E42" t="s">
        <v>453</v>
      </c>
      <c r="G42" t="s">
        <v>30</v>
      </c>
      <c r="H42" t="s">
        <v>450</v>
      </c>
      <c r="I42" s="3" t="s">
        <v>454</v>
      </c>
      <c r="J42" t="s">
        <v>455</v>
      </c>
      <c r="K42" t="s">
        <v>33</v>
      </c>
      <c r="L42" t="s">
        <v>456</v>
      </c>
      <c r="M42" t="s">
        <v>457</v>
      </c>
      <c r="Q42" t="s">
        <v>458</v>
      </c>
      <c r="T42" t="s">
        <v>58</v>
      </c>
      <c r="U42" t="s">
        <v>459</v>
      </c>
      <c r="V42" t="s">
        <v>460</v>
      </c>
      <c r="Y42" t="s">
        <v>24</v>
      </c>
    </row>
    <row r="43" spans="1:25" ht="14.5" x14ac:dyDescent="0.35">
      <c r="A43" t="s">
        <v>461</v>
      </c>
      <c r="B43" t="s">
        <v>462</v>
      </c>
      <c r="C43" t="s">
        <v>463</v>
      </c>
      <c r="D43" t="s">
        <v>98</v>
      </c>
      <c r="E43" t="s">
        <v>107</v>
      </c>
      <c r="G43" t="s">
        <v>30</v>
      </c>
      <c r="H43" t="s">
        <v>461</v>
      </c>
      <c r="I43" s="3" t="s">
        <v>464</v>
      </c>
      <c r="J43" t="s">
        <v>465</v>
      </c>
      <c r="K43" t="s">
        <v>33</v>
      </c>
      <c r="L43" t="s">
        <v>466</v>
      </c>
      <c r="M43" t="s">
        <v>111</v>
      </c>
      <c r="Q43" t="s">
        <v>112</v>
      </c>
      <c r="T43" t="s">
        <v>69</v>
      </c>
      <c r="U43" t="s">
        <v>467</v>
      </c>
      <c r="V43" t="s">
        <v>114</v>
      </c>
      <c r="Y43" t="s">
        <v>24</v>
      </c>
    </row>
    <row r="44" spans="1:25" ht="14.5" x14ac:dyDescent="0.35">
      <c r="A44" t="s">
        <v>468</v>
      </c>
      <c r="B44" t="s">
        <v>469</v>
      </c>
      <c r="C44" t="s">
        <v>470</v>
      </c>
      <c r="D44" t="s">
        <v>62</v>
      </c>
      <c r="E44" t="s">
        <v>471</v>
      </c>
      <c r="G44" t="s">
        <v>30</v>
      </c>
      <c r="H44" t="s">
        <v>468</v>
      </c>
      <c r="I44" s="3" t="s">
        <v>472</v>
      </c>
      <c r="J44" t="s">
        <v>473</v>
      </c>
      <c r="K44" t="s">
        <v>33</v>
      </c>
      <c r="L44" t="s">
        <v>474</v>
      </c>
      <c r="M44" t="s">
        <v>475</v>
      </c>
      <c r="Q44" t="s">
        <v>476</v>
      </c>
      <c r="T44" t="s">
        <v>379</v>
      </c>
      <c r="U44" t="s">
        <v>477</v>
      </c>
      <c r="V44" t="s">
        <v>182</v>
      </c>
      <c r="Y44" t="s">
        <v>24</v>
      </c>
    </row>
    <row r="45" spans="1:25" ht="14.5" x14ac:dyDescent="0.35">
      <c r="A45" t="s">
        <v>478</v>
      </c>
      <c r="B45" t="s">
        <v>479</v>
      </c>
      <c r="C45" t="s">
        <v>480</v>
      </c>
      <c r="D45" t="s">
        <v>98</v>
      </c>
      <c r="E45" t="s">
        <v>481</v>
      </c>
      <c r="G45" t="s">
        <v>30</v>
      </c>
      <c r="H45" t="s">
        <v>478</v>
      </c>
      <c r="I45" s="3" t="s">
        <v>482</v>
      </c>
      <c r="J45" t="s">
        <v>483</v>
      </c>
      <c r="K45" t="s">
        <v>33</v>
      </c>
      <c r="L45" t="s">
        <v>484</v>
      </c>
      <c r="M45" t="s">
        <v>419</v>
      </c>
      <c r="Q45" t="s">
        <v>485</v>
      </c>
      <c r="T45" t="s">
        <v>398</v>
      </c>
      <c r="U45" t="s">
        <v>486</v>
      </c>
      <c r="V45" t="s">
        <v>487</v>
      </c>
      <c r="Y45" t="s">
        <v>24</v>
      </c>
    </row>
    <row r="46" spans="1:25" ht="14.5" x14ac:dyDescent="0.35">
      <c r="A46" t="s">
        <v>488</v>
      </c>
      <c r="B46" t="s">
        <v>489</v>
      </c>
      <c r="C46" t="s">
        <v>490</v>
      </c>
      <c r="D46" t="s">
        <v>43</v>
      </c>
      <c r="E46" t="s">
        <v>491</v>
      </c>
      <c r="G46" t="s">
        <v>30</v>
      </c>
      <c r="H46" t="s">
        <v>488</v>
      </c>
      <c r="I46" s="3" t="s">
        <v>492</v>
      </c>
      <c r="J46" t="s">
        <v>493</v>
      </c>
      <c r="K46" t="s">
        <v>33</v>
      </c>
      <c r="M46" t="s">
        <v>494</v>
      </c>
      <c r="Q46" t="s">
        <v>495</v>
      </c>
      <c r="S46" t="s">
        <v>379</v>
      </c>
      <c r="T46" t="s">
        <v>246</v>
      </c>
      <c r="U46" t="s">
        <v>496</v>
      </c>
      <c r="V46" t="s">
        <v>259</v>
      </c>
      <c r="Y46" t="s">
        <v>24</v>
      </c>
    </row>
    <row r="47" spans="1:25" ht="14.5" x14ac:dyDescent="0.35">
      <c r="A47" t="s">
        <v>497</v>
      </c>
      <c r="B47" t="s">
        <v>498</v>
      </c>
      <c r="C47" t="s">
        <v>499</v>
      </c>
      <c r="D47" t="s">
        <v>195</v>
      </c>
      <c r="F47" t="s">
        <v>500</v>
      </c>
      <c r="G47" t="s">
        <v>501</v>
      </c>
      <c r="H47" t="s">
        <v>497</v>
      </c>
      <c r="I47" s="3" t="s">
        <v>502</v>
      </c>
      <c r="J47" t="s">
        <v>503</v>
      </c>
      <c r="L47" t="s">
        <v>504</v>
      </c>
      <c r="N47" t="s">
        <v>505</v>
      </c>
      <c r="O47" t="s">
        <v>506</v>
      </c>
      <c r="P47" t="s">
        <v>69</v>
      </c>
      <c r="T47" t="s">
        <v>507</v>
      </c>
      <c r="W47" t="s">
        <v>508</v>
      </c>
      <c r="X47" t="s">
        <v>509</v>
      </c>
      <c r="Y47" t="s">
        <v>24</v>
      </c>
    </row>
    <row r="48" spans="1:25" ht="14.5" x14ac:dyDescent="0.35">
      <c r="A48" t="s">
        <v>510</v>
      </c>
      <c r="B48" t="s">
        <v>511</v>
      </c>
      <c r="C48" t="s">
        <v>512</v>
      </c>
      <c r="D48" t="s">
        <v>98</v>
      </c>
      <c r="E48" t="s">
        <v>118</v>
      </c>
      <c r="G48" t="s">
        <v>30</v>
      </c>
      <c r="H48" t="s">
        <v>510</v>
      </c>
      <c r="I48" s="3" t="s">
        <v>513</v>
      </c>
      <c r="J48" t="s">
        <v>514</v>
      </c>
      <c r="K48" t="s">
        <v>33</v>
      </c>
      <c r="L48" t="s">
        <v>515</v>
      </c>
      <c r="M48" t="s">
        <v>122</v>
      </c>
      <c r="Q48" t="s">
        <v>123</v>
      </c>
      <c r="T48" t="s">
        <v>58</v>
      </c>
      <c r="U48" t="s">
        <v>516</v>
      </c>
      <c r="V48" t="s">
        <v>125</v>
      </c>
      <c r="Y48" t="s">
        <v>24</v>
      </c>
    </row>
    <row r="49" spans="1:25" ht="14.5" x14ac:dyDescent="0.35">
      <c r="A49" t="s">
        <v>517</v>
      </c>
      <c r="B49" t="s">
        <v>518</v>
      </c>
      <c r="C49" t="s">
        <v>519</v>
      </c>
      <c r="D49" t="s">
        <v>28</v>
      </c>
      <c r="E49" t="s">
        <v>520</v>
      </c>
      <c r="G49" t="s">
        <v>30</v>
      </c>
      <c r="H49" t="s">
        <v>517</v>
      </c>
      <c r="I49" s="3" t="s">
        <v>521</v>
      </c>
      <c r="J49" t="s">
        <v>522</v>
      </c>
      <c r="K49" t="s">
        <v>33</v>
      </c>
      <c r="L49" t="s">
        <v>523</v>
      </c>
      <c r="M49" t="s">
        <v>524</v>
      </c>
      <c r="Q49" t="s">
        <v>290</v>
      </c>
      <c r="T49" t="s">
        <v>69</v>
      </c>
      <c r="U49" t="s">
        <v>525</v>
      </c>
      <c r="V49" t="s">
        <v>292</v>
      </c>
      <c r="Y49" t="s">
        <v>24</v>
      </c>
    </row>
    <row r="50" spans="1:25" ht="14.5" x14ac:dyDescent="0.35">
      <c r="A50" t="s">
        <v>526</v>
      </c>
      <c r="B50" t="s">
        <v>527</v>
      </c>
      <c r="C50" t="s">
        <v>528</v>
      </c>
      <c r="D50" t="s">
        <v>529</v>
      </c>
      <c r="F50" t="s">
        <v>99</v>
      </c>
      <c r="G50" t="s">
        <v>30</v>
      </c>
      <c r="H50" t="s">
        <v>526</v>
      </c>
      <c r="I50" s="3" t="s">
        <v>530</v>
      </c>
      <c r="J50" t="s">
        <v>531</v>
      </c>
      <c r="K50" t="s">
        <v>33</v>
      </c>
      <c r="O50" t="s">
        <v>532</v>
      </c>
      <c r="P50" t="s">
        <v>37</v>
      </c>
      <c r="S50" t="s">
        <v>533</v>
      </c>
      <c r="T50" t="s">
        <v>534</v>
      </c>
      <c r="U50" t="s">
        <v>535</v>
      </c>
      <c r="W50" t="s">
        <v>536</v>
      </c>
      <c r="Y50" t="s">
        <v>24</v>
      </c>
    </row>
    <row r="51" spans="1:25" ht="14.5" x14ac:dyDescent="0.35">
      <c r="A51" t="s">
        <v>537</v>
      </c>
      <c r="B51" t="s">
        <v>538</v>
      </c>
      <c r="C51" t="s">
        <v>539</v>
      </c>
      <c r="D51" t="s">
        <v>62</v>
      </c>
      <c r="E51" t="s">
        <v>540</v>
      </c>
      <c r="G51" t="s">
        <v>30</v>
      </c>
      <c r="H51" t="s">
        <v>537</v>
      </c>
      <c r="I51" s="3" t="s">
        <v>541</v>
      </c>
      <c r="J51" t="s">
        <v>542</v>
      </c>
      <c r="K51" t="s">
        <v>33</v>
      </c>
      <c r="L51" t="s">
        <v>543</v>
      </c>
      <c r="M51" t="s">
        <v>544</v>
      </c>
      <c r="Q51" t="s">
        <v>545</v>
      </c>
      <c r="T51" t="s">
        <v>246</v>
      </c>
      <c r="U51" t="s">
        <v>546</v>
      </c>
      <c r="V51" t="s">
        <v>547</v>
      </c>
      <c r="Y51" t="s">
        <v>24</v>
      </c>
    </row>
    <row r="52" spans="1:25" ht="14.5" x14ac:dyDescent="0.35">
      <c r="A52" t="s">
        <v>548</v>
      </c>
      <c r="B52" t="s">
        <v>549</v>
      </c>
      <c r="C52" t="s">
        <v>550</v>
      </c>
      <c r="D52" t="s">
        <v>98</v>
      </c>
      <c r="E52" t="s">
        <v>551</v>
      </c>
      <c r="G52" t="s">
        <v>30</v>
      </c>
      <c r="H52" t="s">
        <v>548</v>
      </c>
      <c r="I52" s="3" t="s">
        <v>552</v>
      </c>
      <c r="J52" t="s">
        <v>553</v>
      </c>
      <c r="K52" t="s">
        <v>33</v>
      </c>
      <c r="L52" t="s">
        <v>554</v>
      </c>
      <c r="M52" t="s">
        <v>555</v>
      </c>
      <c r="Q52" t="s">
        <v>556</v>
      </c>
      <c r="T52" t="s">
        <v>58</v>
      </c>
      <c r="U52" t="s">
        <v>557</v>
      </c>
      <c r="V52" t="s">
        <v>137</v>
      </c>
      <c r="Y52" t="s">
        <v>24</v>
      </c>
    </row>
    <row r="53" spans="1:25" ht="14.5" x14ac:dyDescent="0.35">
      <c r="A53" t="s">
        <v>558</v>
      </c>
      <c r="B53" t="s">
        <v>559</v>
      </c>
      <c r="C53" t="s">
        <v>560</v>
      </c>
      <c r="D53" t="s">
        <v>62</v>
      </c>
      <c r="E53" t="s">
        <v>561</v>
      </c>
      <c r="G53" t="s">
        <v>30</v>
      </c>
      <c r="H53" t="s">
        <v>558</v>
      </c>
      <c r="I53" s="3" t="s">
        <v>562</v>
      </c>
      <c r="J53" t="s">
        <v>563</v>
      </c>
      <c r="K53" t="s">
        <v>33</v>
      </c>
      <c r="M53" t="s">
        <v>564</v>
      </c>
      <c r="Q53" t="s">
        <v>565</v>
      </c>
      <c r="S53" t="s">
        <v>566</v>
      </c>
      <c r="T53" t="s">
        <v>567</v>
      </c>
      <c r="U53" t="s">
        <v>568</v>
      </c>
      <c r="V53" t="s">
        <v>569</v>
      </c>
      <c r="Y53" t="s">
        <v>24</v>
      </c>
    </row>
    <row r="54" spans="1:25" ht="14.5" x14ac:dyDescent="0.35">
      <c r="A54" t="s">
        <v>570</v>
      </c>
      <c r="B54" t="s">
        <v>571</v>
      </c>
      <c r="C54" t="s">
        <v>572</v>
      </c>
      <c r="D54" t="s">
        <v>43</v>
      </c>
      <c r="F54" t="s">
        <v>99</v>
      </c>
      <c r="G54" t="s">
        <v>30</v>
      </c>
      <c r="H54" t="s">
        <v>570</v>
      </c>
      <c r="I54" s="3" t="s">
        <v>573</v>
      </c>
      <c r="J54" t="s">
        <v>574</v>
      </c>
      <c r="K54" t="s">
        <v>33</v>
      </c>
      <c r="O54" t="s">
        <v>36</v>
      </c>
      <c r="P54" t="s">
        <v>533</v>
      </c>
      <c r="S54" t="s">
        <v>575</v>
      </c>
      <c r="T54" t="s">
        <v>36</v>
      </c>
      <c r="U54" t="s">
        <v>576</v>
      </c>
      <c r="W54" t="s">
        <v>577</v>
      </c>
      <c r="Y54" t="s">
        <v>24</v>
      </c>
    </row>
    <row r="55" spans="1:25" ht="14.5" x14ac:dyDescent="0.35">
      <c r="A55" t="s">
        <v>578</v>
      </c>
      <c r="B55" t="s">
        <v>579</v>
      </c>
      <c r="C55" t="s">
        <v>580</v>
      </c>
      <c r="D55" t="s">
        <v>98</v>
      </c>
      <c r="E55" t="s">
        <v>581</v>
      </c>
      <c r="G55" t="s">
        <v>30</v>
      </c>
      <c r="H55" t="s">
        <v>578</v>
      </c>
      <c r="I55" s="3" t="s">
        <v>582</v>
      </c>
      <c r="J55" t="s">
        <v>583</v>
      </c>
      <c r="K55" t="s">
        <v>33</v>
      </c>
      <c r="L55" t="s">
        <v>584</v>
      </c>
      <c r="M55" t="s">
        <v>585</v>
      </c>
      <c r="Q55" t="s">
        <v>586</v>
      </c>
      <c r="T55" t="s">
        <v>533</v>
      </c>
      <c r="U55" t="s">
        <v>587</v>
      </c>
      <c r="V55" t="s">
        <v>137</v>
      </c>
      <c r="Y55" t="s">
        <v>24</v>
      </c>
    </row>
    <row r="56" spans="1:25" ht="14.5" x14ac:dyDescent="0.35">
      <c r="A56" t="s">
        <v>588</v>
      </c>
      <c r="B56" t="s">
        <v>589</v>
      </c>
      <c r="C56" t="s">
        <v>590</v>
      </c>
      <c r="D56" t="s">
        <v>195</v>
      </c>
      <c r="E56" t="s">
        <v>591</v>
      </c>
      <c r="G56" t="s">
        <v>30</v>
      </c>
      <c r="H56" t="s">
        <v>588</v>
      </c>
      <c r="I56" s="3" t="s">
        <v>592</v>
      </c>
      <c r="J56" t="s">
        <v>593</v>
      </c>
      <c r="K56" t="s">
        <v>33</v>
      </c>
      <c r="M56" t="s">
        <v>594</v>
      </c>
      <c r="Q56" t="s">
        <v>595</v>
      </c>
      <c r="S56" t="s">
        <v>379</v>
      </c>
      <c r="T56" t="s">
        <v>135</v>
      </c>
      <c r="V56" t="s">
        <v>596</v>
      </c>
      <c r="Y56" t="s">
        <v>24</v>
      </c>
    </row>
    <row r="57" spans="1:25" ht="14.5" x14ac:dyDescent="0.35">
      <c r="A57" t="s">
        <v>597</v>
      </c>
      <c r="B57" t="s">
        <v>598</v>
      </c>
      <c r="C57" t="s">
        <v>599</v>
      </c>
      <c r="D57" t="s">
        <v>600</v>
      </c>
      <c r="E57" t="s">
        <v>601</v>
      </c>
      <c r="G57" t="s">
        <v>30</v>
      </c>
      <c r="H57" t="s">
        <v>597</v>
      </c>
      <c r="I57" s="3" t="s">
        <v>602</v>
      </c>
      <c r="J57" t="s">
        <v>603</v>
      </c>
      <c r="K57" t="s">
        <v>33</v>
      </c>
      <c r="L57" t="s">
        <v>604</v>
      </c>
      <c r="M57" t="s">
        <v>605</v>
      </c>
      <c r="Q57" t="s">
        <v>606</v>
      </c>
      <c r="T57" t="s">
        <v>50</v>
      </c>
      <c r="U57" t="s">
        <v>607</v>
      </c>
      <c r="V57" t="s">
        <v>608</v>
      </c>
      <c r="Y57" t="s">
        <v>24</v>
      </c>
    </row>
    <row r="58" spans="1:25" ht="14.5" x14ac:dyDescent="0.35">
      <c r="A58" t="s">
        <v>609</v>
      </c>
      <c r="B58" t="s">
        <v>610</v>
      </c>
      <c r="C58" t="s">
        <v>611</v>
      </c>
      <c r="D58" t="s">
        <v>98</v>
      </c>
      <c r="E58" t="s">
        <v>612</v>
      </c>
      <c r="G58" t="s">
        <v>30</v>
      </c>
      <c r="H58" t="s">
        <v>609</v>
      </c>
      <c r="I58" s="3" t="s">
        <v>613</v>
      </c>
      <c r="J58" t="s">
        <v>614</v>
      </c>
      <c r="K58" t="s">
        <v>33</v>
      </c>
      <c r="M58" t="s">
        <v>615</v>
      </c>
      <c r="Q58" t="s">
        <v>616</v>
      </c>
      <c r="S58" t="s">
        <v>617</v>
      </c>
      <c r="T58" t="s">
        <v>618</v>
      </c>
      <c r="U58" t="s">
        <v>619</v>
      </c>
      <c r="V58" t="s">
        <v>137</v>
      </c>
      <c r="Y58" t="s">
        <v>24</v>
      </c>
    </row>
    <row r="59" spans="1:25" ht="14.5" x14ac:dyDescent="0.35">
      <c r="A59" t="s">
        <v>620</v>
      </c>
      <c r="B59" t="s">
        <v>621</v>
      </c>
      <c r="C59" t="s">
        <v>622</v>
      </c>
      <c r="D59" t="s">
        <v>239</v>
      </c>
      <c r="E59" t="s">
        <v>296</v>
      </c>
      <c r="G59" t="s">
        <v>30</v>
      </c>
      <c r="H59" t="s">
        <v>620</v>
      </c>
      <c r="I59" s="3" t="s">
        <v>623</v>
      </c>
      <c r="J59" t="s">
        <v>624</v>
      </c>
      <c r="K59" t="s">
        <v>33</v>
      </c>
      <c r="L59" t="s">
        <v>625</v>
      </c>
      <c r="M59" t="s">
        <v>300</v>
      </c>
      <c r="Q59" t="s">
        <v>301</v>
      </c>
      <c r="T59" t="s">
        <v>58</v>
      </c>
      <c r="U59" t="s">
        <v>626</v>
      </c>
      <c r="V59" t="s">
        <v>292</v>
      </c>
      <c r="Y59" t="s">
        <v>24</v>
      </c>
    </row>
    <row r="60" spans="1:25" ht="14.5" x14ac:dyDescent="0.35">
      <c r="A60" t="s">
        <v>627</v>
      </c>
      <c r="B60" t="s">
        <v>628</v>
      </c>
      <c r="C60" t="s">
        <v>629</v>
      </c>
      <c r="D60" t="s">
        <v>43</v>
      </c>
      <c r="E60" t="s">
        <v>44</v>
      </c>
      <c r="G60" t="s">
        <v>30</v>
      </c>
      <c r="H60" t="s">
        <v>627</v>
      </c>
      <c r="I60" s="3" t="s">
        <v>630</v>
      </c>
      <c r="J60" t="s">
        <v>631</v>
      </c>
      <c r="K60" t="s">
        <v>33</v>
      </c>
      <c r="L60" t="s">
        <v>632</v>
      </c>
      <c r="M60" t="s">
        <v>48</v>
      </c>
      <c r="Q60" t="s">
        <v>49</v>
      </c>
      <c r="T60" t="s">
        <v>533</v>
      </c>
      <c r="U60" t="s">
        <v>633</v>
      </c>
      <c r="V60" t="s">
        <v>52</v>
      </c>
      <c r="Y60" t="s">
        <v>24</v>
      </c>
    </row>
    <row r="61" spans="1:25" ht="14.5" x14ac:dyDescent="0.35">
      <c r="A61" t="s">
        <v>634</v>
      </c>
      <c r="B61" t="s">
        <v>635</v>
      </c>
      <c r="C61" t="s">
        <v>636</v>
      </c>
      <c r="D61" t="s">
        <v>239</v>
      </c>
      <c r="E61" t="s">
        <v>296</v>
      </c>
      <c r="G61" t="s">
        <v>30</v>
      </c>
      <c r="H61" t="s">
        <v>634</v>
      </c>
      <c r="I61" s="3" t="s">
        <v>637</v>
      </c>
      <c r="J61" t="s">
        <v>638</v>
      </c>
      <c r="K61" t="s">
        <v>33</v>
      </c>
      <c r="L61" t="s">
        <v>639</v>
      </c>
      <c r="M61" t="s">
        <v>300</v>
      </c>
      <c r="Q61" t="s">
        <v>301</v>
      </c>
      <c r="T61" t="s">
        <v>58</v>
      </c>
      <c r="U61" t="s">
        <v>640</v>
      </c>
      <c r="V61" t="s">
        <v>292</v>
      </c>
      <c r="Y61" t="s">
        <v>24</v>
      </c>
    </row>
    <row r="62" spans="1:25" ht="14.5" x14ac:dyDescent="0.35">
      <c r="A62" t="s">
        <v>641</v>
      </c>
      <c r="B62" t="s">
        <v>642</v>
      </c>
      <c r="C62" t="s">
        <v>643</v>
      </c>
      <c r="D62" t="s">
        <v>164</v>
      </c>
      <c r="E62" t="s">
        <v>644</v>
      </c>
      <c r="G62" t="s">
        <v>30</v>
      </c>
      <c r="H62" t="s">
        <v>641</v>
      </c>
      <c r="I62" s="3" t="s">
        <v>645</v>
      </c>
      <c r="J62" t="s">
        <v>646</v>
      </c>
      <c r="K62" t="s">
        <v>33</v>
      </c>
      <c r="M62" t="s">
        <v>647</v>
      </c>
      <c r="Q62" t="s">
        <v>648</v>
      </c>
      <c r="S62" t="s">
        <v>649</v>
      </c>
      <c r="T62" t="s">
        <v>135</v>
      </c>
      <c r="U62" t="s">
        <v>650</v>
      </c>
      <c r="V62" t="s">
        <v>651</v>
      </c>
      <c r="Y62" t="s">
        <v>24</v>
      </c>
    </row>
    <row r="63" spans="1:25" ht="14.5" x14ac:dyDescent="0.35">
      <c r="A63" t="s">
        <v>652</v>
      </c>
      <c r="B63" t="s">
        <v>653</v>
      </c>
      <c r="C63" t="s">
        <v>654</v>
      </c>
      <c r="D63" t="s">
        <v>62</v>
      </c>
      <c r="F63" t="s">
        <v>99</v>
      </c>
      <c r="G63" t="s">
        <v>30</v>
      </c>
      <c r="H63" t="s">
        <v>652</v>
      </c>
      <c r="I63" s="3" t="s">
        <v>655</v>
      </c>
      <c r="J63" t="s">
        <v>656</v>
      </c>
      <c r="K63" t="s">
        <v>33</v>
      </c>
      <c r="O63" t="s">
        <v>618</v>
      </c>
      <c r="P63" t="s">
        <v>69</v>
      </c>
      <c r="S63" t="s">
        <v>167</v>
      </c>
      <c r="T63" t="s">
        <v>657</v>
      </c>
      <c r="U63" t="s">
        <v>658</v>
      </c>
      <c r="W63" t="s">
        <v>659</v>
      </c>
      <c r="Y63" t="s">
        <v>24</v>
      </c>
    </row>
    <row r="64" spans="1:25" ht="14.5" x14ac:dyDescent="0.35">
      <c r="A64" t="s">
        <v>660</v>
      </c>
      <c r="B64" t="s">
        <v>661</v>
      </c>
      <c r="C64" t="s">
        <v>662</v>
      </c>
      <c r="D64" t="s">
        <v>28</v>
      </c>
      <c r="F64" t="s">
        <v>426</v>
      </c>
      <c r="G64" t="s">
        <v>427</v>
      </c>
      <c r="J64" t="s">
        <v>663</v>
      </c>
      <c r="K64" t="s">
        <v>429</v>
      </c>
      <c r="L64" t="s">
        <v>664</v>
      </c>
      <c r="N64" t="s">
        <v>431</v>
      </c>
      <c r="O64" t="s">
        <v>575</v>
      </c>
      <c r="P64" t="s">
        <v>135</v>
      </c>
      <c r="T64" t="s">
        <v>92</v>
      </c>
      <c r="W64" t="s">
        <v>665</v>
      </c>
      <c r="Y64" t="s">
        <v>24</v>
      </c>
    </row>
    <row r="65" spans="1:25" ht="14.5" x14ac:dyDescent="0.35">
      <c r="A65" t="s">
        <v>666</v>
      </c>
      <c r="B65" t="s">
        <v>667</v>
      </c>
      <c r="C65" t="s">
        <v>668</v>
      </c>
      <c r="D65" t="s">
        <v>306</v>
      </c>
      <c r="E65" t="s">
        <v>669</v>
      </c>
      <c r="G65" t="s">
        <v>30</v>
      </c>
      <c r="H65" t="s">
        <v>666</v>
      </c>
      <c r="I65" s="3" t="s">
        <v>670</v>
      </c>
      <c r="J65" t="s">
        <v>671</v>
      </c>
      <c r="K65" t="s">
        <v>33</v>
      </c>
      <c r="L65" t="s">
        <v>672</v>
      </c>
      <c r="M65" t="s">
        <v>673</v>
      </c>
      <c r="Q65" t="s">
        <v>674</v>
      </c>
      <c r="T65" t="s">
        <v>69</v>
      </c>
      <c r="U65" t="s">
        <v>675</v>
      </c>
      <c r="V65" t="s">
        <v>248</v>
      </c>
      <c r="Y65" t="s">
        <v>24</v>
      </c>
    </row>
    <row r="66" spans="1:25" ht="14.5" x14ac:dyDescent="0.35">
      <c r="A66" t="s">
        <v>676</v>
      </c>
      <c r="B66" t="s">
        <v>677</v>
      </c>
      <c r="C66" t="s">
        <v>678</v>
      </c>
      <c r="D66" t="s">
        <v>62</v>
      </c>
      <c r="E66" t="s">
        <v>679</v>
      </c>
      <c r="G66" t="s">
        <v>30</v>
      </c>
      <c r="H66" t="s">
        <v>676</v>
      </c>
      <c r="I66" s="3" t="s">
        <v>680</v>
      </c>
      <c r="J66" t="s">
        <v>681</v>
      </c>
      <c r="K66" t="s">
        <v>33</v>
      </c>
      <c r="L66" t="s">
        <v>682</v>
      </c>
      <c r="M66" t="s">
        <v>683</v>
      </c>
      <c r="Q66" t="s">
        <v>684</v>
      </c>
      <c r="T66" t="s">
        <v>50</v>
      </c>
      <c r="U66" t="s">
        <v>685</v>
      </c>
      <c r="V66" t="s">
        <v>686</v>
      </c>
      <c r="Y66" t="s">
        <v>24</v>
      </c>
    </row>
    <row r="67" spans="1:25" ht="14.5" x14ac:dyDescent="0.35">
      <c r="A67" t="s">
        <v>687</v>
      </c>
      <c r="B67" t="s">
        <v>688</v>
      </c>
      <c r="D67" t="s">
        <v>28</v>
      </c>
      <c r="G67" t="s">
        <v>30</v>
      </c>
      <c r="K67" t="s">
        <v>33</v>
      </c>
      <c r="M67" t="s">
        <v>34</v>
      </c>
      <c r="V67" t="s">
        <v>39</v>
      </c>
      <c r="Y67" t="s">
        <v>24</v>
      </c>
    </row>
    <row r="68" spans="1:25" ht="14.5" x14ac:dyDescent="0.35">
      <c r="A68" t="s">
        <v>689</v>
      </c>
      <c r="B68" t="s">
        <v>690</v>
      </c>
      <c r="C68" t="s">
        <v>691</v>
      </c>
      <c r="D68" t="s">
        <v>263</v>
      </c>
      <c r="E68" t="s">
        <v>692</v>
      </c>
      <c r="G68" t="s">
        <v>30</v>
      </c>
      <c r="H68" t="s">
        <v>689</v>
      </c>
      <c r="I68" s="3" t="s">
        <v>693</v>
      </c>
      <c r="J68" t="s">
        <v>694</v>
      </c>
      <c r="K68" t="s">
        <v>33</v>
      </c>
      <c r="L68" t="s">
        <v>695</v>
      </c>
      <c r="M68" t="s">
        <v>696</v>
      </c>
      <c r="Q68" t="s">
        <v>697</v>
      </c>
      <c r="T68" t="s">
        <v>92</v>
      </c>
      <c r="U68" t="s">
        <v>698</v>
      </c>
      <c r="V68" t="s">
        <v>336</v>
      </c>
      <c r="Y68" t="s">
        <v>24</v>
      </c>
    </row>
    <row r="69" spans="1:25" ht="14.5" x14ac:dyDescent="0.35">
      <c r="A69" t="s">
        <v>699</v>
      </c>
      <c r="B69" t="s">
        <v>700</v>
      </c>
      <c r="C69" t="s">
        <v>701</v>
      </c>
      <c r="D69" t="s">
        <v>263</v>
      </c>
      <c r="E69" t="s">
        <v>702</v>
      </c>
      <c r="G69" t="s">
        <v>30</v>
      </c>
      <c r="H69" t="s">
        <v>699</v>
      </c>
      <c r="I69" s="3" t="s">
        <v>703</v>
      </c>
      <c r="J69" t="s">
        <v>704</v>
      </c>
      <c r="K69" t="s">
        <v>33</v>
      </c>
      <c r="L69" t="s">
        <v>705</v>
      </c>
      <c r="M69" t="s">
        <v>706</v>
      </c>
      <c r="Q69" t="s">
        <v>707</v>
      </c>
      <c r="T69" t="s">
        <v>135</v>
      </c>
      <c r="U69" t="s">
        <v>708</v>
      </c>
      <c r="V69" t="s">
        <v>709</v>
      </c>
      <c r="Y69" t="s">
        <v>24</v>
      </c>
    </row>
    <row r="70" spans="1:25" ht="14.5" x14ac:dyDescent="0.35">
      <c r="A70" t="s">
        <v>710</v>
      </c>
      <c r="B70" t="s">
        <v>711</v>
      </c>
      <c r="C70" t="s">
        <v>712</v>
      </c>
      <c r="D70" t="s">
        <v>306</v>
      </c>
      <c r="E70" t="s">
        <v>713</v>
      </c>
      <c r="G70" t="s">
        <v>30</v>
      </c>
      <c r="H70" t="s">
        <v>710</v>
      </c>
      <c r="I70" s="3" t="s">
        <v>714</v>
      </c>
      <c r="J70" t="s">
        <v>715</v>
      </c>
      <c r="K70" t="s">
        <v>33</v>
      </c>
      <c r="L70" t="s">
        <v>716</v>
      </c>
      <c r="M70" t="s">
        <v>717</v>
      </c>
      <c r="Q70" t="s">
        <v>718</v>
      </c>
      <c r="T70" t="s">
        <v>533</v>
      </c>
      <c r="U70" t="s">
        <v>719</v>
      </c>
      <c r="V70" t="s">
        <v>720</v>
      </c>
      <c r="Y70" t="s">
        <v>24</v>
      </c>
    </row>
    <row r="71" spans="1:25" ht="14.5" x14ac:dyDescent="0.35">
      <c r="A71" t="s">
        <v>721</v>
      </c>
      <c r="B71" t="s">
        <v>722</v>
      </c>
      <c r="C71" t="s">
        <v>723</v>
      </c>
      <c r="D71" t="s">
        <v>98</v>
      </c>
      <c r="E71" t="s">
        <v>724</v>
      </c>
      <c r="G71" t="s">
        <v>30</v>
      </c>
      <c r="H71" t="s">
        <v>721</v>
      </c>
      <c r="I71" s="3" t="s">
        <v>725</v>
      </c>
      <c r="J71" t="s">
        <v>726</v>
      </c>
      <c r="K71" t="s">
        <v>33</v>
      </c>
      <c r="L71" t="s">
        <v>727</v>
      </c>
      <c r="M71" t="s">
        <v>728</v>
      </c>
      <c r="Q71" t="s">
        <v>729</v>
      </c>
      <c r="T71" t="s">
        <v>92</v>
      </c>
      <c r="U71" t="s">
        <v>730</v>
      </c>
      <c r="V71" t="s">
        <v>137</v>
      </c>
      <c r="Y71" t="s">
        <v>24</v>
      </c>
    </row>
    <row r="72" spans="1:25" ht="14.5" x14ac:dyDescent="0.35">
      <c r="A72" t="s">
        <v>731</v>
      </c>
      <c r="B72" t="s">
        <v>732</v>
      </c>
      <c r="C72" t="s">
        <v>733</v>
      </c>
      <c r="D72" t="s">
        <v>239</v>
      </c>
      <c r="E72" t="s">
        <v>734</v>
      </c>
      <c r="G72" t="s">
        <v>30</v>
      </c>
      <c r="H72" t="s">
        <v>731</v>
      </c>
      <c r="I72" s="3" t="s">
        <v>735</v>
      </c>
      <c r="J72" t="s">
        <v>736</v>
      </c>
      <c r="K72" t="s">
        <v>33</v>
      </c>
      <c r="L72" t="s">
        <v>737</v>
      </c>
      <c r="M72" t="s">
        <v>738</v>
      </c>
      <c r="Q72" t="s">
        <v>739</v>
      </c>
      <c r="T72" t="s">
        <v>58</v>
      </c>
      <c r="U72" t="s">
        <v>740</v>
      </c>
      <c r="V72" t="s">
        <v>741</v>
      </c>
      <c r="Y72" t="s">
        <v>24</v>
      </c>
    </row>
    <row r="73" spans="1:25" ht="14.5" x14ac:dyDescent="0.35">
      <c r="A73" t="s">
        <v>742</v>
      </c>
      <c r="B73" t="s">
        <v>743</v>
      </c>
      <c r="C73" t="s">
        <v>744</v>
      </c>
      <c r="D73" t="s">
        <v>600</v>
      </c>
      <c r="E73" t="s">
        <v>745</v>
      </c>
      <c r="G73" t="s">
        <v>30</v>
      </c>
      <c r="H73" t="s">
        <v>742</v>
      </c>
      <c r="I73" s="3" t="s">
        <v>746</v>
      </c>
      <c r="J73" t="s">
        <v>747</v>
      </c>
      <c r="K73" t="s">
        <v>33</v>
      </c>
      <c r="L73" t="s">
        <v>748</v>
      </c>
      <c r="M73" t="s">
        <v>749</v>
      </c>
      <c r="Q73" t="s">
        <v>750</v>
      </c>
      <c r="T73" t="s">
        <v>398</v>
      </c>
      <c r="U73" t="s">
        <v>751</v>
      </c>
      <c r="V73" t="s">
        <v>752</v>
      </c>
      <c r="Y73" t="s">
        <v>24</v>
      </c>
    </row>
    <row r="74" spans="1:25" ht="14.5" x14ac:dyDescent="0.35">
      <c r="A74" t="s">
        <v>753</v>
      </c>
      <c r="B74" t="s">
        <v>754</v>
      </c>
      <c r="C74" t="s">
        <v>755</v>
      </c>
      <c r="D74" t="s">
        <v>239</v>
      </c>
      <c r="E74" t="s">
        <v>296</v>
      </c>
      <c r="G74" t="s">
        <v>30</v>
      </c>
      <c r="H74" t="s">
        <v>753</v>
      </c>
      <c r="I74" s="3" t="s">
        <v>756</v>
      </c>
      <c r="J74" t="s">
        <v>757</v>
      </c>
      <c r="K74" t="s">
        <v>33</v>
      </c>
      <c r="L74" t="s">
        <v>758</v>
      </c>
      <c r="M74" t="s">
        <v>300</v>
      </c>
      <c r="Q74" t="s">
        <v>301</v>
      </c>
      <c r="T74" t="s">
        <v>58</v>
      </c>
      <c r="U74" t="s">
        <v>759</v>
      </c>
      <c r="V74" t="s">
        <v>292</v>
      </c>
      <c r="Y74" t="s">
        <v>24</v>
      </c>
    </row>
    <row r="75" spans="1:25" ht="14.5" x14ac:dyDescent="0.35">
      <c r="A75" t="s">
        <v>760</v>
      </c>
      <c r="B75" t="s">
        <v>761</v>
      </c>
      <c r="C75" t="s">
        <v>762</v>
      </c>
      <c r="D75" t="s">
        <v>98</v>
      </c>
      <c r="E75" t="s">
        <v>763</v>
      </c>
      <c r="G75" t="s">
        <v>30</v>
      </c>
      <c r="H75" t="s">
        <v>760</v>
      </c>
      <c r="I75" s="3" t="s">
        <v>764</v>
      </c>
      <c r="J75" t="s">
        <v>765</v>
      </c>
      <c r="K75" t="s">
        <v>33</v>
      </c>
      <c r="L75" t="s">
        <v>766</v>
      </c>
      <c r="M75" t="s">
        <v>767</v>
      </c>
      <c r="Q75" t="s">
        <v>768</v>
      </c>
      <c r="T75" t="s">
        <v>50</v>
      </c>
      <c r="U75" t="s">
        <v>769</v>
      </c>
      <c r="V75" t="s">
        <v>137</v>
      </c>
      <c r="Y75" t="s">
        <v>24</v>
      </c>
    </row>
    <row r="76" spans="1:25" ht="14.5" x14ac:dyDescent="0.35">
      <c r="A76" t="s">
        <v>770</v>
      </c>
      <c r="B76" t="s">
        <v>771</v>
      </c>
      <c r="C76" t="s">
        <v>772</v>
      </c>
      <c r="D76" t="s">
        <v>62</v>
      </c>
      <c r="E76" t="s">
        <v>63</v>
      </c>
      <c r="G76" t="s">
        <v>30</v>
      </c>
      <c r="H76" t="s">
        <v>770</v>
      </c>
      <c r="I76" s="3" t="s">
        <v>773</v>
      </c>
      <c r="J76" t="s">
        <v>774</v>
      </c>
      <c r="K76" t="s">
        <v>33</v>
      </c>
      <c r="L76" t="s">
        <v>775</v>
      </c>
      <c r="M76" t="s">
        <v>67</v>
      </c>
      <c r="Q76" t="s">
        <v>68</v>
      </c>
      <c r="T76" t="s">
        <v>69</v>
      </c>
      <c r="U76" t="s">
        <v>776</v>
      </c>
      <c r="V76" t="s">
        <v>71</v>
      </c>
      <c r="Y76" t="s">
        <v>24</v>
      </c>
    </row>
    <row r="77" spans="1:25" ht="14.5" x14ac:dyDescent="0.35">
      <c r="A77" t="s">
        <v>777</v>
      </c>
      <c r="B77" t="s">
        <v>778</v>
      </c>
      <c r="C77" t="s">
        <v>779</v>
      </c>
      <c r="D77" t="s">
        <v>780</v>
      </c>
      <c r="E77" t="s">
        <v>781</v>
      </c>
      <c r="G77" t="s">
        <v>30</v>
      </c>
      <c r="H77" t="s">
        <v>777</v>
      </c>
      <c r="I77" s="3" t="s">
        <v>782</v>
      </c>
      <c r="J77" t="s">
        <v>783</v>
      </c>
      <c r="K77" t="s">
        <v>33</v>
      </c>
      <c r="L77" t="s">
        <v>784</v>
      </c>
      <c r="M77" t="s">
        <v>785</v>
      </c>
      <c r="Q77" t="s">
        <v>786</v>
      </c>
      <c r="T77" t="s">
        <v>50</v>
      </c>
      <c r="U77" t="s">
        <v>787</v>
      </c>
      <c r="V77" t="s">
        <v>788</v>
      </c>
      <c r="Y77" t="s">
        <v>24</v>
      </c>
    </row>
    <row r="78" spans="1:25" ht="14.5" x14ac:dyDescent="0.35">
      <c r="A78" t="s">
        <v>789</v>
      </c>
      <c r="B78" t="s">
        <v>790</v>
      </c>
      <c r="C78" t="s">
        <v>791</v>
      </c>
      <c r="D78" t="s">
        <v>28</v>
      </c>
      <c r="F78" t="s">
        <v>99</v>
      </c>
      <c r="G78" t="s">
        <v>30</v>
      </c>
      <c r="H78" t="s">
        <v>789</v>
      </c>
      <c r="I78" s="3" t="s">
        <v>792</v>
      </c>
      <c r="J78" t="s">
        <v>793</v>
      </c>
      <c r="K78" t="s">
        <v>33</v>
      </c>
      <c r="O78" t="s">
        <v>80</v>
      </c>
      <c r="P78" t="s">
        <v>37</v>
      </c>
      <c r="S78" t="s">
        <v>433</v>
      </c>
      <c r="T78" t="s">
        <v>794</v>
      </c>
      <c r="U78" t="s">
        <v>795</v>
      </c>
      <c r="W78" t="s">
        <v>796</v>
      </c>
      <c r="Y78" t="s">
        <v>24</v>
      </c>
    </row>
    <row r="79" spans="1:25" ht="14.5" x14ac:dyDescent="0.35">
      <c r="A79" t="s">
        <v>797</v>
      </c>
      <c r="B79" t="s">
        <v>798</v>
      </c>
      <c r="C79" t="s">
        <v>799</v>
      </c>
      <c r="D79" t="s">
        <v>62</v>
      </c>
      <c r="E79" t="s">
        <v>471</v>
      </c>
      <c r="G79" t="s">
        <v>30</v>
      </c>
      <c r="H79" t="s">
        <v>797</v>
      </c>
      <c r="I79" s="3" t="s">
        <v>800</v>
      </c>
      <c r="J79" t="s">
        <v>801</v>
      </c>
      <c r="K79" t="s">
        <v>33</v>
      </c>
      <c r="L79" t="s">
        <v>802</v>
      </c>
      <c r="M79" t="s">
        <v>475</v>
      </c>
      <c r="Q79" t="s">
        <v>476</v>
      </c>
      <c r="T79" t="s">
        <v>135</v>
      </c>
      <c r="U79" t="s">
        <v>803</v>
      </c>
      <c r="V79" t="s">
        <v>182</v>
      </c>
      <c r="Y79" t="s">
        <v>24</v>
      </c>
    </row>
    <row r="80" spans="1:25" ht="14.5" x14ac:dyDescent="0.35">
      <c r="A80" t="s">
        <v>804</v>
      </c>
      <c r="B80" t="s">
        <v>805</v>
      </c>
      <c r="C80" t="s">
        <v>806</v>
      </c>
      <c r="D80" t="s">
        <v>98</v>
      </c>
      <c r="E80" t="s">
        <v>807</v>
      </c>
      <c r="G80" t="s">
        <v>30</v>
      </c>
      <c r="H80" t="s">
        <v>804</v>
      </c>
      <c r="I80" s="3" t="s">
        <v>808</v>
      </c>
      <c r="J80" t="s">
        <v>809</v>
      </c>
      <c r="K80" t="s">
        <v>33</v>
      </c>
      <c r="L80" t="s">
        <v>810</v>
      </c>
      <c r="M80" t="s">
        <v>811</v>
      </c>
      <c r="Q80" t="s">
        <v>812</v>
      </c>
      <c r="T80" t="s">
        <v>50</v>
      </c>
      <c r="U80" t="s">
        <v>813</v>
      </c>
      <c r="V80" t="s">
        <v>137</v>
      </c>
      <c r="Y80" t="s">
        <v>24</v>
      </c>
    </row>
    <row r="81" spans="1:25" ht="14.5" x14ac:dyDescent="0.35">
      <c r="A81" t="s">
        <v>814</v>
      </c>
      <c r="B81" t="s">
        <v>815</v>
      </c>
      <c r="C81" t="s">
        <v>816</v>
      </c>
      <c r="D81" t="s">
        <v>62</v>
      </c>
      <c r="E81" t="s">
        <v>471</v>
      </c>
      <c r="G81" t="s">
        <v>30</v>
      </c>
      <c r="H81" t="s">
        <v>814</v>
      </c>
      <c r="I81" s="3" t="s">
        <v>817</v>
      </c>
      <c r="J81" t="s">
        <v>818</v>
      </c>
      <c r="K81" t="s">
        <v>33</v>
      </c>
      <c r="L81" t="s">
        <v>819</v>
      </c>
      <c r="M81" t="s">
        <v>475</v>
      </c>
      <c r="Q81" t="s">
        <v>476</v>
      </c>
      <c r="T81" t="s">
        <v>213</v>
      </c>
      <c r="U81" t="s">
        <v>820</v>
      </c>
      <c r="V81" t="s">
        <v>182</v>
      </c>
      <c r="Y81" t="s">
        <v>24</v>
      </c>
    </row>
    <row r="82" spans="1:25" ht="14.5" x14ac:dyDescent="0.35">
      <c r="A82" t="s">
        <v>821</v>
      </c>
      <c r="B82" t="s">
        <v>822</v>
      </c>
      <c r="C82" t="s">
        <v>823</v>
      </c>
      <c r="D82" t="s">
        <v>98</v>
      </c>
      <c r="F82" t="s">
        <v>824</v>
      </c>
      <c r="G82" t="s">
        <v>30</v>
      </c>
      <c r="H82" t="s">
        <v>821</v>
      </c>
      <c r="I82" s="3" t="s">
        <v>825</v>
      </c>
      <c r="J82" t="s">
        <v>826</v>
      </c>
      <c r="K82" t="s">
        <v>33</v>
      </c>
      <c r="R82" t="s">
        <v>102</v>
      </c>
      <c r="U82" t="s">
        <v>827</v>
      </c>
      <c r="Y82" t="s">
        <v>24</v>
      </c>
    </row>
    <row r="83" spans="1:25" ht="14.5" x14ac:dyDescent="0.35">
      <c r="A83" t="s">
        <v>828</v>
      </c>
      <c r="B83" t="s">
        <v>829</v>
      </c>
      <c r="C83" t="s">
        <v>830</v>
      </c>
      <c r="D83" t="s">
        <v>62</v>
      </c>
      <c r="E83" t="s">
        <v>831</v>
      </c>
      <c r="G83" t="s">
        <v>30</v>
      </c>
      <c r="H83" t="s">
        <v>828</v>
      </c>
      <c r="I83" s="3" t="s">
        <v>832</v>
      </c>
      <c r="J83" t="s">
        <v>833</v>
      </c>
      <c r="K83" t="s">
        <v>33</v>
      </c>
      <c r="L83" t="s">
        <v>834</v>
      </c>
      <c r="M83" t="s">
        <v>835</v>
      </c>
      <c r="Q83" t="s">
        <v>836</v>
      </c>
      <c r="T83" t="s">
        <v>246</v>
      </c>
      <c r="U83" t="s">
        <v>837</v>
      </c>
      <c r="V83" t="s">
        <v>838</v>
      </c>
      <c r="Y83" t="s">
        <v>24</v>
      </c>
    </row>
    <row r="84" spans="1:25" ht="14.5" x14ac:dyDescent="0.35">
      <c r="A84" t="s">
        <v>839</v>
      </c>
      <c r="B84" t="s">
        <v>840</v>
      </c>
      <c r="C84" t="s">
        <v>841</v>
      </c>
      <c r="D84" t="s">
        <v>195</v>
      </c>
      <c r="E84" t="s">
        <v>842</v>
      </c>
      <c r="G84" t="s">
        <v>30</v>
      </c>
      <c r="H84" t="s">
        <v>839</v>
      </c>
      <c r="I84" s="3" t="s">
        <v>843</v>
      </c>
      <c r="J84" t="s">
        <v>844</v>
      </c>
      <c r="K84" t="s">
        <v>33</v>
      </c>
      <c r="L84" t="s">
        <v>845</v>
      </c>
      <c r="M84" t="s">
        <v>846</v>
      </c>
      <c r="Q84" t="s">
        <v>847</v>
      </c>
      <c r="T84" t="s">
        <v>58</v>
      </c>
      <c r="U84" t="s">
        <v>848</v>
      </c>
      <c r="V84" t="s">
        <v>849</v>
      </c>
      <c r="Y84" t="s">
        <v>24</v>
      </c>
    </row>
    <row r="85" spans="1:25" ht="14.5" x14ac:dyDescent="0.35">
      <c r="A85" t="s">
        <v>850</v>
      </c>
      <c r="B85" t="s">
        <v>851</v>
      </c>
      <c r="C85" t="s">
        <v>852</v>
      </c>
      <c r="D85" t="s">
        <v>28</v>
      </c>
      <c r="E85" t="s">
        <v>853</v>
      </c>
      <c r="G85" t="s">
        <v>30</v>
      </c>
      <c r="H85" t="s">
        <v>850</v>
      </c>
      <c r="I85" s="3" t="s">
        <v>854</v>
      </c>
      <c r="J85" t="s">
        <v>855</v>
      </c>
      <c r="K85" t="s">
        <v>33</v>
      </c>
      <c r="M85" t="s">
        <v>856</v>
      </c>
      <c r="Q85" t="s">
        <v>857</v>
      </c>
      <c r="S85" t="s">
        <v>858</v>
      </c>
      <c r="T85" t="s">
        <v>81</v>
      </c>
      <c r="U85" t="s">
        <v>859</v>
      </c>
      <c r="V85" t="s">
        <v>860</v>
      </c>
      <c r="Y85" t="s">
        <v>24</v>
      </c>
    </row>
    <row r="86" spans="1:25" ht="14.5" x14ac:dyDescent="0.35">
      <c r="A86" t="s">
        <v>861</v>
      </c>
      <c r="B86" t="s">
        <v>862</v>
      </c>
      <c r="C86" t="s">
        <v>863</v>
      </c>
      <c r="D86" t="s">
        <v>62</v>
      </c>
      <c r="E86" t="s">
        <v>274</v>
      </c>
      <c r="G86" t="s">
        <v>30</v>
      </c>
      <c r="H86" t="s">
        <v>861</v>
      </c>
      <c r="I86" s="3" t="s">
        <v>864</v>
      </c>
      <c r="J86" t="s">
        <v>865</v>
      </c>
      <c r="K86" t="s">
        <v>33</v>
      </c>
      <c r="L86" t="s">
        <v>866</v>
      </c>
      <c r="M86" t="s">
        <v>278</v>
      </c>
      <c r="Q86" t="s">
        <v>279</v>
      </c>
      <c r="T86" t="s">
        <v>58</v>
      </c>
      <c r="U86" t="s">
        <v>867</v>
      </c>
      <c r="V86" t="s">
        <v>281</v>
      </c>
      <c r="Y86" t="s">
        <v>24</v>
      </c>
    </row>
    <row r="87" spans="1:25" ht="14.5" x14ac:dyDescent="0.35">
      <c r="A87" t="s">
        <v>868</v>
      </c>
      <c r="B87" t="s">
        <v>869</v>
      </c>
      <c r="C87" t="s">
        <v>870</v>
      </c>
      <c r="D87" t="s">
        <v>62</v>
      </c>
      <c r="F87" t="s">
        <v>99</v>
      </c>
      <c r="G87" t="s">
        <v>30</v>
      </c>
      <c r="H87" t="s">
        <v>868</v>
      </c>
      <c r="I87" s="3" t="s">
        <v>871</v>
      </c>
      <c r="J87" t="s">
        <v>872</v>
      </c>
      <c r="K87" t="s">
        <v>33</v>
      </c>
      <c r="O87" t="s">
        <v>618</v>
      </c>
      <c r="P87" t="s">
        <v>533</v>
      </c>
      <c r="S87" t="s">
        <v>873</v>
      </c>
      <c r="T87" t="s">
        <v>874</v>
      </c>
      <c r="U87" t="s">
        <v>875</v>
      </c>
      <c r="W87" t="s">
        <v>876</v>
      </c>
      <c r="Y87" t="s">
        <v>24</v>
      </c>
    </row>
    <row r="88" spans="1:25" ht="14.5" x14ac:dyDescent="0.35">
      <c r="A88" t="s">
        <v>877</v>
      </c>
      <c r="B88" t="s">
        <v>878</v>
      </c>
      <c r="C88" t="s">
        <v>879</v>
      </c>
      <c r="D88" t="s">
        <v>239</v>
      </c>
      <c r="E88" t="s">
        <v>880</v>
      </c>
      <c r="G88" t="s">
        <v>30</v>
      </c>
      <c r="H88" t="s">
        <v>877</v>
      </c>
      <c r="I88" s="3" t="s">
        <v>881</v>
      </c>
      <c r="J88" t="s">
        <v>882</v>
      </c>
      <c r="K88" t="s">
        <v>33</v>
      </c>
      <c r="L88" t="s">
        <v>883</v>
      </c>
      <c r="M88" t="s">
        <v>884</v>
      </c>
      <c r="Q88" t="s">
        <v>885</v>
      </c>
      <c r="T88" t="s">
        <v>507</v>
      </c>
      <c r="U88" t="s">
        <v>886</v>
      </c>
      <c r="V88" t="s">
        <v>860</v>
      </c>
      <c r="Y88" t="s">
        <v>24</v>
      </c>
    </row>
    <row r="89" spans="1:25" ht="14.5" x14ac:dyDescent="0.35">
      <c r="A89" t="s">
        <v>887</v>
      </c>
      <c r="B89" t="s">
        <v>888</v>
      </c>
      <c r="C89" t="s">
        <v>889</v>
      </c>
      <c r="D89" t="s">
        <v>28</v>
      </c>
      <c r="F89" t="s">
        <v>890</v>
      </c>
      <c r="G89" t="s">
        <v>30</v>
      </c>
      <c r="H89" t="s">
        <v>887</v>
      </c>
      <c r="I89" s="3" t="s">
        <v>891</v>
      </c>
      <c r="J89" t="s">
        <v>892</v>
      </c>
      <c r="K89" t="s">
        <v>33</v>
      </c>
      <c r="L89" t="s">
        <v>893</v>
      </c>
      <c r="N89" t="s">
        <v>894</v>
      </c>
      <c r="O89" t="s">
        <v>895</v>
      </c>
      <c r="P89" t="s">
        <v>92</v>
      </c>
      <c r="T89" t="s">
        <v>379</v>
      </c>
      <c r="W89" t="s">
        <v>665</v>
      </c>
      <c r="Y89" t="s">
        <v>24</v>
      </c>
    </row>
    <row r="90" spans="1:25" ht="14.5" x14ac:dyDescent="0.35">
      <c r="A90" t="s">
        <v>896</v>
      </c>
      <c r="B90" t="s">
        <v>897</v>
      </c>
      <c r="C90" t="s">
        <v>898</v>
      </c>
      <c r="D90" t="s">
        <v>98</v>
      </c>
      <c r="E90" t="s">
        <v>899</v>
      </c>
      <c r="G90" t="s">
        <v>501</v>
      </c>
      <c r="J90" t="s">
        <v>900</v>
      </c>
      <c r="L90" t="s">
        <v>901</v>
      </c>
      <c r="M90" t="s">
        <v>902</v>
      </c>
      <c r="T90" t="s">
        <v>92</v>
      </c>
      <c r="Y90" t="s">
        <v>24</v>
      </c>
    </row>
    <row r="91" spans="1:25" ht="14.5" x14ac:dyDescent="0.35">
      <c r="A91" t="s">
        <v>903</v>
      </c>
      <c r="B91" t="s">
        <v>904</v>
      </c>
      <c r="C91" t="s">
        <v>905</v>
      </c>
      <c r="D91" t="s">
        <v>98</v>
      </c>
      <c r="E91" t="s">
        <v>612</v>
      </c>
      <c r="G91" t="s">
        <v>30</v>
      </c>
      <c r="H91" t="s">
        <v>903</v>
      </c>
      <c r="I91" s="3" t="s">
        <v>906</v>
      </c>
      <c r="J91" t="s">
        <v>907</v>
      </c>
      <c r="K91" t="s">
        <v>33</v>
      </c>
      <c r="M91" t="s">
        <v>615</v>
      </c>
      <c r="Q91" t="s">
        <v>616</v>
      </c>
      <c r="S91" t="s">
        <v>908</v>
      </c>
      <c r="T91" t="s">
        <v>167</v>
      </c>
      <c r="U91" t="s">
        <v>909</v>
      </c>
      <c r="V91" t="s">
        <v>137</v>
      </c>
      <c r="Y91" t="s">
        <v>24</v>
      </c>
    </row>
    <row r="92" spans="1:25" ht="14.5" x14ac:dyDescent="0.35">
      <c r="A92" t="s">
        <v>910</v>
      </c>
      <c r="B92" t="s">
        <v>911</v>
      </c>
      <c r="C92" t="s">
        <v>912</v>
      </c>
      <c r="D92" t="s">
        <v>195</v>
      </c>
      <c r="E92" t="s">
        <v>913</v>
      </c>
      <c r="G92" t="s">
        <v>30</v>
      </c>
      <c r="H92" t="s">
        <v>910</v>
      </c>
      <c r="I92" s="3" t="s">
        <v>914</v>
      </c>
      <c r="J92" t="s">
        <v>915</v>
      </c>
      <c r="K92" t="s">
        <v>33</v>
      </c>
      <c r="L92" t="s">
        <v>916</v>
      </c>
      <c r="M92" t="s">
        <v>917</v>
      </c>
      <c r="Q92" t="s">
        <v>918</v>
      </c>
      <c r="T92" t="s">
        <v>567</v>
      </c>
      <c r="U92" t="s">
        <v>919</v>
      </c>
      <c r="V92" t="s">
        <v>849</v>
      </c>
      <c r="Y92" t="s">
        <v>24</v>
      </c>
    </row>
    <row r="93" spans="1:25" ht="14.5" x14ac:dyDescent="0.35">
      <c r="A93" t="s">
        <v>920</v>
      </c>
      <c r="B93" t="s">
        <v>921</v>
      </c>
      <c r="C93" t="s">
        <v>922</v>
      </c>
      <c r="D93" t="s">
        <v>62</v>
      </c>
      <c r="E93" t="s">
        <v>923</v>
      </c>
      <c r="G93" t="s">
        <v>30</v>
      </c>
      <c r="H93" t="s">
        <v>920</v>
      </c>
      <c r="I93" s="3" t="s">
        <v>924</v>
      </c>
      <c r="J93" t="s">
        <v>925</v>
      </c>
      <c r="K93" t="s">
        <v>33</v>
      </c>
      <c r="L93" t="s">
        <v>926</v>
      </c>
      <c r="M93" t="s">
        <v>927</v>
      </c>
      <c r="Q93" t="s">
        <v>928</v>
      </c>
      <c r="T93" t="s">
        <v>246</v>
      </c>
      <c r="U93" t="s">
        <v>929</v>
      </c>
      <c r="V93" t="s">
        <v>930</v>
      </c>
      <c r="Y93" t="s">
        <v>24</v>
      </c>
    </row>
    <row r="94" spans="1:25" ht="14.5" x14ac:dyDescent="0.35">
      <c r="A94" t="s">
        <v>931</v>
      </c>
      <c r="B94" t="s">
        <v>932</v>
      </c>
      <c r="C94" t="s">
        <v>933</v>
      </c>
      <c r="D94" t="s">
        <v>43</v>
      </c>
      <c r="E94" t="s">
        <v>141</v>
      </c>
      <c r="G94" t="s">
        <v>30</v>
      </c>
      <c r="H94" t="s">
        <v>931</v>
      </c>
      <c r="I94" s="3" t="s">
        <v>934</v>
      </c>
      <c r="J94" t="s">
        <v>935</v>
      </c>
      <c r="K94" t="s">
        <v>33</v>
      </c>
      <c r="L94" t="s">
        <v>936</v>
      </c>
      <c r="M94" t="s">
        <v>145</v>
      </c>
      <c r="Q94" t="s">
        <v>146</v>
      </c>
      <c r="T94" t="s">
        <v>58</v>
      </c>
      <c r="U94" t="s">
        <v>937</v>
      </c>
      <c r="V94" t="s">
        <v>148</v>
      </c>
      <c r="Y94" t="s">
        <v>24</v>
      </c>
    </row>
    <row r="95" spans="1:25" ht="14.5" x14ac:dyDescent="0.35">
      <c r="A95" t="s">
        <v>938</v>
      </c>
      <c r="B95" t="s">
        <v>939</v>
      </c>
      <c r="C95" t="s">
        <v>940</v>
      </c>
      <c r="D95" t="s">
        <v>239</v>
      </c>
      <c r="E95" t="s">
        <v>941</v>
      </c>
      <c r="G95" t="s">
        <v>30</v>
      </c>
      <c r="H95" t="s">
        <v>938</v>
      </c>
      <c r="I95" s="3" t="s">
        <v>942</v>
      </c>
      <c r="J95" t="s">
        <v>943</v>
      </c>
      <c r="K95" t="s">
        <v>33</v>
      </c>
      <c r="L95" t="s">
        <v>944</v>
      </c>
      <c r="M95" t="s">
        <v>945</v>
      </c>
      <c r="Q95" t="s">
        <v>946</v>
      </c>
      <c r="T95" t="s">
        <v>58</v>
      </c>
      <c r="U95" t="s">
        <v>947</v>
      </c>
      <c r="V95" t="s">
        <v>849</v>
      </c>
      <c r="Y95" t="s">
        <v>24</v>
      </c>
    </row>
    <row r="96" spans="1:25" ht="14.5" x14ac:dyDescent="0.35">
      <c r="A96" t="s">
        <v>948</v>
      </c>
      <c r="B96" t="s">
        <v>949</v>
      </c>
      <c r="C96" t="s">
        <v>950</v>
      </c>
      <c r="D96" t="s">
        <v>780</v>
      </c>
      <c r="E96" t="s">
        <v>951</v>
      </c>
      <c r="G96" t="s">
        <v>30</v>
      </c>
      <c r="H96" t="s">
        <v>948</v>
      </c>
      <c r="I96" s="3" t="s">
        <v>952</v>
      </c>
      <c r="J96" t="s">
        <v>953</v>
      </c>
      <c r="K96" t="s">
        <v>33</v>
      </c>
      <c r="L96" t="s">
        <v>954</v>
      </c>
      <c r="M96" t="s">
        <v>955</v>
      </c>
      <c r="Q96" t="s">
        <v>956</v>
      </c>
      <c r="T96" t="s">
        <v>533</v>
      </c>
      <c r="U96" t="s">
        <v>957</v>
      </c>
      <c r="V96" t="s">
        <v>958</v>
      </c>
      <c r="Y96" t="s">
        <v>24</v>
      </c>
    </row>
    <row r="97" spans="1:25" ht="14.5" x14ac:dyDescent="0.35">
      <c r="A97" t="s">
        <v>959</v>
      </c>
      <c r="B97" t="s">
        <v>960</v>
      </c>
      <c r="C97" t="s">
        <v>961</v>
      </c>
      <c r="D97" t="s">
        <v>195</v>
      </c>
      <c r="E97" t="s">
        <v>962</v>
      </c>
      <c r="G97" t="s">
        <v>30</v>
      </c>
      <c r="H97" t="s">
        <v>959</v>
      </c>
      <c r="I97" s="3" t="s">
        <v>963</v>
      </c>
      <c r="J97" t="s">
        <v>964</v>
      </c>
      <c r="K97" t="s">
        <v>33</v>
      </c>
      <c r="M97" t="s">
        <v>965</v>
      </c>
      <c r="Q97" t="s">
        <v>966</v>
      </c>
      <c r="S97" t="s">
        <v>534</v>
      </c>
      <c r="T97" t="s">
        <v>246</v>
      </c>
      <c r="U97" t="s">
        <v>967</v>
      </c>
      <c r="V97" t="s">
        <v>203</v>
      </c>
      <c r="Y97" t="s">
        <v>24</v>
      </c>
    </row>
    <row r="98" spans="1:25" ht="14.5" x14ac:dyDescent="0.35">
      <c r="A98" t="s">
        <v>968</v>
      </c>
      <c r="B98" t="s">
        <v>969</v>
      </c>
      <c r="C98" t="s">
        <v>970</v>
      </c>
      <c r="D98" t="s">
        <v>28</v>
      </c>
      <c r="E98" t="s">
        <v>971</v>
      </c>
      <c r="G98" t="s">
        <v>30</v>
      </c>
      <c r="H98" t="s">
        <v>968</v>
      </c>
      <c r="I98" s="3" t="s">
        <v>972</v>
      </c>
      <c r="J98" t="s">
        <v>973</v>
      </c>
      <c r="K98" t="s">
        <v>33</v>
      </c>
      <c r="M98" t="s">
        <v>974</v>
      </c>
      <c r="Q98" t="s">
        <v>975</v>
      </c>
      <c r="S98" t="s">
        <v>976</v>
      </c>
      <c r="T98" t="s">
        <v>532</v>
      </c>
      <c r="U98" t="s">
        <v>977</v>
      </c>
      <c r="V98" t="s">
        <v>860</v>
      </c>
      <c r="Y98" t="s">
        <v>24</v>
      </c>
    </row>
    <row r="99" spans="1:25" ht="14.5" x14ac:dyDescent="0.35">
      <c r="A99" t="s">
        <v>978</v>
      </c>
      <c r="B99" t="s">
        <v>979</v>
      </c>
      <c r="C99" t="s">
        <v>980</v>
      </c>
      <c r="D99" t="s">
        <v>780</v>
      </c>
      <c r="E99" t="s">
        <v>781</v>
      </c>
      <c r="G99" t="s">
        <v>30</v>
      </c>
      <c r="H99" t="s">
        <v>978</v>
      </c>
      <c r="I99" s="3" t="s">
        <v>981</v>
      </c>
      <c r="J99" t="s">
        <v>982</v>
      </c>
      <c r="K99" t="s">
        <v>33</v>
      </c>
      <c r="L99" t="s">
        <v>983</v>
      </c>
      <c r="M99" t="s">
        <v>785</v>
      </c>
      <c r="Q99" t="s">
        <v>786</v>
      </c>
      <c r="T99" t="s">
        <v>50</v>
      </c>
      <c r="U99" t="s">
        <v>984</v>
      </c>
      <c r="V99" t="s">
        <v>788</v>
      </c>
      <c r="Y99" t="s">
        <v>24</v>
      </c>
    </row>
    <row r="100" spans="1:25" ht="14.5" x14ac:dyDescent="0.35">
      <c r="A100" t="s">
        <v>985</v>
      </c>
      <c r="B100" t="s">
        <v>986</v>
      </c>
      <c r="C100" t="s">
        <v>987</v>
      </c>
      <c r="D100" t="s">
        <v>164</v>
      </c>
      <c r="E100" t="s">
        <v>445</v>
      </c>
      <c r="G100" t="s">
        <v>30</v>
      </c>
      <c r="I100" s="3" t="s">
        <v>988</v>
      </c>
      <c r="J100" t="s">
        <v>989</v>
      </c>
      <c r="K100" t="s">
        <v>33</v>
      </c>
      <c r="L100" t="s">
        <v>990</v>
      </c>
      <c r="M100" t="s">
        <v>449</v>
      </c>
      <c r="T100" t="s">
        <v>398</v>
      </c>
      <c r="Y100" t="s">
        <v>24</v>
      </c>
    </row>
    <row r="101" spans="1:25" ht="14.5" x14ac:dyDescent="0.35">
      <c r="A101" t="s">
        <v>991</v>
      </c>
      <c r="B101" t="s">
        <v>992</v>
      </c>
      <c r="C101" t="s">
        <v>993</v>
      </c>
      <c r="D101" t="s">
        <v>164</v>
      </c>
      <c r="E101" t="s">
        <v>994</v>
      </c>
      <c r="G101" t="s">
        <v>30</v>
      </c>
      <c r="H101" t="s">
        <v>991</v>
      </c>
      <c r="I101" s="3" t="s">
        <v>995</v>
      </c>
      <c r="J101" t="s">
        <v>996</v>
      </c>
      <c r="K101" t="s">
        <v>33</v>
      </c>
      <c r="L101" t="s">
        <v>997</v>
      </c>
      <c r="M101" t="s">
        <v>998</v>
      </c>
      <c r="Q101" t="s">
        <v>999</v>
      </c>
      <c r="T101" t="s">
        <v>379</v>
      </c>
      <c r="U101" t="s">
        <v>1000</v>
      </c>
      <c r="V101" t="s">
        <v>1001</v>
      </c>
      <c r="Y101" t="s">
        <v>24</v>
      </c>
    </row>
    <row r="102" spans="1:25" ht="14.5" x14ac:dyDescent="0.35">
      <c r="A102" t="s">
        <v>1002</v>
      </c>
      <c r="B102" t="s">
        <v>1003</v>
      </c>
      <c r="C102" t="s">
        <v>1004</v>
      </c>
      <c r="D102" t="s">
        <v>263</v>
      </c>
      <c r="E102" t="s">
        <v>1005</v>
      </c>
      <c r="G102" t="s">
        <v>30</v>
      </c>
      <c r="H102" t="s">
        <v>1002</v>
      </c>
      <c r="I102" s="3" t="s">
        <v>1006</v>
      </c>
      <c r="J102" t="s">
        <v>1007</v>
      </c>
      <c r="K102" t="s">
        <v>33</v>
      </c>
      <c r="M102" t="s">
        <v>1008</v>
      </c>
      <c r="Q102" t="s">
        <v>1009</v>
      </c>
      <c r="S102" t="s">
        <v>168</v>
      </c>
      <c r="T102" t="s">
        <v>50</v>
      </c>
      <c r="U102" t="s">
        <v>1010</v>
      </c>
      <c r="V102" t="s">
        <v>1011</v>
      </c>
      <c r="Y102" t="s">
        <v>24</v>
      </c>
    </row>
    <row r="103" spans="1:25" ht="14.5" x14ac:dyDescent="0.35">
      <c r="A103" t="s">
        <v>1012</v>
      </c>
      <c r="B103" t="s">
        <v>1013</v>
      </c>
      <c r="C103" t="s">
        <v>1014</v>
      </c>
      <c r="D103" t="s">
        <v>43</v>
      </c>
      <c r="E103" t="s">
        <v>1015</v>
      </c>
      <c r="G103" t="s">
        <v>30</v>
      </c>
      <c r="H103" t="s">
        <v>1012</v>
      </c>
      <c r="I103" s="3" t="s">
        <v>1016</v>
      </c>
      <c r="J103" t="s">
        <v>1017</v>
      </c>
      <c r="K103" t="s">
        <v>33</v>
      </c>
      <c r="L103" t="s">
        <v>1018</v>
      </c>
      <c r="M103" t="s">
        <v>1019</v>
      </c>
      <c r="Q103" t="s">
        <v>1020</v>
      </c>
      <c r="T103" t="s">
        <v>135</v>
      </c>
      <c r="U103" t="s">
        <v>1021</v>
      </c>
      <c r="V103" t="s">
        <v>1022</v>
      </c>
      <c r="Y103" t="s">
        <v>24</v>
      </c>
    </row>
    <row r="104" spans="1:25" ht="14.5" x14ac:dyDescent="0.35">
      <c r="A104" t="s">
        <v>1023</v>
      </c>
      <c r="B104" t="s">
        <v>1024</v>
      </c>
      <c r="C104" t="s">
        <v>1025</v>
      </c>
      <c r="D104" t="s">
        <v>28</v>
      </c>
      <c r="E104" t="s">
        <v>1026</v>
      </c>
      <c r="G104" t="s">
        <v>30</v>
      </c>
      <c r="H104" t="s">
        <v>1023</v>
      </c>
      <c r="I104" s="3" t="s">
        <v>1027</v>
      </c>
      <c r="J104" t="s">
        <v>1028</v>
      </c>
      <c r="K104" t="s">
        <v>33</v>
      </c>
      <c r="M104" t="s">
        <v>1029</v>
      </c>
      <c r="Q104" t="s">
        <v>1030</v>
      </c>
      <c r="S104" t="s">
        <v>566</v>
      </c>
      <c r="T104" t="s">
        <v>50</v>
      </c>
      <c r="U104" t="s">
        <v>1031</v>
      </c>
      <c r="V104" t="s">
        <v>1032</v>
      </c>
      <c r="Y104" t="s">
        <v>24</v>
      </c>
    </row>
    <row r="105" spans="1:25" ht="14.5" x14ac:dyDescent="0.35">
      <c r="A105" t="s">
        <v>1033</v>
      </c>
      <c r="B105" t="s">
        <v>1034</v>
      </c>
      <c r="C105" t="s">
        <v>1035</v>
      </c>
      <c r="D105" t="s">
        <v>164</v>
      </c>
      <c r="E105" t="s">
        <v>1036</v>
      </c>
      <c r="G105" t="s">
        <v>30</v>
      </c>
      <c r="H105" t="s">
        <v>1033</v>
      </c>
      <c r="I105" s="3" t="s">
        <v>1037</v>
      </c>
      <c r="J105" t="s">
        <v>1038</v>
      </c>
      <c r="K105" t="s">
        <v>33</v>
      </c>
      <c r="L105" t="s">
        <v>1039</v>
      </c>
      <c r="M105" t="s">
        <v>1040</v>
      </c>
      <c r="Q105" t="s">
        <v>409</v>
      </c>
      <c r="T105" t="s">
        <v>37</v>
      </c>
      <c r="U105" t="s">
        <v>1041</v>
      </c>
      <c r="V105" t="s">
        <v>411</v>
      </c>
      <c r="Y105" t="s">
        <v>24</v>
      </c>
    </row>
    <row r="106" spans="1:25" ht="14.5" x14ac:dyDescent="0.35">
      <c r="A106" t="s">
        <v>1042</v>
      </c>
      <c r="B106" t="s">
        <v>1043</v>
      </c>
      <c r="C106" t="s">
        <v>1044</v>
      </c>
      <c r="D106" t="s">
        <v>195</v>
      </c>
      <c r="E106" t="s">
        <v>1045</v>
      </c>
      <c r="G106" t="s">
        <v>30</v>
      </c>
      <c r="H106" t="s">
        <v>1042</v>
      </c>
      <c r="I106" s="3" t="s">
        <v>1046</v>
      </c>
      <c r="J106" t="s">
        <v>1047</v>
      </c>
      <c r="K106" t="s">
        <v>33</v>
      </c>
      <c r="L106" t="s">
        <v>1048</v>
      </c>
      <c r="M106" t="s">
        <v>1049</v>
      </c>
      <c r="Q106" t="s">
        <v>1050</v>
      </c>
      <c r="T106" t="s">
        <v>379</v>
      </c>
      <c r="U106" t="s">
        <v>1051</v>
      </c>
      <c r="V106" t="s">
        <v>709</v>
      </c>
      <c r="Y106" t="s">
        <v>24</v>
      </c>
    </row>
    <row r="107" spans="1:25" ht="14.5" x14ac:dyDescent="0.35">
      <c r="A107" t="s">
        <v>1052</v>
      </c>
      <c r="B107" t="s">
        <v>1053</v>
      </c>
      <c r="C107" t="s">
        <v>1054</v>
      </c>
      <c r="D107" t="s">
        <v>164</v>
      </c>
      <c r="E107" t="s">
        <v>445</v>
      </c>
      <c r="G107" t="s">
        <v>30</v>
      </c>
      <c r="I107" s="3" t="s">
        <v>1055</v>
      </c>
      <c r="J107" t="s">
        <v>1056</v>
      </c>
      <c r="K107" t="s">
        <v>33</v>
      </c>
      <c r="L107" t="s">
        <v>1057</v>
      </c>
      <c r="M107" t="s">
        <v>449</v>
      </c>
      <c r="T107" t="s">
        <v>213</v>
      </c>
      <c r="Y107" t="s">
        <v>24</v>
      </c>
    </row>
    <row r="108" spans="1:25" ht="14.5" x14ac:dyDescent="0.35">
      <c r="A108" t="s">
        <v>1058</v>
      </c>
      <c r="B108" t="s">
        <v>1059</v>
      </c>
      <c r="D108" t="s">
        <v>98</v>
      </c>
      <c r="G108" t="s">
        <v>30</v>
      </c>
      <c r="J108" t="s">
        <v>1060</v>
      </c>
      <c r="K108" t="s">
        <v>33</v>
      </c>
      <c r="M108" t="s">
        <v>111</v>
      </c>
      <c r="V108" t="s">
        <v>114</v>
      </c>
      <c r="Y108" t="s">
        <v>24</v>
      </c>
    </row>
    <row r="109" spans="1:25" ht="14.5" x14ac:dyDescent="0.35">
      <c r="A109" t="s">
        <v>1061</v>
      </c>
      <c r="B109" t="s">
        <v>1062</v>
      </c>
      <c r="C109" t="s">
        <v>1063</v>
      </c>
      <c r="D109" t="s">
        <v>62</v>
      </c>
      <c r="E109" t="s">
        <v>1064</v>
      </c>
      <c r="G109" t="s">
        <v>30</v>
      </c>
      <c r="H109" t="s">
        <v>1061</v>
      </c>
      <c r="I109" s="3" t="s">
        <v>1065</v>
      </c>
      <c r="J109" t="s">
        <v>1066</v>
      </c>
      <c r="K109" t="s">
        <v>33</v>
      </c>
      <c r="M109" t="s">
        <v>1067</v>
      </c>
      <c r="Q109" t="s">
        <v>1068</v>
      </c>
      <c r="S109" t="s">
        <v>1069</v>
      </c>
      <c r="T109" t="s">
        <v>69</v>
      </c>
      <c r="U109" t="s">
        <v>1070</v>
      </c>
      <c r="V109" t="s">
        <v>363</v>
      </c>
      <c r="Y109" t="s">
        <v>24</v>
      </c>
    </row>
    <row r="110" spans="1:25" ht="14.5" x14ac:dyDescent="0.35">
      <c r="A110" t="s">
        <v>1071</v>
      </c>
      <c r="B110" t="s">
        <v>1072</v>
      </c>
      <c r="C110" t="s">
        <v>1073</v>
      </c>
      <c r="D110" t="s">
        <v>62</v>
      </c>
      <c r="E110" t="s">
        <v>1074</v>
      </c>
      <c r="G110" t="s">
        <v>30</v>
      </c>
      <c r="H110" t="s">
        <v>1071</v>
      </c>
      <c r="I110" s="3" t="s">
        <v>1075</v>
      </c>
      <c r="J110" t="s">
        <v>1076</v>
      </c>
      <c r="K110" t="s">
        <v>33</v>
      </c>
      <c r="L110" t="s">
        <v>1077</v>
      </c>
      <c r="M110" t="s">
        <v>1078</v>
      </c>
      <c r="Q110" t="s">
        <v>1079</v>
      </c>
      <c r="T110" t="s">
        <v>58</v>
      </c>
      <c r="U110" t="s">
        <v>1080</v>
      </c>
      <c r="V110" t="s">
        <v>1081</v>
      </c>
      <c r="Y110" t="s">
        <v>24</v>
      </c>
    </row>
    <row r="111" spans="1:25" ht="14.5" x14ac:dyDescent="0.35">
      <c r="A111" t="s">
        <v>1082</v>
      </c>
      <c r="B111" t="s">
        <v>1083</v>
      </c>
      <c r="C111" t="s">
        <v>1084</v>
      </c>
      <c r="D111" t="s">
        <v>239</v>
      </c>
      <c r="E111" t="s">
        <v>1085</v>
      </c>
      <c r="G111" t="s">
        <v>30</v>
      </c>
      <c r="H111" t="s">
        <v>1082</v>
      </c>
      <c r="I111" s="3" t="s">
        <v>1086</v>
      </c>
      <c r="J111" t="s">
        <v>1087</v>
      </c>
      <c r="K111" t="s">
        <v>33</v>
      </c>
      <c r="L111" t="s">
        <v>1088</v>
      </c>
      <c r="M111" t="s">
        <v>1089</v>
      </c>
      <c r="Q111" t="s">
        <v>1090</v>
      </c>
      <c r="T111" t="s">
        <v>135</v>
      </c>
      <c r="V111" t="s">
        <v>1091</v>
      </c>
      <c r="Y111" t="s">
        <v>24</v>
      </c>
    </row>
    <row r="112" spans="1:25" ht="14.5" x14ac:dyDescent="0.35">
      <c r="A112" t="s">
        <v>1092</v>
      </c>
      <c r="B112" t="s">
        <v>1093</v>
      </c>
      <c r="C112" t="s">
        <v>1094</v>
      </c>
      <c r="D112" t="s">
        <v>98</v>
      </c>
      <c r="F112" t="s">
        <v>1095</v>
      </c>
      <c r="G112" t="s">
        <v>30</v>
      </c>
      <c r="H112" t="s">
        <v>1092</v>
      </c>
      <c r="I112" s="3" t="s">
        <v>1096</v>
      </c>
      <c r="J112" t="s">
        <v>1097</v>
      </c>
      <c r="K112" t="s">
        <v>33</v>
      </c>
      <c r="N112" t="s">
        <v>1098</v>
      </c>
      <c r="R112" t="s">
        <v>102</v>
      </c>
      <c r="U112" t="s">
        <v>1099</v>
      </c>
      <c r="Y112" t="s">
        <v>24</v>
      </c>
    </row>
    <row r="113" spans="1:25" ht="14.5" x14ac:dyDescent="0.35">
      <c r="A113" t="s">
        <v>1100</v>
      </c>
      <c r="B113" t="s">
        <v>1101</v>
      </c>
      <c r="C113" t="s">
        <v>1102</v>
      </c>
      <c r="D113" t="s">
        <v>28</v>
      </c>
      <c r="E113" t="s">
        <v>1103</v>
      </c>
      <c r="G113" t="s">
        <v>30</v>
      </c>
      <c r="H113" t="s">
        <v>1100</v>
      </c>
      <c r="I113" s="3" t="s">
        <v>1104</v>
      </c>
      <c r="J113" t="s">
        <v>1105</v>
      </c>
      <c r="K113" t="s">
        <v>33</v>
      </c>
      <c r="L113" t="s">
        <v>1106</v>
      </c>
      <c r="M113" t="s">
        <v>1107</v>
      </c>
      <c r="Q113" t="s">
        <v>1108</v>
      </c>
      <c r="T113" t="s">
        <v>379</v>
      </c>
      <c r="U113" t="s">
        <v>1109</v>
      </c>
      <c r="V113" t="s">
        <v>1110</v>
      </c>
      <c r="Y113" t="s">
        <v>24</v>
      </c>
    </row>
    <row r="114" spans="1:25" ht="14.5" x14ac:dyDescent="0.35">
      <c r="A114" t="s">
        <v>1111</v>
      </c>
      <c r="B114" t="s">
        <v>1112</v>
      </c>
      <c r="C114" t="s">
        <v>1113</v>
      </c>
      <c r="D114" t="s">
        <v>239</v>
      </c>
      <c r="E114" t="s">
        <v>1114</v>
      </c>
      <c r="G114" t="s">
        <v>30</v>
      </c>
      <c r="H114" t="s">
        <v>1111</v>
      </c>
      <c r="I114" s="3" t="s">
        <v>1115</v>
      </c>
      <c r="J114" t="s">
        <v>1116</v>
      </c>
      <c r="K114" t="s">
        <v>33</v>
      </c>
      <c r="L114" t="s">
        <v>1117</v>
      </c>
      <c r="M114" t="s">
        <v>1118</v>
      </c>
      <c r="Q114" t="s">
        <v>1119</v>
      </c>
      <c r="T114" t="s">
        <v>135</v>
      </c>
      <c r="U114" t="s">
        <v>1120</v>
      </c>
      <c r="V114" t="s">
        <v>1121</v>
      </c>
      <c r="Y114" t="s">
        <v>24</v>
      </c>
    </row>
    <row r="115" spans="1:25" ht="14.5" x14ac:dyDescent="0.35">
      <c r="A115" t="s">
        <v>1122</v>
      </c>
      <c r="B115" t="s">
        <v>1123</v>
      </c>
      <c r="C115" t="s">
        <v>1124</v>
      </c>
      <c r="D115" t="s">
        <v>28</v>
      </c>
      <c r="E115" t="s">
        <v>1125</v>
      </c>
      <c r="G115" t="s">
        <v>30</v>
      </c>
      <c r="H115" t="s">
        <v>1122</v>
      </c>
      <c r="I115" s="3" t="s">
        <v>1126</v>
      </c>
      <c r="J115" t="s">
        <v>1127</v>
      </c>
      <c r="K115" t="s">
        <v>33</v>
      </c>
      <c r="L115" t="s">
        <v>1128</v>
      </c>
      <c r="M115" t="s">
        <v>1129</v>
      </c>
      <c r="Q115" t="s">
        <v>1130</v>
      </c>
      <c r="T115" t="s">
        <v>180</v>
      </c>
      <c r="U115" t="s">
        <v>1131</v>
      </c>
      <c r="V115" t="s">
        <v>1091</v>
      </c>
      <c r="Y115" t="s">
        <v>24</v>
      </c>
    </row>
    <row r="116" spans="1:25" ht="14.5" x14ac:dyDescent="0.35">
      <c r="A116" t="s">
        <v>1132</v>
      </c>
      <c r="B116" t="s">
        <v>1133</v>
      </c>
      <c r="C116" t="s">
        <v>1134</v>
      </c>
      <c r="D116" t="s">
        <v>28</v>
      </c>
      <c r="E116" t="s">
        <v>1135</v>
      </c>
      <c r="G116" t="s">
        <v>30</v>
      </c>
      <c r="H116" t="s">
        <v>1132</v>
      </c>
      <c r="I116" s="3" t="s">
        <v>1136</v>
      </c>
      <c r="J116" t="s">
        <v>1137</v>
      </c>
      <c r="K116" t="s">
        <v>33</v>
      </c>
      <c r="M116" t="s">
        <v>1138</v>
      </c>
      <c r="Q116" t="s">
        <v>1139</v>
      </c>
      <c r="S116" t="s">
        <v>649</v>
      </c>
      <c r="T116" t="s">
        <v>81</v>
      </c>
      <c r="U116" t="s">
        <v>1140</v>
      </c>
      <c r="V116" t="s">
        <v>1141</v>
      </c>
      <c r="Y116" t="s">
        <v>24</v>
      </c>
    </row>
    <row r="117" spans="1:25" ht="14.5" x14ac:dyDescent="0.35">
      <c r="A117" t="s">
        <v>1142</v>
      </c>
      <c r="B117" t="s">
        <v>1143</v>
      </c>
      <c r="D117" t="s">
        <v>98</v>
      </c>
      <c r="G117" t="s">
        <v>30</v>
      </c>
      <c r="J117" t="s">
        <v>1144</v>
      </c>
      <c r="K117" t="s">
        <v>33</v>
      </c>
      <c r="M117" t="s">
        <v>122</v>
      </c>
      <c r="V117" t="s">
        <v>125</v>
      </c>
      <c r="Y117" t="s">
        <v>24</v>
      </c>
    </row>
    <row r="118" spans="1:25" ht="14.5" x14ac:dyDescent="0.35">
      <c r="A118" t="s">
        <v>1145</v>
      </c>
      <c r="B118" t="s">
        <v>1146</v>
      </c>
      <c r="D118" t="s">
        <v>98</v>
      </c>
      <c r="G118" t="s">
        <v>30</v>
      </c>
      <c r="K118" t="s">
        <v>33</v>
      </c>
      <c r="M118" t="s">
        <v>133</v>
      </c>
      <c r="V118" t="s">
        <v>137</v>
      </c>
      <c r="Y118" t="s">
        <v>24</v>
      </c>
    </row>
    <row r="119" spans="1:25" ht="14.5" x14ac:dyDescent="0.35">
      <c r="A119" t="s">
        <v>1147</v>
      </c>
      <c r="B119" t="s">
        <v>1148</v>
      </c>
      <c r="C119" t="s">
        <v>1149</v>
      </c>
      <c r="D119" t="s">
        <v>164</v>
      </c>
      <c r="E119" t="s">
        <v>445</v>
      </c>
      <c r="G119" t="s">
        <v>30</v>
      </c>
      <c r="I119" s="3" t="s">
        <v>1150</v>
      </c>
      <c r="J119" t="s">
        <v>1151</v>
      </c>
      <c r="K119" t="s">
        <v>33</v>
      </c>
      <c r="L119" t="s">
        <v>1152</v>
      </c>
      <c r="M119" t="s">
        <v>449</v>
      </c>
      <c r="T119" t="s">
        <v>398</v>
      </c>
      <c r="Y119" t="s">
        <v>24</v>
      </c>
    </row>
    <row r="120" spans="1:25" ht="14.5" x14ac:dyDescent="0.35">
      <c r="A120" t="s">
        <v>1153</v>
      </c>
      <c r="B120" t="s">
        <v>1154</v>
      </c>
      <c r="C120" t="s">
        <v>1155</v>
      </c>
      <c r="D120" t="s">
        <v>164</v>
      </c>
      <c r="E120" t="s">
        <v>1156</v>
      </c>
      <c r="G120" t="s">
        <v>30</v>
      </c>
      <c r="H120" t="s">
        <v>1153</v>
      </c>
      <c r="I120" s="3" t="s">
        <v>1157</v>
      </c>
      <c r="J120" t="s">
        <v>1158</v>
      </c>
      <c r="K120" t="s">
        <v>33</v>
      </c>
      <c r="L120" t="s">
        <v>1159</v>
      </c>
      <c r="M120" t="s">
        <v>1160</v>
      </c>
      <c r="Q120" t="s">
        <v>323</v>
      </c>
      <c r="T120" t="s">
        <v>50</v>
      </c>
      <c r="U120" t="s">
        <v>1161</v>
      </c>
      <c r="V120" t="s">
        <v>325</v>
      </c>
      <c r="Y120" t="s">
        <v>24</v>
      </c>
    </row>
    <row r="121" spans="1:25" ht="14.5" x14ac:dyDescent="0.35">
      <c r="A121" t="s">
        <v>1162</v>
      </c>
      <c r="B121" t="s">
        <v>1163</v>
      </c>
      <c r="D121" t="s">
        <v>62</v>
      </c>
      <c r="G121" t="s">
        <v>30</v>
      </c>
      <c r="K121" t="s">
        <v>33</v>
      </c>
      <c r="M121" t="s">
        <v>255</v>
      </c>
      <c r="V121" t="s">
        <v>259</v>
      </c>
      <c r="Y121" t="s">
        <v>24</v>
      </c>
    </row>
    <row r="122" spans="1:25" ht="14.5" x14ac:dyDescent="0.35">
      <c r="A122" t="s">
        <v>1164</v>
      </c>
      <c r="B122" t="s">
        <v>1165</v>
      </c>
      <c r="C122" t="s">
        <v>1166</v>
      </c>
      <c r="D122" t="s">
        <v>164</v>
      </c>
      <c r="F122" t="s">
        <v>1167</v>
      </c>
      <c r="G122" t="s">
        <v>30</v>
      </c>
      <c r="H122" t="s">
        <v>1164</v>
      </c>
      <c r="I122" s="3" t="s">
        <v>1168</v>
      </c>
      <c r="K122" t="s">
        <v>33</v>
      </c>
      <c r="L122" t="s">
        <v>1169</v>
      </c>
      <c r="N122" t="s">
        <v>1170</v>
      </c>
      <c r="O122" t="s">
        <v>213</v>
      </c>
      <c r="P122" t="s">
        <v>433</v>
      </c>
      <c r="T122" t="s">
        <v>58</v>
      </c>
      <c r="W122" t="s">
        <v>1171</v>
      </c>
      <c r="Y122" t="s">
        <v>24</v>
      </c>
    </row>
    <row r="123" spans="1:25" ht="14.5" x14ac:dyDescent="0.35">
      <c r="A123" t="s">
        <v>1172</v>
      </c>
      <c r="B123" t="s">
        <v>1173</v>
      </c>
      <c r="C123" t="s">
        <v>1174</v>
      </c>
      <c r="D123" t="s">
        <v>263</v>
      </c>
      <c r="E123" t="s">
        <v>1175</v>
      </c>
      <c r="G123" t="s">
        <v>30</v>
      </c>
      <c r="H123" t="s">
        <v>1172</v>
      </c>
      <c r="I123" s="3" t="s">
        <v>1176</v>
      </c>
      <c r="J123" t="s">
        <v>1177</v>
      </c>
      <c r="K123" t="s">
        <v>33</v>
      </c>
      <c r="M123" t="s">
        <v>1178</v>
      </c>
      <c r="Q123" t="s">
        <v>1179</v>
      </c>
      <c r="S123" t="s">
        <v>58</v>
      </c>
      <c r="T123" t="s">
        <v>58</v>
      </c>
      <c r="U123" t="s">
        <v>1180</v>
      </c>
      <c r="V123" t="s">
        <v>1181</v>
      </c>
      <c r="Y123" t="s">
        <v>24</v>
      </c>
    </row>
    <row r="124" spans="1:25" ht="14.5" x14ac:dyDescent="0.35">
      <c r="A124" t="s">
        <v>1182</v>
      </c>
      <c r="B124" t="s">
        <v>1183</v>
      </c>
      <c r="C124" t="s">
        <v>1184</v>
      </c>
      <c r="D124" t="s">
        <v>98</v>
      </c>
      <c r="F124" t="s">
        <v>1185</v>
      </c>
      <c r="G124" t="s">
        <v>30</v>
      </c>
      <c r="H124" t="s">
        <v>1182</v>
      </c>
      <c r="I124" s="3" t="s">
        <v>1186</v>
      </c>
      <c r="J124" t="s">
        <v>1187</v>
      </c>
      <c r="K124" t="s">
        <v>33</v>
      </c>
      <c r="N124" t="s">
        <v>1188</v>
      </c>
      <c r="O124" t="s">
        <v>532</v>
      </c>
      <c r="P124" t="s">
        <v>69</v>
      </c>
      <c r="S124" t="s">
        <v>1189</v>
      </c>
      <c r="T124" t="s">
        <v>167</v>
      </c>
      <c r="U124" t="s">
        <v>1190</v>
      </c>
      <c r="W124" t="s">
        <v>1191</v>
      </c>
      <c r="Y124" t="s">
        <v>24</v>
      </c>
    </row>
    <row r="125" spans="1:25" ht="14.5" x14ac:dyDescent="0.35">
      <c r="A125" t="s">
        <v>1192</v>
      </c>
      <c r="B125" t="s">
        <v>1193</v>
      </c>
      <c r="C125" t="s">
        <v>1194</v>
      </c>
      <c r="D125" t="s">
        <v>195</v>
      </c>
      <c r="E125" t="s">
        <v>1195</v>
      </c>
      <c r="G125" t="s">
        <v>30</v>
      </c>
      <c r="H125" t="s">
        <v>1192</v>
      </c>
      <c r="I125" s="3" t="s">
        <v>1196</v>
      </c>
      <c r="J125" t="s">
        <v>1197</v>
      </c>
      <c r="K125" t="s">
        <v>33</v>
      </c>
      <c r="L125" t="s">
        <v>1198</v>
      </c>
      <c r="M125" t="s">
        <v>1199</v>
      </c>
      <c r="Q125" t="s">
        <v>1200</v>
      </c>
      <c r="T125" t="s">
        <v>433</v>
      </c>
      <c r="U125" t="s">
        <v>1201</v>
      </c>
      <c r="V125" t="s">
        <v>314</v>
      </c>
      <c r="Y125" t="s">
        <v>24</v>
      </c>
    </row>
    <row r="126" spans="1:25" ht="14.5" x14ac:dyDescent="0.35">
      <c r="A126" t="s">
        <v>1202</v>
      </c>
      <c r="B126" t="s">
        <v>1203</v>
      </c>
      <c r="C126" t="s">
        <v>993</v>
      </c>
      <c r="D126" t="s">
        <v>164</v>
      </c>
      <c r="E126" t="s">
        <v>1204</v>
      </c>
      <c r="G126" t="s">
        <v>30</v>
      </c>
      <c r="H126" t="s">
        <v>1202</v>
      </c>
      <c r="I126" s="3" t="s">
        <v>1205</v>
      </c>
      <c r="J126" t="s">
        <v>1206</v>
      </c>
      <c r="K126" t="s">
        <v>33</v>
      </c>
      <c r="L126" t="s">
        <v>1207</v>
      </c>
      <c r="M126" t="s">
        <v>1208</v>
      </c>
      <c r="Q126" t="s">
        <v>999</v>
      </c>
      <c r="T126" t="s">
        <v>398</v>
      </c>
      <c r="U126" t="s">
        <v>1209</v>
      </c>
      <c r="V126" t="s">
        <v>1001</v>
      </c>
      <c r="Y126" t="s">
        <v>24</v>
      </c>
    </row>
    <row r="127" spans="1:25" ht="14.5" x14ac:dyDescent="0.35">
      <c r="A127" t="s">
        <v>1210</v>
      </c>
      <c r="B127" t="s">
        <v>1211</v>
      </c>
      <c r="C127" t="s">
        <v>1212</v>
      </c>
      <c r="D127" t="s">
        <v>98</v>
      </c>
      <c r="E127" t="s">
        <v>581</v>
      </c>
      <c r="G127" t="s">
        <v>30</v>
      </c>
      <c r="H127" t="s">
        <v>1210</v>
      </c>
      <c r="I127" s="3" t="s">
        <v>1213</v>
      </c>
      <c r="J127" t="s">
        <v>1214</v>
      </c>
      <c r="K127" t="s">
        <v>33</v>
      </c>
      <c r="L127" t="s">
        <v>1215</v>
      </c>
      <c r="M127" t="s">
        <v>585</v>
      </c>
      <c r="Q127" t="s">
        <v>586</v>
      </c>
      <c r="T127" t="s">
        <v>532</v>
      </c>
      <c r="U127" t="s">
        <v>1216</v>
      </c>
      <c r="V127" t="s">
        <v>137</v>
      </c>
      <c r="Y127" t="s">
        <v>24</v>
      </c>
    </row>
    <row r="128" spans="1:25" ht="14.5" x14ac:dyDescent="0.35">
      <c r="A128" t="s">
        <v>1217</v>
      </c>
      <c r="B128" t="s">
        <v>1218</v>
      </c>
      <c r="C128" t="s">
        <v>1219</v>
      </c>
      <c r="D128" t="s">
        <v>43</v>
      </c>
      <c r="E128" t="s">
        <v>1220</v>
      </c>
      <c r="G128" t="s">
        <v>30</v>
      </c>
      <c r="H128" t="s">
        <v>1217</v>
      </c>
      <c r="I128" s="3" t="s">
        <v>1221</v>
      </c>
      <c r="J128" t="s">
        <v>1222</v>
      </c>
      <c r="K128" t="s">
        <v>33</v>
      </c>
      <c r="L128" t="s">
        <v>1223</v>
      </c>
      <c r="M128" t="s">
        <v>1224</v>
      </c>
      <c r="Q128" t="s">
        <v>1225</v>
      </c>
      <c r="T128" t="s">
        <v>58</v>
      </c>
      <c r="U128" t="s">
        <v>1226</v>
      </c>
      <c r="V128" t="s">
        <v>1227</v>
      </c>
      <c r="Y128" t="s">
        <v>24</v>
      </c>
    </row>
    <row r="129" spans="1:25" ht="14.5" x14ac:dyDescent="0.35">
      <c r="A129" t="s">
        <v>1228</v>
      </c>
      <c r="B129" t="s">
        <v>1229</v>
      </c>
      <c r="C129" t="s">
        <v>1230</v>
      </c>
      <c r="D129" t="s">
        <v>239</v>
      </c>
      <c r="E129" t="s">
        <v>1231</v>
      </c>
      <c r="G129" t="s">
        <v>30</v>
      </c>
      <c r="H129" t="s">
        <v>1228</v>
      </c>
      <c r="I129" s="3" t="s">
        <v>1232</v>
      </c>
      <c r="J129" t="s">
        <v>1233</v>
      </c>
      <c r="K129" t="s">
        <v>33</v>
      </c>
      <c r="L129" t="s">
        <v>1234</v>
      </c>
      <c r="M129" t="s">
        <v>1235</v>
      </c>
      <c r="Q129" t="s">
        <v>1236</v>
      </c>
      <c r="T129" t="s">
        <v>135</v>
      </c>
      <c r="U129" t="s">
        <v>1237</v>
      </c>
      <c r="V129" t="s">
        <v>235</v>
      </c>
      <c r="Y129" t="s">
        <v>24</v>
      </c>
    </row>
    <row r="130" spans="1:25" ht="14.5" x14ac:dyDescent="0.35">
      <c r="A130" t="s">
        <v>1238</v>
      </c>
      <c r="B130" t="s">
        <v>1239</v>
      </c>
      <c r="C130" t="s">
        <v>1240</v>
      </c>
      <c r="D130" t="s">
        <v>28</v>
      </c>
      <c r="E130" t="s">
        <v>1241</v>
      </c>
      <c r="G130" t="s">
        <v>501</v>
      </c>
      <c r="H130" t="s">
        <v>1238</v>
      </c>
      <c r="I130" s="3" t="s">
        <v>1242</v>
      </c>
      <c r="J130" t="s">
        <v>1243</v>
      </c>
      <c r="M130" t="s">
        <v>1244</v>
      </c>
      <c r="Q130" t="s">
        <v>1245</v>
      </c>
      <c r="S130" t="s">
        <v>1246</v>
      </c>
      <c r="T130" t="s">
        <v>507</v>
      </c>
      <c r="U130" t="s">
        <v>1247</v>
      </c>
      <c r="V130" t="s">
        <v>422</v>
      </c>
      <c r="Y130" t="s">
        <v>24</v>
      </c>
    </row>
    <row r="131" spans="1:25" ht="14.5" x14ac:dyDescent="0.35">
      <c r="A131" t="s">
        <v>1248</v>
      </c>
      <c r="B131" t="s">
        <v>1249</v>
      </c>
      <c r="C131" t="s">
        <v>1250</v>
      </c>
      <c r="D131" t="s">
        <v>195</v>
      </c>
      <c r="E131" t="s">
        <v>1045</v>
      </c>
      <c r="G131" t="s">
        <v>30</v>
      </c>
      <c r="H131" t="s">
        <v>1248</v>
      </c>
      <c r="I131" s="3" t="s">
        <v>1251</v>
      </c>
      <c r="J131" t="s">
        <v>1252</v>
      </c>
      <c r="K131" t="s">
        <v>33</v>
      </c>
      <c r="L131" t="s">
        <v>1253</v>
      </c>
      <c r="M131" t="s">
        <v>1049</v>
      </c>
      <c r="Q131" t="s">
        <v>1050</v>
      </c>
      <c r="T131" t="s">
        <v>92</v>
      </c>
      <c r="U131" t="s">
        <v>1254</v>
      </c>
      <c r="V131" t="s">
        <v>709</v>
      </c>
      <c r="Y131" t="s">
        <v>24</v>
      </c>
    </row>
    <row r="132" spans="1:25" ht="14.5" x14ac:dyDescent="0.35">
      <c r="A132" t="s">
        <v>1255</v>
      </c>
      <c r="B132" t="s">
        <v>1256</v>
      </c>
      <c r="D132" t="s">
        <v>28</v>
      </c>
      <c r="G132" t="s">
        <v>30</v>
      </c>
      <c r="J132" t="s">
        <v>1257</v>
      </c>
      <c r="K132" t="s">
        <v>33</v>
      </c>
      <c r="M132" t="s">
        <v>524</v>
      </c>
      <c r="V132" t="s">
        <v>292</v>
      </c>
      <c r="Y132" t="s">
        <v>24</v>
      </c>
    </row>
    <row r="133" spans="1:25" ht="14.5" x14ac:dyDescent="0.35">
      <c r="A133" t="s">
        <v>1258</v>
      </c>
      <c r="B133" t="s">
        <v>1259</v>
      </c>
      <c r="C133" t="s">
        <v>1260</v>
      </c>
      <c r="D133" t="s">
        <v>28</v>
      </c>
      <c r="E133" t="s">
        <v>1261</v>
      </c>
      <c r="G133" t="s">
        <v>30</v>
      </c>
      <c r="H133" t="s">
        <v>1258</v>
      </c>
      <c r="I133" s="3" t="s">
        <v>1262</v>
      </c>
      <c r="J133" t="s">
        <v>1263</v>
      </c>
      <c r="K133" t="s">
        <v>33</v>
      </c>
      <c r="M133" t="s">
        <v>1264</v>
      </c>
      <c r="Q133" t="s">
        <v>1265</v>
      </c>
      <c r="S133" t="s">
        <v>81</v>
      </c>
      <c r="T133" t="s">
        <v>398</v>
      </c>
      <c r="U133" t="s">
        <v>1266</v>
      </c>
      <c r="V133" t="s">
        <v>1267</v>
      </c>
      <c r="Y133" t="s">
        <v>24</v>
      </c>
    </row>
    <row r="134" spans="1:25" ht="14.5" x14ac:dyDescent="0.35">
      <c r="A134" t="s">
        <v>1268</v>
      </c>
      <c r="B134" t="s">
        <v>1269</v>
      </c>
      <c r="D134" t="s">
        <v>62</v>
      </c>
      <c r="G134" t="s">
        <v>30</v>
      </c>
      <c r="K134" t="s">
        <v>33</v>
      </c>
      <c r="M134" t="s">
        <v>178</v>
      </c>
      <c r="O134" t="s">
        <v>37</v>
      </c>
      <c r="V134" t="s">
        <v>182</v>
      </c>
      <c r="Y134" t="s">
        <v>24</v>
      </c>
    </row>
    <row r="135" spans="1:25" ht="14.5" x14ac:dyDescent="0.35">
      <c r="A135" t="s">
        <v>1270</v>
      </c>
      <c r="B135" t="s">
        <v>1271</v>
      </c>
      <c r="C135" t="s">
        <v>1272</v>
      </c>
      <c r="D135" t="s">
        <v>239</v>
      </c>
      <c r="F135" t="s">
        <v>99</v>
      </c>
      <c r="G135" t="s">
        <v>30</v>
      </c>
      <c r="H135" t="s">
        <v>1270</v>
      </c>
      <c r="I135" s="3" t="s">
        <v>1273</v>
      </c>
      <c r="J135" t="s">
        <v>1274</v>
      </c>
      <c r="K135" t="s">
        <v>33</v>
      </c>
      <c r="O135" t="s">
        <v>534</v>
      </c>
      <c r="P135" t="s">
        <v>69</v>
      </c>
      <c r="S135" t="s">
        <v>379</v>
      </c>
      <c r="T135" t="s">
        <v>618</v>
      </c>
      <c r="U135" t="s">
        <v>1275</v>
      </c>
      <c r="W135" t="s">
        <v>1276</v>
      </c>
      <c r="Y135" t="s">
        <v>24</v>
      </c>
    </row>
    <row r="136" spans="1:25" ht="14.5" x14ac:dyDescent="0.35">
      <c r="A136" t="s">
        <v>1277</v>
      </c>
      <c r="B136" t="s">
        <v>1278</v>
      </c>
      <c r="C136" t="s">
        <v>1279</v>
      </c>
      <c r="D136" t="s">
        <v>529</v>
      </c>
      <c r="F136" t="s">
        <v>99</v>
      </c>
      <c r="G136" t="s">
        <v>30</v>
      </c>
      <c r="H136" t="s">
        <v>1277</v>
      </c>
      <c r="I136" s="3" t="s">
        <v>1280</v>
      </c>
      <c r="J136" t="s">
        <v>1281</v>
      </c>
      <c r="K136" t="s">
        <v>33</v>
      </c>
      <c r="O136" t="s">
        <v>507</v>
      </c>
      <c r="P136" t="s">
        <v>533</v>
      </c>
      <c r="S136" t="s">
        <v>36</v>
      </c>
      <c r="T136" t="s">
        <v>1189</v>
      </c>
      <c r="U136" t="s">
        <v>1282</v>
      </c>
      <c r="W136" t="s">
        <v>1283</v>
      </c>
      <c r="Y136" t="s">
        <v>24</v>
      </c>
    </row>
    <row r="137" spans="1:25" ht="14.5" x14ac:dyDescent="0.35">
      <c r="A137" t="s">
        <v>1284</v>
      </c>
      <c r="B137" t="s">
        <v>1285</v>
      </c>
      <c r="C137" t="s">
        <v>1286</v>
      </c>
      <c r="D137" t="s">
        <v>43</v>
      </c>
      <c r="E137" t="s">
        <v>1287</v>
      </c>
      <c r="G137" t="s">
        <v>30</v>
      </c>
      <c r="H137" t="s">
        <v>1284</v>
      </c>
      <c r="I137" s="3" t="s">
        <v>1288</v>
      </c>
      <c r="J137" t="s">
        <v>1289</v>
      </c>
      <c r="K137" t="s">
        <v>33</v>
      </c>
      <c r="L137" t="s">
        <v>1290</v>
      </c>
      <c r="M137" t="s">
        <v>1291</v>
      </c>
      <c r="Q137" t="s">
        <v>1292</v>
      </c>
      <c r="T137" t="s">
        <v>398</v>
      </c>
      <c r="U137" t="s">
        <v>1293</v>
      </c>
      <c r="V137" t="s">
        <v>1294</v>
      </c>
      <c r="Y137" t="s">
        <v>24</v>
      </c>
    </row>
    <row r="138" spans="1:25" ht="14.5" x14ac:dyDescent="0.35">
      <c r="A138" t="s">
        <v>1295</v>
      </c>
      <c r="B138" t="s">
        <v>1296</v>
      </c>
      <c r="C138" t="s">
        <v>1297</v>
      </c>
      <c r="D138" t="s">
        <v>306</v>
      </c>
      <c r="E138" t="s">
        <v>1298</v>
      </c>
      <c r="G138" t="s">
        <v>30</v>
      </c>
      <c r="H138" t="s">
        <v>1295</v>
      </c>
      <c r="I138" s="3" t="s">
        <v>1299</v>
      </c>
      <c r="J138" t="s">
        <v>1300</v>
      </c>
      <c r="K138" t="s">
        <v>33</v>
      </c>
      <c r="L138" t="s">
        <v>1301</v>
      </c>
      <c r="M138" t="s">
        <v>1302</v>
      </c>
      <c r="Q138" t="s">
        <v>1303</v>
      </c>
      <c r="T138" t="s">
        <v>58</v>
      </c>
      <c r="U138" t="s">
        <v>1304</v>
      </c>
      <c r="V138" t="s">
        <v>1305</v>
      </c>
      <c r="Y138" t="s">
        <v>24</v>
      </c>
    </row>
    <row r="139" spans="1:25" ht="14.5" x14ac:dyDescent="0.35">
      <c r="A139" t="s">
        <v>1306</v>
      </c>
      <c r="B139" t="s">
        <v>1307</v>
      </c>
      <c r="C139" t="s">
        <v>1308</v>
      </c>
      <c r="D139" t="s">
        <v>43</v>
      </c>
      <c r="E139" t="s">
        <v>44</v>
      </c>
      <c r="G139" t="s">
        <v>30</v>
      </c>
      <c r="H139" t="s">
        <v>1306</v>
      </c>
      <c r="I139" s="3" t="s">
        <v>1309</v>
      </c>
      <c r="J139" t="s">
        <v>1310</v>
      </c>
      <c r="K139" t="s">
        <v>33</v>
      </c>
      <c r="L139" t="s">
        <v>1311</v>
      </c>
      <c r="M139" t="s">
        <v>48</v>
      </c>
      <c r="Q139" t="s">
        <v>49</v>
      </c>
      <c r="T139" t="s">
        <v>135</v>
      </c>
      <c r="U139" t="s">
        <v>1312</v>
      </c>
      <c r="V139" t="s">
        <v>52</v>
      </c>
      <c r="Y139" t="s">
        <v>24</v>
      </c>
    </row>
    <row r="140" spans="1:25" ht="14.5" x14ac:dyDescent="0.35">
      <c r="A140" t="s">
        <v>1313</v>
      </c>
      <c r="B140" t="s">
        <v>1314</v>
      </c>
      <c r="C140" t="s">
        <v>1315</v>
      </c>
      <c r="D140" t="s">
        <v>164</v>
      </c>
      <c r="F140" t="s">
        <v>99</v>
      </c>
      <c r="G140" t="s">
        <v>30</v>
      </c>
      <c r="H140" t="s">
        <v>1313</v>
      </c>
      <c r="I140" s="3" t="s">
        <v>1316</v>
      </c>
      <c r="J140" t="s">
        <v>1317</v>
      </c>
      <c r="K140" t="s">
        <v>33</v>
      </c>
      <c r="O140" t="s">
        <v>167</v>
      </c>
      <c r="P140" t="s">
        <v>69</v>
      </c>
      <c r="S140" t="s">
        <v>36</v>
      </c>
      <c r="T140" t="s">
        <v>794</v>
      </c>
      <c r="U140" t="s">
        <v>1318</v>
      </c>
      <c r="W140" t="s">
        <v>170</v>
      </c>
      <c r="Y140" t="s">
        <v>24</v>
      </c>
    </row>
    <row r="141" spans="1:25" ht="14.5" x14ac:dyDescent="0.35">
      <c r="A141" t="s">
        <v>1319</v>
      </c>
      <c r="B141" t="s">
        <v>1320</v>
      </c>
      <c r="D141" t="s">
        <v>98</v>
      </c>
      <c r="G141" t="s">
        <v>30</v>
      </c>
      <c r="J141" t="s">
        <v>1321</v>
      </c>
      <c r="K141" t="s">
        <v>33</v>
      </c>
      <c r="M141" t="s">
        <v>419</v>
      </c>
      <c r="V141" t="s">
        <v>487</v>
      </c>
      <c r="Y141" t="s">
        <v>24</v>
      </c>
    </row>
    <row r="142" spans="1:25" ht="14.5" x14ac:dyDescent="0.35">
      <c r="A142" t="s">
        <v>1322</v>
      </c>
      <c r="C142" t="s">
        <v>1323</v>
      </c>
      <c r="D142" t="s">
        <v>239</v>
      </c>
      <c r="E142" t="s">
        <v>296</v>
      </c>
      <c r="G142" t="s">
        <v>30</v>
      </c>
      <c r="H142" t="s">
        <v>1322</v>
      </c>
      <c r="I142" s="3" t="s">
        <v>1324</v>
      </c>
      <c r="J142" t="s">
        <v>1325</v>
      </c>
      <c r="K142" t="s">
        <v>33</v>
      </c>
      <c r="L142" t="s">
        <v>1326</v>
      </c>
      <c r="M142" t="s">
        <v>300</v>
      </c>
      <c r="Q142" t="s">
        <v>301</v>
      </c>
      <c r="T142" t="s">
        <v>37</v>
      </c>
      <c r="U142" t="s">
        <v>1327</v>
      </c>
      <c r="V142" t="s">
        <v>292</v>
      </c>
      <c r="Y142" t="s">
        <v>24</v>
      </c>
    </row>
    <row r="143" spans="1:25" ht="14.5" x14ac:dyDescent="0.35">
      <c r="A143" t="s">
        <v>1328</v>
      </c>
      <c r="B143" t="s">
        <v>1329</v>
      </c>
      <c r="C143" t="s">
        <v>1330</v>
      </c>
      <c r="D143" t="s">
        <v>529</v>
      </c>
      <c r="E143" t="s">
        <v>1331</v>
      </c>
      <c r="G143" t="s">
        <v>30</v>
      </c>
      <c r="H143" t="s">
        <v>1328</v>
      </c>
      <c r="I143" s="3" t="s">
        <v>1332</v>
      </c>
      <c r="J143" t="s">
        <v>1333</v>
      </c>
      <c r="K143" t="s">
        <v>33</v>
      </c>
      <c r="M143" t="s">
        <v>1334</v>
      </c>
      <c r="Q143" t="s">
        <v>1335</v>
      </c>
      <c r="S143" t="s">
        <v>1336</v>
      </c>
      <c r="T143" t="s">
        <v>50</v>
      </c>
      <c r="U143" t="s">
        <v>1337</v>
      </c>
      <c r="V143" t="s">
        <v>1338</v>
      </c>
      <c r="Y143" t="s">
        <v>24</v>
      </c>
    </row>
    <row r="144" spans="1:25" ht="14.5" x14ac:dyDescent="0.35">
      <c r="A144" t="s">
        <v>1339</v>
      </c>
      <c r="B144" t="s">
        <v>1340</v>
      </c>
      <c r="C144" t="s">
        <v>1341</v>
      </c>
      <c r="D144" t="s">
        <v>62</v>
      </c>
      <c r="E144" t="s">
        <v>1342</v>
      </c>
      <c r="G144" t="s">
        <v>30</v>
      </c>
      <c r="H144" t="s">
        <v>1339</v>
      </c>
      <c r="I144" s="3" t="s">
        <v>1343</v>
      </c>
      <c r="J144" t="s">
        <v>1344</v>
      </c>
      <c r="K144" t="s">
        <v>33</v>
      </c>
      <c r="L144" t="s">
        <v>1345</v>
      </c>
      <c r="M144" t="s">
        <v>1346</v>
      </c>
      <c r="Q144" t="s">
        <v>1347</v>
      </c>
      <c r="T144" t="s">
        <v>58</v>
      </c>
      <c r="U144" t="s">
        <v>1348</v>
      </c>
      <c r="V144" t="s">
        <v>1349</v>
      </c>
      <c r="Y144" t="s">
        <v>24</v>
      </c>
    </row>
    <row r="145" spans="1:25" ht="14.5" x14ac:dyDescent="0.35">
      <c r="A145" t="s">
        <v>1350</v>
      </c>
      <c r="B145" t="s">
        <v>1351</v>
      </c>
      <c r="C145" t="s">
        <v>1352</v>
      </c>
      <c r="D145" t="s">
        <v>780</v>
      </c>
      <c r="F145" t="s">
        <v>426</v>
      </c>
      <c r="G145" t="s">
        <v>427</v>
      </c>
      <c r="J145" t="s">
        <v>1353</v>
      </c>
      <c r="K145" t="s">
        <v>429</v>
      </c>
      <c r="L145" t="s">
        <v>1354</v>
      </c>
      <c r="N145" t="s">
        <v>431</v>
      </c>
      <c r="O145" t="s">
        <v>506</v>
      </c>
      <c r="P145" t="s">
        <v>50</v>
      </c>
      <c r="T145" t="s">
        <v>58</v>
      </c>
      <c r="W145" t="s">
        <v>1355</v>
      </c>
      <c r="Y145" t="s">
        <v>24</v>
      </c>
    </row>
    <row r="146" spans="1:25" ht="14.5" x14ac:dyDescent="0.35">
      <c r="A146" t="s">
        <v>1356</v>
      </c>
      <c r="B146" t="s">
        <v>1357</v>
      </c>
      <c r="C146" t="s">
        <v>1358</v>
      </c>
      <c r="D146" t="s">
        <v>529</v>
      </c>
      <c r="E146" t="s">
        <v>1331</v>
      </c>
      <c r="G146" t="s">
        <v>30</v>
      </c>
      <c r="H146" t="s">
        <v>1356</v>
      </c>
      <c r="I146" s="3" t="s">
        <v>1359</v>
      </c>
      <c r="J146" t="s">
        <v>1360</v>
      </c>
      <c r="K146" t="s">
        <v>33</v>
      </c>
      <c r="M146" t="s">
        <v>1334</v>
      </c>
      <c r="Q146" t="s">
        <v>1335</v>
      </c>
      <c r="S146" t="s">
        <v>1361</v>
      </c>
      <c r="T146" t="s">
        <v>135</v>
      </c>
      <c r="U146" t="s">
        <v>1362</v>
      </c>
      <c r="V146" t="s">
        <v>1338</v>
      </c>
      <c r="Y146" t="s">
        <v>24</v>
      </c>
    </row>
    <row r="147" spans="1:25" ht="14.5" x14ac:dyDescent="0.35">
      <c r="A147" t="s">
        <v>1363</v>
      </c>
      <c r="B147" t="s">
        <v>1364</v>
      </c>
      <c r="C147" t="s">
        <v>1365</v>
      </c>
      <c r="D147" t="s">
        <v>529</v>
      </c>
      <c r="E147" t="s">
        <v>1366</v>
      </c>
      <c r="G147" t="s">
        <v>30</v>
      </c>
      <c r="H147" t="s">
        <v>1363</v>
      </c>
      <c r="I147" s="3" t="s">
        <v>1367</v>
      </c>
      <c r="J147" t="s">
        <v>1368</v>
      </c>
      <c r="K147" t="s">
        <v>33</v>
      </c>
      <c r="L147" t="s">
        <v>1369</v>
      </c>
      <c r="M147" t="s">
        <v>1370</v>
      </c>
      <c r="Q147" t="s">
        <v>1371</v>
      </c>
      <c r="T147" t="s">
        <v>81</v>
      </c>
      <c r="U147" t="s">
        <v>1372</v>
      </c>
      <c r="V147" t="s">
        <v>1373</v>
      </c>
      <c r="Y147" t="s">
        <v>24</v>
      </c>
    </row>
    <row r="148" spans="1:25" ht="14.5" x14ac:dyDescent="0.35">
      <c r="A148" t="s">
        <v>1374</v>
      </c>
      <c r="B148" t="s">
        <v>1375</v>
      </c>
      <c r="C148" t="s">
        <v>1376</v>
      </c>
      <c r="D148" t="s">
        <v>529</v>
      </c>
      <c r="F148" t="s">
        <v>890</v>
      </c>
      <c r="G148" t="s">
        <v>30</v>
      </c>
      <c r="H148" t="s">
        <v>1374</v>
      </c>
      <c r="I148" s="3" t="s">
        <v>1377</v>
      </c>
      <c r="J148" t="s">
        <v>1378</v>
      </c>
      <c r="K148" t="s">
        <v>33</v>
      </c>
      <c r="L148" t="s">
        <v>1379</v>
      </c>
      <c r="N148" t="s">
        <v>894</v>
      </c>
      <c r="O148" t="s">
        <v>1380</v>
      </c>
      <c r="P148" t="s">
        <v>533</v>
      </c>
      <c r="T148" t="s">
        <v>398</v>
      </c>
      <c r="W148" t="s">
        <v>1381</v>
      </c>
      <c r="Y148" t="s">
        <v>24</v>
      </c>
    </row>
    <row r="149" spans="1:25" ht="14.5" x14ac:dyDescent="0.35">
      <c r="A149" t="s">
        <v>1382</v>
      </c>
      <c r="B149" t="s">
        <v>1383</v>
      </c>
      <c r="C149" t="s">
        <v>1384</v>
      </c>
      <c r="D149" t="s">
        <v>529</v>
      </c>
      <c r="E149" t="s">
        <v>1385</v>
      </c>
      <c r="G149" t="s">
        <v>30</v>
      </c>
      <c r="H149" t="s">
        <v>1382</v>
      </c>
      <c r="I149" s="3" t="s">
        <v>1386</v>
      </c>
      <c r="J149" t="s">
        <v>1387</v>
      </c>
      <c r="K149" t="s">
        <v>33</v>
      </c>
      <c r="L149" t="s">
        <v>1388</v>
      </c>
      <c r="M149" t="s">
        <v>1389</v>
      </c>
      <c r="Q149" t="s">
        <v>1390</v>
      </c>
      <c r="T149" t="s">
        <v>50</v>
      </c>
      <c r="U149" t="s">
        <v>1391</v>
      </c>
      <c r="V149" t="s">
        <v>1392</v>
      </c>
      <c r="Y149" t="s">
        <v>24</v>
      </c>
    </row>
    <row r="150" spans="1:25" ht="14.5" x14ac:dyDescent="0.35">
      <c r="A150" t="s">
        <v>1393</v>
      </c>
      <c r="B150" t="s">
        <v>1394</v>
      </c>
      <c r="C150" t="s">
        <v>1395</v>
      </c>
      <c r="D150" t="s">
        <v>780</v>
      </c>
      <c r="E150" t="s">
        <v>1396</v>
      </c>
      <c r="G150" t="s">
        <v>30</v>
      </c>
      <c r="H150" t="s">
        <v>1393</v>
      </c>
      <c r="I150" s="3" t="s">
        <v>1397</v>
      </c>
      <c r="J150" t="s">
        <v>1398</v>
      </c>
      <c r="K150" t="s">
        <v>33</v>
      </c>
      <c r="L150" t="s">
        <v>1399</v>
      </c>
      <c r="M150" t="s">
        <v>1400</v>
      </c>
      <c r="Q150" t="s">
        <v>1401</v>
      </c>
      <c r="T150" t="s">
        <v>69</v>
      </c>
      <c r="U150" t="s">
        <v>1402</v>
      </c>
      <c r="V150" t="s">
        <v>1403</v>
      </c>
      <c r="Y150" t="s">
        <v>24</v>
      </c>
    </row>
    <row r="151" spans="1:25" ht="14.5" x14ac:dyDescent="0.35">
      <c r="A151" t="s">
        <v>1404</v>
      </c>
      <c r="B151" t="s">
        <v>1405</v>
      </c>
      <c r="C151" t="s">
        <v>1406</v>
      </c>
      <c r="D151" t="s">
        <v>28</v>
      </c>
      <c r="E151" t="s">
        <v>1407</v>
      </c>
      <c r="G151" t="s">
        <v>30</v>
      </c>
      <c r="H151" t="s">
        <v>1404</v>
      </c>
      <c r="I151" s="3" t="s">
        <v>1408</v>
      </c>
      <c r="J151" t="s">
        <v>1409</v>
      </c>
      <c r="K151" t="s">
        <v>33</v>
      </c>
      <c r="L151" t="s">
        <v>1410</v>
      </c>
      <c r="M151" t="s">
        <v>1411</v>
      </c>
      <c r="Q151" t="s">
        <v>1412</v>
      </c>
      <c r="T151" t="s">
        <v>379</v>
      </c>
      <c r="U151" t="s">
        <v>1413</v>
      </c>
      <c r="V151" t="s">
        <v>235</v>
      </c>
      <c r="Y151" t="s">
        <v>24</v>
      </c>
    </row>
    <row r="152" spans="1:25" ht="14.5" x14ac:dyDescent="0.35">
      <c r="A152" t="s">
        <v>1414</v>
      </c>
      <c r="B152" t="s">
        <v>1415</v>
      </c>
      <c r="C152" t="s">
        <v>1416</v>
      </c>
      <c r="D152" t="s">
        <v>263</v>
      </c>
      <c r="E152" t="s">
        <v>1417</v>
      </c>
      <c r="G152" t="s">
        <v>30</v>
      </c>
      <c r="H152" t="s">
        <v>1414</v>
      </c>
      <c r="I152" s="3" t="s">
        <v>1418</v>
      </c>
      <c r="J152" t="s">
        <v>1419</v>
      </c>
      <c r="K152" t="s">
        <v>33</v>
      </c>
      <c r="L152" t="s">
        <v>1420</v>
      </c>
      <c r="M152" t="s">
        <v>1421</v>
      </c>
      <c r="Q152" t="s">
        <v>1422</v>
      </c>
      <c r="T152" t="s">
        <v>398</v>
      </c>
      <c r="U152" t="s">
        <v>1423</v>
      </c>
      <c r="V152" t="s">
        <v>336</v>
      </c>
      <c r="Y152" t="s">
        <v>24</v>
      </c>
    </row>
    <row r="153" spans="1:25" ht="14.5" x14ac:dyDescent="0.35">
      <c r="A153" t="s">
        <v>1424</v>
      </c>
      <c r="B153" t="s">
        <v>1425</v>
      </c>
      <c r="C153" t="s">
        <v>1426</v>
      </c>
      <c r="D153" t="s">
        <v>43</v>
      </c>
      <c r="F153" t="s">
        <v>99</v>
      </c>
      <c r="G153" t="s">
        <v>30</v>
      </c>
      <c r="H153" t="s">
        <v>1424</v>
      </c>
      <c r="I153" s="3" t="s">
        <v>1427</v>
      </c>
      <c r="J153" t="s">
        <v>1428</v>
      </c>
      <c r="K153" t="s">
        <v>33</v>
      </c>
      <c r="O153" t="s">
        <v>36</v>
      </c>
      <c r="P153" t="s">
        <v>433</v>
      </c>
      <c r="S153" t="s">
        <v>507</v>
      </c>
      <c r="T153" t="s">
        <v>1429</v>
      </c>
      <c r="U153" t="s">
        <v>1430</v>
      </c>
      <c r="W153" t="s">
        <v>1431</v>
      </c>
      <c r="Y153" t="s">
        <v>24</v>
      </c>
    </row>
    <row r="154" spans="1:25" ht="14.5" x14ac:dyDescent="0.35">
      <c r="A154" t="s">
        <v>1432</v>
      </c>
      <c r="B154" t="s">
        <v>1433</v>
      </c>
      <c r="C154" t="s">
        <v>1434</v>
      </c>
      <c r="D154" t="s">
        <v>306</v>
      </c>
      <c r="E154" t="s">
        <v>1435</v>
      </c>
      <c r="G154" t="s">
        <v>30</v>
      </c>
      <c r="H154" t="s">
        <v>1432</v>
      </c>
      <c r="I154" s="3" t="s">
        <v>1436</v>
      </c>
      <c r="J154" t="s">
        <v>1437</v>
      </c>
      <c r="K154" t="s">
        <v>33</v>
      </c>
      <c r="L154" t="s">
        <v>1438</v>
      </c>
      <c r="M154" t="s">
        <v>1439</v>
      </c>
      <c r="Q154" t="s">
        <v>1440</v>
      </c>
      <c r="T154" t="s">
        <v>246</v>
      </c>
      <c r="U154" t="s">
        <v>1441</v>
      </c>
      <c r="V154" t="s">
        <v>39</v>
      </c>
      <c r="Y154" t="s">
        <v>24</v>
      </c>
    </row>
    <row r="155" spans="1:25" ht="14.5" x14ac:dyDescent="0.35">
      <c r="A155" t="s">
        <v>1442</v>
      </c>
      <c r="B155" t="s">
        <v>1443</v>
      </c>
      <c r="C155" t="s">
        <v>712</v>
      </c>
      <c r="D155" t="s">
        <v>306</v>
      </c>
      <c r="E155" t="s">
        <v>1444</v>
      </c>
      <c r="G155" t="s">
        <v>30</v>
      </c>
      <c r="H155" t="s">
        <v>1442</v>
      </c>
      <c r="I155" s="3" t="s">
        <v>1445</v>
      </c>
      <c r="J155" t="s">
        <v>1446</v>
      </c>
      <c r="K155" t="s">
        <v>33</v>
      </c>
      <c r="L155" t="s">
        <v>1447</v>
      </c>
      <c r="M155" t="s">
        <v>1448</v>
      </c>
      <c r="Q155" t="s">
        <v>1449</v>
      </c>
      <c r="T155" t="s">
        <v>135</v>
      </c>
      <c r="U155" t="s">
        <v>1450</v>
      </c>
      <c r="V155" t="s">
        <v>1451</v>
      </c>
      <c r="Y155" t="s">
        <v>24</v>
      </c>
    </row>
    <row r="156" spans="1:25" ht="14.5" x14ac:dyDescent="0.35">
      <c r="A156" t="s">
        <v>1452</v>
      </c>
      <c r="B156" t="s">
        <v>1453</v>
      </c>
      <c r="C156" t="s">
        <v>1454</v>
      </c>
      <c r="D156" t="s">
        <v>43</v>
      </c>
      <c r="E156" t="s">
        <v>1455</v>
      </c>
      <c r="G156" t="s">
        <v>30</v>
      </c>
      <c r="H156" t="s">
        <v>1452</v>
      </c>
      <c r="I156" s="3" t="s">
        <v>1456</v>
      </c>
      <c r="J156" t="s">
        <v>1457</v>
      </c>
      <c r="K156" t="s">
        <v>33</v>
      </c>
      <c r="L156" t="s">
        <v>1458</v>
      </c>
      <c r="M156" t="s">
        <v>1459</v>
      </c>
      <c r="Q156" t="s">
        <v>1460</v>
      </c>
      <c r="T156" t="s">
        <v>69</v>
      </c>
      <c r="U156" t="s">
        <v>1461</v>
      </c>
      <c r="V156" t="s">
        <v>1462</v>
      </c>
      <c r="Y156" t="s">
        <v>24</v>
      </c>
    </row>
    <row r="157" spans="1:25" ht="14.5" x14ac:dyDescent="0.35">
      <c r="A157" t="s">
        <v>1463</v>
      </c>
      <c r="B157" t="s">
        <v>1464</v>
      </c>
      <c r="C157" t="s">
        <v>1465</v>
      </c>
      <c r="D157" t="s">
        <v>62</v>
      </c>
      <c r="E157" t="s">
        <v>1466</v>
      </c>
      <c r="G157" t="s">
        <v>30</v>
      </c>
      <c r="H157" t="s">
        <v>1463</v>
      </c>
      <c r="I157" s="3" t="s">
        <v>1467</v>
      </c>
      <c r="J157" t="s">
        <v>1468</v>
      </c>
      <c r="K157" t="s">
        <v>33</v>
      </c>
      <c r="M157" t="s">
        <v>1469</v>
      </c>
      <c r="Q157" t="s">
        <v>1470</v>
      </c>
      <c r="S157" t="s">
        <v>507</v>
      </c>
      <c r="T157" t="s">
        <v>213</v>
      </c>
      <c r="U157" t="s">
        <v>1471</v>
      </c>
      <c r="V157" t="s">
        <v>1472</v>
      </c>
      <c r="Y157" t="s">
        <v>24</v>
      </c>
    </row>
    <row r="158" spans="1:25" ht="14.5" x14ac:dyDescent="0.35">
      <c r="A158" t="s">
        <v>1473</v>
      </c>
      <c r="B158" t="s">
        <v>1474</v>
      </c>
      <c r="D158" t="s">
        <v>98</v>
      </c>
      <c r="G158" t="s">
        <v>30</v>
      </c>
      <c r="J158" t="s">
        <v>1060</v>
      </c>
      <c r="K158" t="s">
        <v>33</v>
      </c>
      <c r="M158" t="s">
        <v>190</v>
      </c>
      <c r="V158" t="s">
        <v>114</v>
      </c>
      <c r="Y158" t="s">
        <v>24</v>
      </c>
    </row>
    <row r="159" spans="1:25" ht="14.5" x14ac:dyDescent="0.35">
      <c r="A159" t="s">
        <v>1475</v>
      </c>
      <c r="B159" t="s">
        <v>1476</v>
      </c>
      <c r="C159" t="s">
        <v>1477</v>
      </c>
      <c r="D159" t="s">
        <v>263</v>
      </c>
      <c r="E159" t="s">
        <v>1478</v>
      </c>
      <c r="G159" t="s">
        <v>30</v>
      </c>
      <c r="H159" t="s">
        <v>1475</v>
      </c>
      <c r="I159" s="3" t="s">
        <v>1479</v>
      </c>
      <c r="J159" t="s">
        <v>1480</v>
      </c>
      <c r="K159" t="s">
        <v>33</v>
      </c>
      <c r="L159" t="s">
        <v>716</v>
      </c>
      <c r="M159" t="s">
        <v>1481</v>
      </c>
      <c r="Q159" t="s">
        <v>1482</v>
      </c>
      <c r="T159" t="s">
        <v>533</v>
      </c>
      <c r="U159" t="s">
        <v>1483</v>
      </c>
      <c r="V159" t="s">
        <v>1484</v>
      </c>
      <c r="Y159" t="s">
        <v>24</v>
      </c>
    </row>
    <row r="160" spans="1:25" ht="14.5" x14ac:dyDescent="0.35">
      <c r="A160" t="s">
        <v>1485</v>
      </c>
      <c r="B160" t="s">
        <v>1486</v>
      </c>
      <c r="C160" t="s">
        <v>1487</v>
      </c>
      <c r="D160" t="s">
        <v>263</v>
      </c>
      <c r="E160" t="s">
        <v>1488</v>
      </c>
      <c r="G160" t="s">
        <v>30</v>
      </c>
      <c r="H160" t="s">
        <v>1485</v>
      </c>
      <c r="I160" s="3" t="s">
        <v>1489</v>
      </c>
      <c r="J160" t="s">
        <v>1490</v>
      </c>
      <c r="K160" t="s">
        <v>33</v>
      </c>
      <c r="M160" t="s">
        <v>1491</v>
      </c>
      <c r="Q160" t="s">
        <v>1492</v>
      </c>
      <c r="S160" t="s">
        <v>1493</v>
      </c>
      <c r="T160" t="s">
        <v>58</v>
      </c>
      <c r="U160" t="s">
        <v>1494</v>
      </c>
      <c r="V160" t="s">
        <v>1495</v>
      </c>
      <c r="Y160" t="s">
        <v>24</v>
      </c>
    </row>
    <row r="161" spans="1:25" ht="14.5" x14ac:dyDescent="0.35">
      <c r="A161" t="s">
        <v>1496</v>
      </c>
      <c r="B161" t="s">
        <v>1497</v>
      </c>
      <c r="D161" t="s">
        <v>28</v>
      </c>
      <c r="G161" t="s">
        <v>30</v>
      </c>
      <c r="K161" t="s">
        <v>33</v>
      </c>
      <c r="M161" t="s">
        <v>360</v>
      </c>
      <c r="V161" t="s">
        <v>363</v>
      </c>
      <c r="Y161" t="s">
        <v>24</v>
      </c>
    </row>
    <row r="162" spans="1:25" ht="14.5" x14ac:dyDescent="0.35">
      <c r="A162" t="s">
        <v>1498</v>
      </c>
      <c r="B162" t="s">
        <v>1499</v>
      </c>
      <c r="C162" t="s">
        <v>712</v>
      </c>
      <c r="D162" t="s">
        <v>780</v>
      </c>
      <c r="E162" t="s">
        <v>1500</v>
      </c>
      <c r="G162" t="s">
        <v>30</v>
      </c>
      <c r="H162" t="s">
        <v>1498</v>
      </c>
      <c r="I162" s="3" t="s">
        <v>1501</v>
      </c>
      <c r="J162" t="s">
        <v>1502</v>
      </c>
      <c r="K162" t="s">
        <v>33</v>
      </c>
      <c r="L162" t="s">
        <v>1503</v>
      </c>
      <c r="M162" t="s">
        <v>1504</v>
      </c>
      <c r="Q162" t="s">
        <v>1505</v>
      </c>
      <c r="T162" t="s">
        <v>50</v>
      </c>
      <c r="U162" t="s">
        <v>1506</v>
      </c>
      <c r="V162" t="s">
        <v>1507</v>
      </c>
      <c r="Y162" t="s">
        <v>24</v>
      </c>
    </row>
    <row r="163" spans="1:25" ht="14.5" x14ac:dyDescent="0.35">
      <c r="A163" t="s">
        <v>1508</v>
      </c>
      <c r="B163" t="s">
        <v>1509</v>
      </c>
      <c r="C163" t="s">
        <v>1510</v>
      </c>
      <c r="D163" t="s">
        <v>195</v>
      </c>
      <c r="E163" t="s">
        <v>1511</v>
      </c>
      <c r="G163" t="s">
        <v>30</v>
      </c>
      <c r="H163" t="s">
        <v>1508</v>
      </c>
      <c r="I163" s="3" t="s">
        <v>1512</v>
      </c>
      <c r="J163" t="s">
        <v>1513</v>
      </c>
      <c r="K163" t="s">
        <v>33</v>
      </c>
      <c r="M163" t="s">
        <v>1514</v>
      </c>
      <c r="Q163" t="s">
        <v>1515</v>
      </c>
      <c r="S163" t="s">
        <v>1516</v>
      </c>
      <c r="T163" t="s">
        <v>269</v>
      </c>
      <c r="U163" t="s">
        <v>1517</v>
      </c>
      <c r="V163" t="s">
        <v>1518</v>
      </c>
      <c r="Y163" t="s">
        <v>24</v>
      </c>
    </row>
    <row r="164" spans="1:25" ht="14.5" x14ac:dyDescent="0.35">
      <c r="A164" t="s">
        <v>1519</v>
      </c>
      <c r="B164" t="s">
        <v>1520</v>
      </c>
      <c r="C164" t="s">
        <v>1521</v>
      </c>
      <c r="D164" t="s">
        <v>306</v>
      </c>
      <c r="E164" t="s">
        <v>307</v>
      </c>
      <c r="G164" t="s">
        <v>30</v>
      </c>
      <c r="H164" t="s">
        <v>1519</v>
      </c>
      <c r="I164" s="3" t="s">
        <v>1522</v>
      </c>
      <c r="J164" t="s">
        <v>1523</v>
      </c>
      <c r="K164" t="s">
        <v>33</v>
      </c>
      <c r="L164" t="s">
        <v>1524</v>
      </c>
      <c r="M164" t="s">
        <v>311</v>
      </c>
      <c r="Q164" t="s">
        <v>312</v>
      </c>
      <c r="T164" t="s">
        <v>398</v>
      </c>
      <c r="U164" t="s">
        <v>1525</v>
      </c>
      <c r="V164" t="s">
        <v>314</v>
      </c>
      <c r="Y164" t="s">
        <v>24</v>
      </c>
    </row>
    <row r="165" spans="1:25" ht="14.5" x14ac:dyDescent="0.35">
      <c r="A165" t="s">
        <v>1526</v>
      </c>
      <c r="B165" t="s">
        <v>1527</v>
      </c>
      <c r="C165" t="s">
        <v>1528</v>
      </c>
      <c r="D165" t="s">
        <v>43</v>
      </c>
      <c r="E165" t="s">
        <v>141</v>
      </c>
      <c r="G165" t="s">
        <v>30</v>
      </c>
      <c r="H165" t="s">
        <v>1526</v>
      </c>
      <c r="I165" s="3" t="s">
        <v>1529</v>
      </c>
      <c r="J165" t="s">
        <v>1530</v>
      </c>
      <c r="K165" t="s">
        <v>33</v>
      </c>
      <c r="L165" t="s">
        <v>1531</v>
      </c>
      <c r="M165" t="s">
        <v>145</v>
      </c>
      <c r="Q165" t="s">
        <v>146</v>
      </c>
      <c r="T165" t="s">
        <v>58</v>
      </c>
      <c r="U165" t="s">
        <v>1532</v>
      </c>
      <c r="V165" t="s">
        <v>148</v>
      </c>
      <c r="Y165" t="s">
        <v>24</v>
      </c>
    </row>
    <row r="166" spans="1:25" ht="14.5" x14ac:dyDescent="0.35">
      <c r="A166" t="s">
        <v>1533</v>
      </c>
      <c r="B166" t="s">
        <v>1534</v>
      </c>
      <c r="C166" t="s">
        <v>1535</v>
      </c>
      <c r="D166" t="s">
        <v>164</v>
      </c>
      <c r="E166" t="s">
        <v>1536</v>
      </c>
      <c r="G166" t="s">
        <v>30</v>
      </c>
      <c r="H166" t="s">
        <v>1533</v>
      </c>
      <c r="I166" s="3" t="s">
        <v>1537</v>
      </c>
      <c r="J166" t="s">
        <v>1538</v>
      </c>
      <c r="K166" t="s">
        <v>33</v>
      </c>
      <c r="M166" t="s">
        <v>1539</v>
      </c>
      <c r="Q166" t="s">
        <v>1540</v>
      </c>
      <c r="S166" t="s">
        <v>976</v>
      </c>
      <c r="T166" t="s">
        <v>534</v>
      </c>
      <c r="U166" t="s">
        <v>1541</v>
      </c>
      <c r="V166" t="s">
        <v>1542</v>
      </c>
      <c r="Y166" t="s">
        <v>24</v>
      </c>
    </row>
    <row r="167" spans="1:25" ht="14.5" x14ac:dyDescent="0.35">
      <c r="A167" t="s">
        <v>1543</v>
      </c>
      <c r="B167" t="s">
        <v>1544</v>
      </c>
      <c r="C167" t="s">
        <v>1545</v>
      </c>
      <c r="D167" t="s">
        <v>152</v>
      </c>
      <c r="E167" t="s">
        <v>153</v>
      </c>
      <c r="G167" t="s">
        <v>30</v>
      </c>
      <c r="H167" t="s">
        <v>1543</v>
      </c>
      <c r="I167" s="3" t="s">
        <v>1546</v>
      </c>
      <c r="J167" t="s">
        <v>1547</v>
      </c>
      <c r="K167" t="s">
        <v>33</v>
      </c>
      <c r="L167" t="s">
        <v>1548</v>
      </c>
      <c r="M167" t="s">
        <v>157</v>
      </c>
      <c r="Q167" t="s">
        <v>158</v>
      </c>
      <c r="T167" t="s">
        <v>50</v>
      </c>
      <c r="U167" t="s">
        <v>1549</v>
      </c>
      <c r="V167" t="s">
        <v>160</v>
      </c>
      <c r="Y167" t="s">
        <v>24</v>
      </c>
    </row>
    <row r="168" spans="1:25" ht="14.5" x14ac:dyDescent="0.35">
      <c r="A168" t="s">
        <v>1550</v>
      </c>
      <c r="B168" t="s">
        <v>1551</v>
      </c>
      <c r="D168" t="s">
        <v>28</v>
      </c>
      <c r="G168" t="s">
        <v>30</v>
      </c>
      <c r="K168" t="s">
        <v>33</v>
      </c>
      <c r="M168" t="s">
        <v>396</v>
      </c>
      <c r="V168" t="s">
        <v>400</v>
      </c>
      <c r="Y168" t="s">
        <v>24</v>
      </c>
    </row>
    <row r="169" spans="1:25" ht="14.5" x14ac:dyDescent="0.35">
      <c r="A169" t="s">
        <v>1552</v>
      </c>
      <c r="B169" t="s">
        <v>1553</v>
      </c>
      <c r="D169" t="s">
        <v>28</v>
      </c>
      <c r="G169" t="s">
        <v>30</v>
      </c>
      <c r="J169" t="s">
        <v>1257</v>
      </c>
      <c r="K169" t="s">
        <v>33</v>
      </c>
      <c r="M169" t="s">
        <v>289</v>
      </c>
      <c r="V169" t="s">
        <v>292</v>
      </c>
      <c r="Y169" t="s">
        <v>24</v>
      </c>
    </row>
    <row r="170" spans="1:25" ht="14.5" x14ac:dyDescent="0.35">
      <c r="A170" t="s">
        <v>1554</v>
      </c>
      <c r="B170" t="s">
        <v>1555</v>
      </c>
      <c r="C170" t="s">
        <v>1556</v>
      </c>
      <c r="D170" t="s">
        <v>164</v>
      </c>
      <c r="E170" t="s">
        <v>1536</v>
      </c>
      <c r="G170" t="s">
        <v>30</v>
      </c>
      <c r="H170" t="s">
        <v>1554</v>
      </c>
      <c r="I170" s="3" t="s">
        <v>1557</v>
      </c>
      <c r="J170" t="s">
        <v>1558</v>
      </c>
      <c r="K170" t="s">
        <v>33</v>
      </c>
      <c r="M170" t="s">
        <v>1539</v>
      </c>
      <c r="Q170" t="s">
        <v>1540</v>
      </c>
      <c r="S170" t="s">
        <v>1559</v>
      </c>
      <c r="T170" t="s">
        <v>180</v>
      </c>
      <c r="U170" t="s">
        <v>1560</v>
      </c>
      <c r="V170" t="s">
        <v>1542</v>
      </c>
      <c r="Y170" t="s">
        <v>24</v>
      </c>
    </row>
    <row r="171" spans="1:25" ht="14.5" x14ac:dyDescent="0.35">
      <c r="A171" t="s">
        <v>1561</v>
      </c>
      <c r="B171" t="s">
        <v>1562</v>
      </c>
      <c r="C171" t="s">
        <v>1563</v>
      </c>
      <c r="D171" t="s">
        <v>306</v>
      </c>
      <c r="E171" t="s">
        <v>1564</v>
      </c>
      <c r="G171" t="s">
        <v>30</v>
      </c>
      <c r="H171" t="s">
        <v>1561</v>
      </c>
      <c r="I171" s="3" t="s">
        <v>1565</v>
      </c>
      <c r="J171" t="s">
        <v>1566</v>
      </c>
      <c r="K171" t="s">
        <v>33</v>
      </c>
      <c r="L171" t="s">
        <v>1567</v>
      </c>
      <c r="M171" t="s">
        <v>1568</v>
      </c>
      <c r="Q171" t="s">
        <v>1569</v>
      </c>
      <c r="T171" t="s">
        <v>379</v>
      </c>
      <c r="U171" t="s">
        <v>1570</v>
      </c>
      <c r="V171" t="s">
        <v>1571</v>
      </c>
      <c r="Y171" t="s">
        <v>24</v>
      </c>
    </row>
    <row r="172" spans="1:25" ht="14.5" x14ac:dyDescent="0.35">
      <c r="A172" t="s">
        <v>1572</v>
      </c>
      <c r="B172" t="s">
        <v>1573</v>
      </c>
      <c r="C172" t="s">
        <v>1574</v>
      </c>
      <c r="D172" t="s">
        <v>263</v>
      </c>
      <c r="E172" t="s">
        <v>1005</v>
      </c>
      <c r="G172" t="s">
        <v>30</v>
      </c>
      <c r="H172" t="s">
        <v>1572</v>
      </c>
      <c r="I172" s="3" t="s">
        <v>1575</v>
      </c>
      <c r="J172" t="s">
        <v>1576</v>
      </c>
      <c r="K172" t="s">
        <v>33</v>
      </c>
      <c r="M172" t="s">
        <v>1008</v>
      </c>
      <c r="Q172" t="s">
        <v>1009</v>
      </c>
      <c r="S172" t="s">
        <v>58</v>
      </c>
      <c r="T172" t="s">
        <v>246</v>
      </c>
      <c r="U172" t="s">
        <v>1577</v>
      </c>
      <c r="V172" t="s">
        <v>1011</v>
      </c>
      <c r="Y172" t="s">
        <v>24</v>
      </c>
    </row>
    <row r="173" spans="1:25" ht="14.5" x14ac:dyDescent="0.35">
      <c r="A173" t="s">
        <v>1578</v>
      </c>
      <c r="B173" t="s">
        <v>1579</v>
      </c>
      <c r="C173" t="s">
        <v>1580</v>
      </c>
      <c r="D173" t="s">
        <v>306</v>
      </c>
      <c r="E173" t="s">
        <v>1581</v>
      </c>
      <c r="G173" t="s">
        <v>30</v>
      </c>
      <c r="H173" t="s">
        <v>1578</v>
      </c>
      <c r="I173" s="3" t="s">
        <v>1582</v>
      </c>
      <c r="J173" t="s">
        <v>1583</v>
      </c>
      <c r="K173" t="s">
        <v>33</v>
      </c>
      <c r="L173" t="s">
        <v>1584</v>
      </c>
      <c r="M173" t="s">
        <v>1585</v>
      </c>
      <c r="Q173" t="s">
        <v>1586</v>
      </c>
      <c r="T173" t="s">
        <v>58</v>
      </c>
      <c r="U173" t="s">
        <v>1587</v>
      </c>
      <c r="V173" t="s">
        <v>1588</v>
      </c>
      <c r="Y173" t="s">
        <v>24</v>
      </c>
    </row>
    <row r="174" spans="1:25" ht="14.5" x14ac:dyDescent="0.35">
      <c r="A174" t="s">
        <v>1589</v>
      </c>
      <c r="B174" t="s">
        <v>1590</v>
      </c>
      <c r="C174" t="s">
        <v>1591</v>
      </c>
      <c r="D174" t="s">
        <v>263</v>
      </c>
      <c r="F174" t="s">
        <v>890</v>
      </c>
      <c r="G174" t="s">
        <v>30</v>
      </c>
      <c r="H174" t="s">
        <v>1589</v>
      </c>
      <c r="I174" s="3" t="s">
        <v>1592</v>
      </c>
      <c r="J174" t="s">
        <v>1593</v>
      </c>
      <c r="K174" t="s">
        <v>33</v>
      </c>
      <c r="L174" t="s">
        <v>1594</v>
      </c>
      <c r="N174" t="s">
        <v>894</v>
      </c>
      <c r="O174" t="s">
        <v>1336</v>
      </c>
      <c r="P174" t="s">
        <v>58</v>
      </c>
      <c r="T174" t="s">
        <v>58</v>
      </c>
      <c r="W174" t="s">
        <v>1595</v>
      </c>
      <c r="Y174" t="s">
        <v>24</v>
      </c>
    </row>
    <row r="175" spans="1:25" ht="14.5" x14ac:dyDescent="0.35">
      <c r="A175" t="s">
        <v>1596</v>
      </c>
      <c r="B175" t="s">
        <v>1597</v>
      </c>
      <c r="C175" t="s">
        <v>1598</v>
      </c>
      <c r="D175" t="s">
        <v>600</v>
      </c>
      <c r="E175" t="s">
        <v>1599</v>
      </c>
      <c r="G175" t="s">
        <v>30</v>
      </c>
      <c r="H175" t="s">
        <v>1596</v>
      </c>
      <c r="I175" s="3" t="s">
        <v>1600</v>
      </c>
      <c r="J175" t="s">
        <v>1601</v>
      </c>
      <c r="K175" t="s">
        <v>33</v>
      </c>
      <c r="L175" t="s">
        <v>1602</v>
      </c>
      <c r="M175" t="s">
        <v>1603</v>
      </c>
      <c r="Q175" t="s">
        <v>1604</v>
      </c>
      <c r="T175" t="s">
        <v>533</v>
      </c>
      <c r="U175" t="s">
        <v>1605</v>
      </c>
      <c r="V175" t="s">
        <v>1606</v>
      </c>
      <c r="Y175" t="s">
        <v>24</v>
      </c>
    </row>
    <row r="176" spans="1:25" ht="14.5" x14ac:dyDescent="0.35">
      <c r="A176" t="s">
        <v>1607</v>
      </c>
      <c r="B176" t="s">
        <v>1608</v>
      </c>
      <c r="D176" t="s">
        <v>28</v>
      </c>
      <c r="G176" t="s">
        <v>30</v>
      </c>
      <c r="K176" t="s">
        <v>33</v>
      </c>
      <c r="M176" t="s">
        <v>457</v>
      </c>
      <c r="V176" t="s">
        <v>460</v>
      </c>
      <c r="Y176" t="s">
        <v>24</v>
      </c>
    </row>
    <row r="177" spans="1:25" ht="14.5" x14ac:dyDescent="0.35">
      <c r="A177" t="s">
        <v>1609</v>
      </c>
      <c r="B177" t="s">
        <v>1610</v>
      </c>
      <c r="C177" t="s">
        <v>1611</v>
      </c>
      <c r="D177" t="s">
        <v>263</v>
      </c>
      <c r="E177" t="s">
        <v>1612</v>
      </c>
      <c r="G177" t="s">
        <v>30</v>
      </c>
      <c r="H177" t="s">
        <v>1609</v>
      </c>
      <c r="I177" s="3" t="s">
        <v>1613</v>
      </c>
      <c r="J177" t="s">
        <v>1614</v>
      </c>
      <c r="K177" t="s">
        <v>33</v>
      </c>
      <c r="L177" t="s">
        <v>1615</v>
      </c>
      <c r="M177" t="s">
        <v>1616</v>
      </c>
      <c r="Q177" t="s">
        <v>1617</v>
      </c>
      <c r="T177" t="s">
        <v>81</v>
      </c>
      <c r="U177" t="s">
        <v>1618</v>
      </c>
      <c r="V177" t="s">
        <v>1619</v>
      </c>
      <c r="Y177" t="s">
        <v>24</v>
      </c>
    </row>
    <row r="178" spans="1:25" ht="14.5" x14ac:dyDescent="0.35">
      <c r="A178" t="s">
        <v>1620</v>
      </c>
      <c r="B178" t="s">
        <v>1621</v>
      </c>
      <c r="C178" t="s">
        <v>1622</v>
      </c>
      <c r="D178" t="s">
        <v>62</v>
      </c>
      <c r="F178" t="s">
        <v>500</v>
      </c>
      <c r="G178" t="s">
        <v>501</v>
      </c>
      <c r="H178" t="s">
        <v>1620</v>
      </c>
      <c r="I178" s="3" t="s">
        <v>1623</v>
      </c>
      <c r="J178" t="s">
        <v>1624</v>
      </c>
      <c r="L178" t="s">
        <v>1625</v>
      </c>
      <c r="N178" t="s">
        <v>505</v>
      </c>
      <c r="O178" t="s">
        <v>1626</v>
      </c>
      <c r="P178" t="s">
        <v>50</v>
      </c>
      <c r="T178" t="s">
        <v>567</v>
      </c>
      <c r="W178" t="s">
        <v>1627</v>
      </c>
      <c r="Y178" t="s">
        <v>24</v>
      </c>
    </row>
    <row r="179" spans="1:25" ht="14.5" x14ac:dyDescent="0.35">
      <c r="A179" t="s">
        <v>1628</v>
      </c>
      <c r="B179" t="s">
        <v>1629</v>
      </c>
      <c r="C179" t="s">
        <v>1630</v>
      </c>
      <c r="D179" t="s">
        <v>600</v>
      </c>
      <c r="E179" t="s">
        <v>1631</v>
      </c>
      <c r="G179" t="s">
        <v>30</v>
      </c>
      <c r="H179" t="s">
        <v>1628</v>
      </c>
      <c r="I179" s="3" t="s">
        <v>1632</v>
      </c>
      <c r="J179" t="s">
        <v>1633</v>
      </c>
      <c r="K179" t="s">
        <v>33</v>
      </c>
      <c r="L179" t="s">
        <v>1634</v>
      </c>
      <c r="M179" t="s">
        <v>1635</v>
      </c>
      <c r="Q179" t="s">
        <v>1636</v>
      </c>
      <c r="T179" t="s">
        <v>58</v>
      </c>
      <c r="U179" t="s">
        <v>1637</v>
      </c>
      <c r="V179" t="s">
        <v>1638</v>
      </c>
      <c r="Y179" t="s">
        <v>24</v>
      </c>
    </row>
    <row r="180" spans="1:25" ht="14.5" x14ac:dyDescent="0.35">
      <c r="A180" t="s">
        <v>1639</v>
      </c>
      <c r="B180" t="s">
        <v>1640</v>
      </c>
      <c r="C180" t="s">
        <v>1641</v>
      </c>
      <c r="D180" t="s">
        <v>780</v>
      </c>
      <c r="E180" t="s">
        <v>1642</v>
      </c>
      <c r="G180" t="s">
        <v>30</v>
      </c>
      <c r="H180" t="s">
        <v>1639</v>
      </c>
      <c r="I180" s="3" t="s">
        <v>1643</v>
      </c>
      <c r="J180" t="s">
        <v>1644</v>
      </c>
      <c r="K180" t="s">
        <v>33</v>
      </c>
      <c r="L180" t="s">
        <v>1645</v>
      </c>
      <c r="M180" t="s">
        <v>1646</v>
      </c>
      <c r="Q180" t="s">
        <v>1647</v>
      </c>
      <c r="T180" t="s">
        <v>1626</v>
      </c>
      <c r="U180" t="s">
        <v>1648</v>
      </c>
      <c r="V180" t="s">
        <v>1649</v>
      </c>
      <c r="Y180" t="s">
        <v>24</v>
      </c>
    </row>
    <row r="181" spans="1:25" ht="14.5" x14ac:dyDescent="0.35">
      <c r="A181" t="s">
        <v>1650</v>
      </c>
      <c r="B181" t="s">
        <v>1651</v>
      </c>
      <c r="C181" t="s">
        <v>1652</v>
      </c>
      <c r="D181" t="s">
        <v>1653</v>
      </c>
      <c r="E181" t="s">
        <v>1654</v>
      </c>
      <c r="G181" t="s">
        <v>1655</v>
      </c>
      <c r="J181" t="s">
        <v>1656</v>
      </c>
      <c r="K181" t="s">
        <v>1657</v>
      </c>
      <c r="L181" t="s">
        <v>1658</v>
      </c>
      <c r="Q181" t="s">
        <v>1659</v>
      </c>
      <c r="T181" t="s">
        <v>69</v>
      </c>
      <c r="U181" t="s">
        <v>1660</v>
      </c>
      <c r="V181" t="s">
        <v>1661</v>
      </c>
      <c r="Y181" t="s">
        <v>24</v>
      </c>
    </row>
    <row r="182" spans="1:25" ht="14.5" x14ac:dyDescent="0.35">
      <c r="A182" t="s">
        <v>1662</v>
      </c>
      <c r="B182" t="s">
        <v>1663</v>
      </c>
      <c r="C182" t="s">
        <v>1664</v>
      </c>
      <c r="D182" t="s">
        <v>195</v>
      </c>
      <c r="G182" t="s">
        <v>30</v>
      </c>
      <c r="K182" t="s">
        <v>33</v>
      </c>
      <c r="M182" t="s">
        <v>1665</v>
      </c>
      <c r="Y182" t="s">
        <v>24</v>
      </c>
    </row>
    <row r="183" spans="1:25" ht="14.5" x14ac:dyDescent="0.35">
      <c r="A183" t="s">
        <v>1666</v>
      </c>
      <c r="B183" t="s">
        <v>1667</v>
      </c>
      <c r="D183" t="s">
        <v>28</v>
      </c>
      <c r="G183" t="s">
        <v>30</v>
      </c>
      <c r="K183" t="s">
        <v>33</v>
      </c>
      <c r="M183" t="s">
        <v>90</v>
      </c>
      <c r="V183" t="s">
        <v>94</v>
      </c>
      <c r="Y183" t="s">
        <v>24</v>
      </c>
    </row>
    <row r="184" spans="1:25" ht="14.5" x14ac:dyDescent="0.35">
      <c r="A184" t="s">
        <v>1668</v>
      </c>
      <c r="B184" t="s">
        <v>1669</v>
      </c>
      <c r="C184" t="s">
        <v>1670</v>
      </c>
      <c r="D184" t="s">
        <v>780</v>
      </c>
      <c r="E184" t="s">
        <v>1671</v>
      </c>
      <c r="G184" t="s">
        <v>501</v>
      </c>
      <c r="J184" t="s">
        <v>1672</v>
      </c>
      <c r="L184" t="s">
        <v>1673</v>
      </c>
      <c r="Q184" t="s">
        <v>1674</v>
      </c>
      <c r="T184" t="s">
        <v>58</v>
      </c>
      <c r="V184" t="s">
        <v>1675</v>
      </c>
      <c r="Y184" t="s">
        <v>24</v>
      </c>
    </row>
    <row r="185" spans="1:25" ht="14.5" x14ac:dyDescent="0.35">
      <c r="A185" t="s">
        <v>1676</v>
      </c>
      <c r="B185" t="s">
        <v>1677</v>
      </c>
      <c r="D185" t="s">
        <v>62</v>
      </c>
      <c r="G185" t="s">
        <v>30</v>
      </c>
      <c r="K185" t="s">
        <v>33</v>
      </c>
      <c r="M185" t="s">
        <v>544</v>
      </c>
      <c r="V185" t="s">
        <v>547</v>
      </c>
      <c r="Y185" t="s">
        <v>24</v>
      </c>
    </row>
    <row r="186" spans="1:25" ht="14.5" x14ac:dyDescent="0.35">
      <c r="A186" t="s">
        <v>1678</v>
      </c>
      <c r="B186" t="s">
        <v>1679</v>
      </c>
      <c r="C186" t="s">
        <v>1680</v>
      </c>
      <c r="D186" t="s">
        <v>1681</v>
      </c>
      <c r="E186" t="s">
        <v>1682</v>
      </c>
      <c r="G186" t="s">
        <v>30</v>
      </c>
      <c r="H186" t="s">
        <v>1678</v>
      </c>
      <c r="I186" s="3" t="s">
        <v>1683</v>
      </c>
      <c r="J186" t="s">
        <v>1684</v>
      </c>
      <c r="K186" t="s">
        <v>33</v>
      </c>
      <c r="L186" t="s">
        <v>1685</v>
      </c>
      <c r="M186" t="s">
        <v>1686</v>
      </c>
      <c r="Q186" t="s">
        <v>1687</v>
      </c>
      <c r="T186" t="s">
        <v>135</v>
      </c>
      <c r="U186" t="s">
        <v>1688</v>
      </c>
      <c r="V186" t="s">
        <v>1689</v>
      </c>
      <c r="Y186" t="s">
        <v>24</v>
      </c>
    </row>
    <row r="187" spans="1:25" ht="14.5" x14ac:dyDescent="0.35">
      <c r="A187" t="s">
        <v>1690</v>
      </c>
      <c r="B187" t="s">
        <v>1691</v>
      </c>
      <c r="D187" t="s">
        <v>28</v>
      </c>
      <c r="G187" t="s">
        <v>30</v>
      </c>
      <c r="K187" t="s">
        <v>33</v>
      </c>
      <c r="M187" t="s">
        <v>555</v>
      </c>
      <c r="V187" t="s">
        <v>137</v>
      </c>
      <c r="Y187" t="s">
        <v>24</v>
      </c>
    </row>
    <row r="188" spans="1:25" ht="14.5" x14ac:dyDescent="0.35">
      <c r="A188" t="s">
        <v>1692</v>
      </c>
      <c r="B188" t="s">
        <v>1693</v>
      </c>
      <c r="D188" t="s">
        <v>62</v>
      </c>
      <c r="G188" t="s">
        <v>30</v>
      </c>
      <c r="K188" t="s">
        <v>33</v>
      </c>
      <c r="M188" t="s">
        <v>1264</v>
      </c>
      <c r="V188" t="s">
        <v>1267</v>
      </c>
      <c r="Y188" t="s">
        <v>24</v>
      </c>
    </row>
    <row r="189" spans="1:25" ht="14.5" x14ac:dyDescent="0.35">
      <c r="A189" t="s">
        <v>1694</v>
      </c>
      <c r="B189" t="s">
        <v>1695</v>
      </c>
      <c r="D189" t="s">
        <v>62</v>
      </c>
      <c r="G189" t="s">
        <v>30</v>
      </c>
      <c r="K189" t="s">
        <v>33</v>
      </c>
      <c r="M189" t="s">
        <v>927</v>
      </c>
      <c r="V189" t="s">
        <v>930</v>
      </c>
      <c r="Y189" t="s">
        <v>24</v>
      </c>
    </row>
    <row r="190" spans="1:25" ht="14.5" x14ac:dyDescent="0.35">
      <c r="A190" t="s">
        <v>1696</v>
      </c>
      <c r="B190" t="s">
        <v>1697</v>
      </c>
      <c r="D190" t="s">
        <v>62</v>
      </c>
      <c r="G190" t="s">
        <v>30</v>
      </c>
      <c r="K190" t="s">
        <v>33</v>
      </c>
      <c r="M190" t="s">
        <v>475</v>
      </c>
      <c r="V190" t="s">
        <v>182</v>
      </c>
      <c r="Y190" t="s">
        <v>24</v>
      </c>
    </row>
    <row r="191" spans="1:25" ht="14.5" x14ac:dyDescent="0.35">
      <c r="A191" t="s">
        <v>1698</v>
      </c>
      <c r="B191" t="s">
        <v>1699</v>
      </c>
      <c r="D191" t="s">
        <v>28</v>
      </c>
      <c r="G191" t="s">
        <v>30</v>
      </c>
      <c r="J191" t="s">
        <v>1700</v>
      </c>
      <c r="K191" t="s">
        <v>33</v>
      </c>
      <c r="M191" t="s">
        <v>419</v>
      </c>
      <c r="V191" t="s">
        <v>422</v>
      </c>
      <c r="Y191" t="s">
        <v>24</v>
      </c>
    </row>
    <row r="192" spans="1:25" ht="14.5" x14ac:dyDescent="0.35">
      <c r="A192" t="s">
        <v>1701</v>
      </c>
      <c r="B192" t="s">
        <v>1702</v>
      </c>
      <c r="D192" t="s">
        <v>98</v>
      </c>
      <c r="G192" t="s">
        <v>30</v>
      </c>
      <c r="K192" t="s">
        <v>33</v>
      </c>
      <c r="M192" t="s">
        <v>767</v>
      </c>
      <c r="V192" t="s">
        <v>137</v>
      </c>
      <c r="Y192" t="s">
        <v>24</v>
      </c>
    </row>
    <row r="193" spans="1:25" ht="14.5" x14ac:dyDescent="0.35">
      <c r="A193" t="s">
        <v>1703</v>
      </c>
      <c r="B193" t="s">
        <v>1704</v>
      </c>
      <c r="D193" t="s">
        <v>62</v>
      </c>
      <c r="G193" t="s">
        <v>30</v>
      </c>
      <c r="K193" t="s">
        <v>33</v>
      </c>
      <c r="M193" t="s">
        <v>1067</v>
      </c>
      <c r="V193" t="s">
        <v>363</v>
      </c>
      <c r="Y193" t="s">
        <v>24</v>
      </c>
    </row>
    <row r="194" spans="1:25" ht="14.5" x14ac:dyDescent="0.35">
      <c r="A194" t="s">
        <v>1705</v>
      </c>
      <c r="B194" t="s">
        <v>1706</v>
      </c>
      <c r="C194" t="s">
        <v>1707</v>
      </c>
      <c r="D194" t="s">
        <v>1653</v>
      </c>
      <c r="E194" t="s">
        <v>1708</v>
      </c>
      <c r="G194" t="s">
        <v>1655</v>
      </c>
      <c r="J194" t="s">
        <v>1709</v>
      </c>
      <c r="K194" t="s">
        <v>1657</v>
      </c>
      <c r="L194" t="s">
        <v>1710</v>
      </c>
      <c r="M194" t="s">
        <v>1711</v>
      </c>
      <c r="Q194" t="s">
        <v>1659</v>
      </c>
      <c r="T194" t="s">
        <v>533</v>
      </c>
      <c r="U194" t="s">
        <v>1712</v>
      </c>
      <c r="V194" t="s">
        <v>1661</v>
      </c>
      <c r="Y194" t="s">
        <v>24</v>
      </c>
    </row>
    <row r="195" spans="1:25" ht="14.5" x14ac:dyDescent="0.35">
      <c r="A195" t="s">
        <v>1713</v>
      </c>
      <c r="B195" t="s">
        <v>1714</v>
      </c>
      <c r="D195" t="s">
        <v>98</v>
      </c>
      <c r="G195" t="s">
        <v>30</v>
      </c>
      <c r="K195" t="s">
        <v>33</v>
      </c>
      <c r="M195" t="s">
        <v>1715</v>
      </c>
      <c r="V195" t="s">
        <v>137</v>
      </c>
      <c r="Y195" t="s">
        <v>24</v>
      </c>
    </row>
    <row r="196" spans="1:25" ht="14.5" x14ac:dyDescent="0.35">
      <c r="A196" t="s">
        <v>1716</v>
      </c>
      <c r="B196" t="s">
        <v>1717</v>
      </c>
      <c r="C196" t="s">
        <v>1718</v>
      </c>
      <c r="D196" t="s">
        <v>152</v>
      </c>
      <c r="E196" t="s">
        <v>1719</v>
      </c>
      <c r="G196" t="s">
        <v>30</v>
      </c>
      <c r="H196" t="s">
        <v>1716</v>
      </c>
      <c r="I196" s="3" t="s">
        <v>1720</v>
      </c>
      <c r="J196" t="s">
        <v>1721</v>
      </c>
      <c r="K196" t="s">
        <v>33</v>
      </c>
      <c r="L196" t="s">
        <v>1722</v>
      </c>
      <c r="M196" t="s">
        <v>1723</v>
      </c>
      <c r="Q196" t="s">
        <v>1724</v>
      </c>
      <c r="T196" t="s">
        <v>213</v>
      </c>
      <c r="U196" t="s">
        <v>1725</v>
      </c>
      <c r="V196" t="s">
        <v>1726</v>
      </c>
      <c r="Y196" t="s">
        <v>24</v>
      </c>
    </row>
    <row r="197" spans="1:25" ht="14.5" x14ac:dyDescent="0.35">
      <c r="A197" t="s">
        <v>1727</v>
      </c>
      <c r="B197" t="s">
        <v>1728</v>
      </c>
      <c r="D197" t="s">
        <v>164</v>
      </c>
      <c r="G197" t="s">
        <v>30</v>
      </c>
      <c r="K197" t="s">
        <v>33</v>
      </c>
      <c r="M197" t="s">
        <v>647</v>
      </c>
      <c r="V197" t="s">
        <v>651</v>
      </c>
      <c r="Y197" t="s">
        <v>24</v>
      </c>
    </row>
    <row r="198" spans="1:25" ht="14.5" x14ac:dyDescent="0.35">
      <c r="A198" t="s">
        <v>1729</v>
      </c>
      <c r="B198" t="s">
        <v>1730</v>
      </c>
      <c r="D198" t="s">
        <v>98</v>
      </c>
      <c r="G198" t="s">
        <v>30</v>
      </c>
      <c r="K198" t="s">
        <v>33</v>
      </c>
      <c r="M198" t="s">
        <v>585</v>
      </c>
      <c r="V198" t="s">
        <v>137</v>
      </c>
      <c r="Y198" t="s">
        <v>24</v>
      </c>
    </row>
    <row r="199" spans="1:25" ht="14.5" x14ac:dyDescent="0.35">
      <c r="A199" t="s">
        <v>1731</v>
      </c>
      <c r="B199" t="s">
        <v>1732</v>
      </c>
      <c r="D199" t="s">
        <v>164</v>
      </c>
      <c r="G199" t="s">
        <v>30</v>
      </c>
      <c r="K199" t="s">
        <v>33</v>
      </c>
      <c r="M199" t="s">
        <v>683</v>
      </c>
      <c r="V199" t="s">
        <v>686</v>
      </c>
      <c r="Y199" t="s">
        <v>24</v>
      </c>
    </row>
    <row r="200" spans="1:25" ht="14.5" x14ac:dyDescent="0.35">
      <c r="A200" t="s">
        <v>1733</v>
      </c>
      <c r="B200" t="s">
        <v>1734</v>
      </c>
      <c r="D200" t="s">
        <v>164</v>
      </c>
      <c r="G200" t="s">
        <v>30</v>
      </c>
      <c r="K200" t="s">
        <v>33</v>
      </c>
      <c r="M200" t="s">
        <v>1078</v>
      </c>
      <c r="V200" t="s">
        <v>1081</v>
      </c>
      <c r="Y200" t="s">
        <v>24</v>
      </c>
    </row>
    <row r="201" spans="1:25" ht="14.5" x14ac:dyDescent="0.35">
      <c r="A201" t="s">
        <v>1735</v>
      </c>
      <c r="B201" t="s">
        <v>1736</v>
      </c>
      <c r="D201" t="s">
        <v>98</v>
      </c>
      <c r="G201" t="s">
        <v>30</v>
      </c>
      <c r="K201" t="s">
        <v>33</v>
      </c>
      <c r="M201" t="s">
        <v>728</v>
      </c>
      <c r="V201" t="s">
        <v>137</v>
      </c>
      <c r="Y201" t="s">
        <v>24</v>
      </c>
    </row>
    <row r="202" spans="1:25" ht="14.5" x14ac:dyDescent="0.35">
      <c r="A202" t="s">
        <v>1737</v>
      </c>
      <c r="B202" t="s">
        <v>1738</v>
      </c>
      <c r="D202" t="s">
        <v>98</v>
      </c>
      <c r="G202" t="s">
        <v>30</v>
      </c>
      <c r="K202" t="s">
        <v>33</v>
      </c>
      <c r="M202" t="s">
        <v>811</v>
      </c>
      <c r="V202" t="s">
        <v>137</v>
      </c>
      <c r="Y202" t="s">
        <v>24</v>
      </c>
    </row>
    <row r="203" spans="1:25" ht="14.5" x14ac:dyDescent="0.35">
      <c r="A203" t="s">
        <v>1739</v>
      </c>
      <c r="B203" t="s">
        <v>1740</v>
      </c>
      <c r="C203" t="s">
        <v>1741</v>
      </c>
      <c r="D203" t="s">
        <v>1742</v>
      </c>
      <c r="E203" t="s">
        <v>1743</v>
      </c>
      <c r="G203" t="s">
        <v>30</v>
      </c>
      <c r="H203" t="s">
        <v>1739</v>
      </c>
      <c r="I203" s="3" t="s">
        <v>1744</v>
      </c>
      <c r="J203" t="s">
        <v>1745</v>
      </c>
      <c r="K203" t="s">
        <v>33</v>
      </c>
      <c r="L203" t="s">
        <v>1746</v>
      </c>
      <c r="M203" t="s">
        <v>1747</v>
      </c>
      <c r="Q203" t="s">
        <v>1748</v>
      </c>
      <c r="T203" t="s">
        <v>58</v>
      </c>
      <c r="U203" t="s">
        <v>1749</v>
      </c>
      <c r="V203" t="s">
        <v>1750</v>
      </c>
      <c r="Y203" t="s">
        <v>24</v>
      </c>
    </row>
    <row r="204" spans="1:25" ht="14.5" x14ac:dyDescent="0.35">
      <c r="A204" t="s">
        <v>1751</v>
      </c>
      <c r="B204" t="s">
        <v>1752</v>
      </c>
      <c r="D204" t="s">
        <v>28</v>
      </c>
      <c r="G204" t="s">
        <v>30</v>
      </c>
      <c r="K204" t="s">
        <v>33</v>
      </c>
      <c r="M204" t="s">
        <v>856</v>
      </c>
      <c r="V204" t="s">
        <v>860</v>
      </c>
      <c r="Y204" t="s">
        <v>24</v>
      </c>
    </row>
    <row r="205" spans="1:25" ht="14.5" x14ac:dyDescent="0.35">
      <c r="A205" t="s">
        <v>1753</v>
      </c>
      <c r="B205" t="s">
        <v>1754</v>
      </c>
      <c r="D205" t="s">
        <v>28</v>
      </c>
      <c r="G205" t="s">
        <v>30</v>
      </c>
      <c r="K205" t="s">
        <v>33</v>
      </c>
      <c r="M205" t="s">
        <v>1755</v>
      </c>
      <c r="V205" t="s">
        <v>137</v>
      </c>
      <c r="Y205" t="s">
        <v>24</v>
      </c>
    </row>
    <row r="206" spans="1:25" ht="14.5" x14ac:dyDescent="0.35">
      <c r="A206" t="s">
        <v>1756</v>
      </c>
      <c r="B206" t="s">
        <v>1757</v>
      </c>
      <c r="D206" t="s">
        <v>62</v>
      </c>
      <c r="G206" t="s">
        <v>30</v>
      </c>
      <c r="K206" t="s">
        <v>33</v>
      </c>
      <c r="M206" t="s">
        <v>1469</v>
      </c>
      <c r="V206" t="s">
        <v>1472</v>
      </c>
      <c r="Y206" t="s">
        <v>24</v>
      </c>
    </row>
    <row r="207" spans="1:25" ht="14.5" x14ac:dyDescent="0.35">
      <c r="A207" t="s">
        <v>1758</v>
      </c>
      <c r="B207" t="s">
        <v>1759</v>
      </c>
      <c r="D207" t="s">
        <v>28</v>
      </c>
      <c r="G207" t="s">
        <v>30</v>
      </c>
      <c r="K207" t="s">
        <v>33</v>
      </c>
      <c r="M207" t="s">
        <v>974</v>
      </c>
      <c r="V207" t="s">
        <v>860</v>
      </c>
      <c r="Y207" t="s">
        <v>24</v>
      </c>
    </row>
    <row r="208" spans="1:25" ht="14.5" x14ac:dyDescent="0.35">
      <c r="A208" t="s">
        <v>1760</v>
      </c>
      <c r="B208" t="s">
        <v>1761</v>
      </c>
      <c r="D208" t="s">
        <v>28</v>
      </c>
      <c r="G208" t="s">
        <v>30</v>
      </c>
      <c r="J208" t="s">
        <v>1762</v>
      </c>
      <c r="K208" t="s">
        <v>33</v>
      </c>
      <c r="M208" t="s">
        <v>1138</v>
      </c>
      <c r="V208" t="s">
        <v>1141</v>
      </c>
      <c r="Y208" t="s">
        <v>24</v>
      </c>
    </row>
    <row r="209" spans="1:25" ht="14.5" x14ac:dyDescent="0.35">
      <c r="A209" t="s">
        <v>1763</v>
      </c>
      <c r="B209" t="s">
        <v>1764</v>
      </c>
      <c r="D209" t="s">
        <v>28</v>
      </c>
      <c r="G209" t="s">
        <v>30</v>
      </c>
      <c r="K209" t="s">
        <v>33</v>
      </c>
      <c r="M209" t="s">
        <v>1107</v>
      </c>
      <c r="V209" t="s">
        <v>1110</v>
      </c>
      <c r="Y209" t="s">
        <v>24</v>
      </c>
    </row>
    <row r="210" spans="1:25" ht="14.5" x14ac:dyDescent="0.35">
      <c r="A210" t="s">
        <v>1765</v>
      </c>
      <c r="B210" t="s">
        <v>1766</v>
      </c>
      <c r="D210" t="s">
        <v>28</v>
      </c>
      <c r="G210" t="s">
        <v>30</v>
      </c>
      <c r="K210" t="s">
        <v>33</v>
      </c>
      <c r="M210" t="s">
        <v>1029</v>
      </c>
      <c r="V210" t="s">
        <v>1032</v>
      </c>
      <c r="Y210" t="s">
        <v>24</v>
      </c>
    </row>
    <row r="211" spans="1:25" ht="14.5" x14ac:dyDescent="0.35">
      <c r="A211" t="s">
        <v>1767</v>
      </c>
      <c r="B211" t="s">
        <v>1768</v>
      </c>
      <c r="D211" t="s">
        <v>62</v>
      </c>
      <c r="G211" t="s">
        <v>30</v>
      </c>
      <c r="K211" t="s">
        <v>33</v>
      </c>
      <c r="M211" t="s">
        <v>564</v>
      </c>
      <c r="V211" t="s">
        <v>569</v>
      </c>
      <c r="Y211" t="s">
        <v>24</v>
      </c>
    </row>
    <row r="212" spans="1:25" ht="14.5" x14ac:dyDescent="0.35">
      <c r="A212" t="s">
        <v>1769</v>
      </c>
      <c r="B212" t="s">
        <v>1770</v>
      </c>
      <c r="D212" t="s">
        <v>28</v>
      </c>
      <c r="G212" t="s">
        <v>30</v>
      </c>
      <c r="K212" t="s">
        <v>33</v>
      </c>
      <c r="M212" t="s">
        <v>1129</v>
      </c>
      <c r="V212" t="s">
        <v>1091</v>
      </c>
      <c r="Y212" t="s">
        <v>24</v>
      </c>
    </row>
    <row r="213" spans="1:25" ht="14.5" x14ac:dyDescent="0.35">
      <c r="A213" t="s">
        <v>1771</v>
      </c>
      <c r="B213" t="s">
        <v>1772</v>
      </c>
      <c r="C213" t="s">
        <v>1773</v>
      </c>
      <c r="D213" t="s">
        <v>1774</v>
      </c>
      <c r="E213" t="s">
        <v>1775</v>
      </c>
      <c r="G213" t="s">
        <v>30</v>
      </c>
      <c r="H213" t="s">
        <v>1771</v>
      </c>
      <c r="I213" s="3" t="s">
        <v>1776</v>
      </c>
      <c r="J213" t="s">
        <v>1777</v>
      </c>
      <c r="K213" t="s">
        <v>33</v>
      </c>
      <c r="L213" t="s">
        <v>1778</v>
      </c>
      <c r="M213" t="s">
        <v>1779</v>
      </c>
      <c r="Q213" t="s">
        <v>1780</v>
      </c>
      <c r="T213" t="s">
        <v>398</v>
      </c>
      <c r="V213" t="s">
        <v>1781</v>
      </c>
      <c r="Y213" t="s">
        <v>24</v>
      </c>
    </row>
    <row r="214" spans="1:25" ht="14.5" x14ac:dyDescent="0.35">
      <c r="A214" t="s">
        <v>1782</v>
      </c>
      <c r="B214" t="s">
        <v>1783</v>
      </c>
      <c r="D214" t="s">
        <v>195</v>
      </c>
      <c r="G214" t="s">
        <v>30</v>
      </c>
      <c r="K214" t="s">
        <v>33</v>
      </c>
      <c r="M214" t="s">
        <v>1514</v>
      </c>
      <c r="V214" t="s">
        <v>1518</v>
      </c>
      <c r="Y214" t="s">
        <v>24</v>
      </c>
    </row>
    <row r="215" spans="1:25" ht="14.5" x14ac:dyDescent="0.35">
      <c r="A215" t="s">
        <v>1784</v>
      </c>
      <c r="B215" t="s">
        <v>1785</v>
      </c>
      <c r="D215" t="s">
        <v>28</v>
      </c>
      <c r="G215" t="s">
        <v>1655</v>
      </c>
      <c r="J215" t="s">
        <v>1786</v>
      </c>
      <c r="K215" t="s">
        <v>1657</v>
      </c>
      <c r="M215" t="s">
        <v>1787</v>
      </c>
      <c r="V215" t="s">
        <v>1788</v>
      </c>
      <c r="Y215" t="s">
        <v>24</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40" r:id="rId38"/>
    <hyperlink ref="I41" r:id="rId39"/>
    <hyperlink ref="I42" r:id="rId40"/>
    <hyperlink ref="I43" r:id="rId41"/>
    <hyperlink ref="I44" r:id="rId42"/>
    <hyperlink ref="I45" r:id="rId43"/>
    <hyperlink ref="I46" r:id="rId44"/>
    <hyperlink ref="I47" r:id="rId45"/>
    <hyperlink ref="I48" r:id="rId46"/>
    <hyperlink ref="I49" r:id="rId47"/>
    <hyperlink ref="I50" r:id="rId48"/>
    <hyperlink ref="I51" r:id="rId49"/>
    <hyperlink ref="I52" r:id="rId50"/>
    <hyperlink ref="I53" r:id="rId51"/>
    <hyperlink ref="I54" r:id="rId52"/>
    <hyperlink ref="I55" r:id="rId53"/>
    <hyperlink ref="I56" r:id="rId54"/>
    <hyperlink ref="I57" r:id="rId55"/>
    <hyperlink ref="I58" r:id="rId56"/>
    <hyperlink ref="I59" r:id="rId57"/>
    <hyperlink ref="I60" r:id="rId58"/>
    <hyperlink ref="I61" r:id="rId59"/>
    <hyperlink ref="I62" r:id="rId60"/>
    <hyperlink ref="I63" r:id="rId61"/>
    <hyperlink ref="I65" r:id="rId62"/>
    <hyperlink ref="I66" r:id="rId63"/>
    <hyperlink ref="I68" r:id="rId64"/>
    <hyperlink ref="I69" r:id="rId65"/>
    <hyperlink ref="I70" r:id="rId66"/>
    <hyperlink ref="I71" r:id="rId67"/>
    <hyperlink ref="I72" r:id="rId68"/>
    <hyperlink ref="I73" r:id="rId69"/>
    <hyperlink ref="I74" r:id="rId70"/>
    <hyperlink ref="I75" r:id="rId71"/>
    <hyperlink ref="I76" r:id="rId72"/>
    <hyperlink ref="I77" r:id="rId73"/>
    <hyperlink ref="I78" r:id="rId74"/>
    <hyperlink ref="I79" r:id="rId75"/>
    <hyperlink ref="I80" r:id="rId76"/>
    <hyperlink ref="I81" r:id="rId77"/>
    <hyperlink ref="I82" r:id="rId78"/>
    <hyperlink ref="I83" r:id="rId79"/>
    <hyperlink ref="I84" r:id="rId80"/>
    <hyperlink ref="I85" r:id="rId81"/>
    <hyperlink ref="I86" r:id="rId82"/>
    <hyperlink ref="I87" r:id="rId83"/>
    <hyperlink ref="I88" r:id="rId84"/>
    <hyperlink ref="I89" r:id="rId85"/>
    <hyperlink ref="I91" r:id="rId86"/>
    <hyperlink ref="I92" r:id="rId87"/>
    <hyperlink ref="I93" r:id="rId88"/>
    <hyperlink ref="I94" r:id="rId89"/>
    <hyperlink ref="I95" r:id="rId90"/>
    <hyperlink ref="I96" r:id="rId91"/>
    <hyperlink ref="I97" r:id="rId92"/>
    <hyperlink ref="I98" r:id="rId93"/>
    <hyperlink ref="I99" r:id="rId94"/>
    <hyperlink ref="I100" r:id="rId95"/>
    <hyperlink ref="I101" r:id="rId96"/>
    <hyperlink ref="I102" r:id="rId97"/>
    <hyperlink ref="I103" r:id="rId98"/>
    <hyperlink ref="I104" r:id="rId99"/>
    <hyperlink ref="I105" r:id="rId100"/>
    <hyperlink ref="I106" r:id="rId101"/>
    <hyperlink ref="I107" r:id="rId102"/>
    <hyperlink ref="I109" r:id="rId103"/>
    <hyperlink ref="I110" r:id="rId104"/>
    <hyperlink ref="I111" r:id="rId105"/>
    <hyperlink ref="I112" r:id="rId106"/>
    <hyperlink ref="I113" r:id="rId107"/>
    <hyperlink ref="I114" r:id="rId108"/>
    <hyperlink ref="I115" r:id="rId109"/>
    <hyperlink ref="I116" r:id="rId110"/>
    <hyperlink ref="I119" r:id="rId111"/>
    <hyperlink ref="I120" r:id="rId112"/>
    <hyperlink ref="I122" r:id="rId113"/>
    <hyperlink ref="I123" r:id="rId114"/>
    <hyperlink ref="I124" r:id="rId115"/>
    <hyperlink ref="I125" r:id="rId116"/>
    <hyperlink ref="I126" r:id="rId117"/>
    <hyperlink ref="I127" r:id="rId118"/>
    <hyperlink ref="I128" r:id="rId119"/>
    <hyperlink ref="I129" r:id="rId120"/>
    <hyperlink ref="I130" r:id="rId121"/>
    <hyperlink ref="I131" r:id="rId122"/>
    <hyperlink ref="I133" r:id="rId123"/>
    <hyperlink ref="I135" r:id="rId124"/>
    <hyperlink ref="I136" r:id="rId125"/>
    <hyperlink ref="I137" r:id="rId126"/>
    <hyperlink ref="I138" r:id="rId127"/>
    <hyperlink ref="I139" r:id="rId128"/>
    <hyperlink ref="I140" r:id="rId129"/>
    <hyperlink ref="I142" r:id="rId130"/>
    <hyperlink ref="I143" r:id="rId131"/>
    <hyperlink ref="I144" r:id="rId132"/>
    <hyperlink ref="I146" r:id="rId133"/>
    <hyperlink ref="I147" r:id="rId134"/>
    <hyperlink ref="I148" r:id="rId135"/>
    <hyperlink ref="I149" r:id="rId136"/>
    <hyperlink ref="I150" r:id="rId137"/>
    <hyperlink ref="I151" r:id="rId138"/>
    <hyperlink ref="I152" r:id="rId139"/>
    <hyperlink ref="I153" r:id="rId140"/>
    <hyperlink ref="I154" r:id="rId141"/>
    <hyperlink ref="I155" r:id="rId142"/>
    <hyperlink ref="I156" r:id="rId143"/>
    <hyperlink ref="I157" r:id="rId144"/>
    <hyperlink ref="I159" r:id="rId145"/>
    <hyperlink ref="I160" r:id="rId146"/>
    <hyperlink ref="I162" r:id="rId147"/>
    <hyperlink ref="I163" r:id="rId148"/>
    <hyperlink ref="I164" r:id="rId149"/>
    <hyperlink ref="I165" r:id="rId150"/>
    <hyperlink ref="I166" r:id="rId151"/>
    <hyperlink ref="I167" r:id="rId152"/>
    <hyperlink ref="I170" r:id="rId153"/>
    <hyperlink ref="I171" r:id="rId154"/>
    <hyperlink ref="I172" r:id="rId155"/>
    <hyperlink ref="I173" r:id="rId156"/>
    <hyperlink ref="I174" r:id="rId157"/>
    <hyperlink ref="I175" r:id="rId158"/>
    <hyperlink ref="I177" r:id="rId159"/>
    <hyperlink ref="I178" r:id="rId160"/>
    <hyperlink ref="I179" r:id="rId161"/>
    <hyperlink ref="I180" r:id="rId162"/>
    <hyperlink ref="I186" r:id="rId163"/>
    <hyperlink ref="I196" r:id="rId164"/>
    <hyperlink ref="I203" r:id="rId165"/>
    <hyperlink ref="I213" r:id="rId166"/>
  </hyperlinks>
  <pageMargins left="0.70000000000000007" right="0.70000000000000007" top="0.75" bottom="0.75" header="0.30000000000000004" footer="0.3000000000000000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71"/>
  <sheetViews>
    <sheetView tabSelected="1" workbookViewId="0"/>
  </sheetViews>
  <sheetFormatPr defaultRowHeight="15" x14ac:dyDescent="0.35"/>
  <cols>
    <col min="1" max="1" width="8.7265625" customWidth="1"/>
  </cols>
  <sheetData>
    <row r="1" spans="1:25"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19</v>
      </c>
      <c r="S1" s="1" t="s">
        <v>18</v>
      </c>
      <c r="T1" s="1" t="s">
        <v>20</v>
      </c>
      <c r="U1" s="1" t="s">
        <v>21</v>
      </c>
      <c r="V1" s="1" t="s">
        <v>22</v>
      </c>
      <c r="W1" s="2" t="s">
        <v>1789</v>
      </c>
      <c r="X1" s="2" t="s">
        <v>1790</v>
      </c>
    </row>
    <row r="2" spans="1:25" ht="14.5" x14ac:dyDescent="0.35">
      <c r="A2" t="s">
        <v>1147</v>
      </c>
      <c r="B2" t="s">
        <v>1148</v>
      </c>
      <c r="C2" t="s">
        <v>1149</v>
      </c>
      <c r="D2" t="s">
        <v>164</v>
      </c>
      <c r="E2" t="s">
        <v>445</v>
      </c>
      <c r="G2" t="s">
        <v>30</v>
      </c>
      <c r="I2" s="3" t="s">
        <v>1150</v>
      </c>
      <c r="J2" t="s">
        <v>1151</v>
      </c>
      <c r="K2" t="s">
        <v>33</v>
      </c>
      <c r="L2" t="s">
        <v>1152</v>
      </c>
      <c r="M2" t="s">
        <v>449</v>
      </c>
      <c r="R2" t="s">
        <v>398</v>
      </c>
      <c r="W2" t="str">
        <f t="array" ref="W2:W167">VLOOKUP(B2:B167,ACM_evaluation!B1:V215,1,FALSE)</f>
        <v>Computational thinking integration in elementary teachers' science lesson plans</v>
      </c>
      <c r="X2" t="s">
        <v>1148</v>
      </c>
      <c r="Y2" t="s">
        <v>1791</v>
      </c>
    </row>
    <row r="3" spans="1:25" ht="14.5" x14ac:dyDescent="0.35">
      <c r="A3" t="s">
        <v>1792</v>
      </c>
      <c r="B3" t="s">
        <v>1793</v>
      </c>
      <c r="C3" t="s">
        <v>1794</v>
      </c>
      <c r="D3" t="s">
        <v>62</v>
      </c>
      <c r="E3" t="s">
        <v>1064</v>
      </c>
      <c r="G3" t="s">
        <v>30</v>
      </c>
      <c r="H3" t="s">
        <v>1792</v>
      </c>
      <c r="I3" s="3" t="s">
        <v>1795</v>
      </c>
      <c r="J3" t="s">
        <v>1796</v>
      </c>
      <c r="K3" t="s">
        <v>33</v>
      </c>
      <c r="M3" t="s">
        <v>1067</v>
      </c>
      <c r="Q3" t="s">
        <v>1068</v>
      </c>
      <c r="R3" t="s">
        <v>50</v>
      </c>
      <c r="S3" t="s">
        <v>379</v>
      </c>
      <c r="T3" t="s">
        <v>1797</v>
      </c>
      <c r="U3" t="s">
        <v>363</v>
      </c>
      <c r="W3" t="e">
        <v>#N/A</v>
      </c>
      <c r="X3" t="e">
        <f>#N/A</f>
        <v>#N/A</v>
      </c>
      <c r="Y3" t="s">
        <v>1791</v>
      </c>
    </row>
    <row r="4" spans="1:25" ht="14.5" x14ac:dyDescent="0.35">
      <c r="A4" t="s">
        <v>1798</v>
      </c>
      <c r="B4" t="s">
        <v>1799</v>
      </c>
      <c r="C4" t="s">
        <v>1800</v>
      </c>
      <c r="D4" t="s">
        <v>28</v>
      </c>
      <c r="E4" t="s">
        <v>1801</v>
      </c>
      <c r="G4" t="s">
        <v>30</v>
      </c>
      <c r="H4" t="s">
        <v>1798</v>
      </c>
      <c r="I4" s="3" t="s">
        <v>1802</v>
      </c>
      <c r="J4" t="s">
        <v>1803</v>
      </c>
      <c r="K4" t="s">
        <v>33</v>
      </c>
      <c r="L4" t="s">
        <v>1804</v>
      </c>
      <c r="M4" t="s">
        <v>1805</v>
      </c>
      <c r="Q4" t="s">
        <v>1806</v>
      </c>
      <c r="R4" t="s">
        <v>398</v>
      </c>
      <c r="T4" t="s">
        <v>1807</v>
      </c>
      <c r="U4" t="s">
        <v>1808</v>
      </c>
      <c r="W4" t="e">
        <v>#N/A</v>
      </c>
      <c r="X4" t="e">
        <f>#N/A</f>
        <v>#N/A</v>
      </c>
      <c r="Y4" t="s">
        <v>1791</v>
      </c>
    </row>
    <row r="5" spans="1:25" ht="14.5" x14ac:dyDescent="0.35">
      <c r="A5" t="s">
        <v>1809</v>
      </c>
      <c r="B5" t="s">
        <v>1810</v>
      </c>
      <c r="C5" t="s">
        <v>1811</v>
      </c>
      <c r="D5" t="s">
        <v>195</v>
      </c>
      <c r="E5" t="s">
        <v>842</v>
      </c>
      <c r="G5" t="s">
        <v>30</v>
      </c>
      <c r="H5" t="s">
        <v>1809</v>
      </c>
      <c r="I5" s="3" t="s">
        <v>1812</v>
      </c>
      <c r="J5" t="s">
        <v>1813</v>
      </c>
      <c r="K5" t="s">
        <v>33</v>
      </c>
      <c r="L5" t="s">
        <v>1814</v>
      </c>
      <c r="M5" t="s">
        <v>846</v>
      </c>
      <c r="Q5" t="s">
        <v>847</v>
      </c>
      <c r="R5" t="s">
        <v>37</v>
      </c>
      <c r="T5" t="s">
        <v>1815</v>
      </c>
      <c r="U5" t="s">
        <v>849</v>
      </c>
      <c r="W5" t="e">
        <v>#N/A</v>
      </c>
      <c r="X5" t="e">
        <f>#N/A</f>
        <v>#N/A</v>
      </c>
      <c r="Y5" t="s">
        <v>1791</v>
      </c>
    </row>
    <row r="6" spans="1:25" ht="14.5" x14ac:dyDescent="0.35">
      <c r="A6" t="s">
        <v>985</v>
      </c>
      <c r="B6" t="s">
        <v>986</v>
      </c>
      <c r="C6" t="s">
        <v>987</v>
      </c>
      <c r="D6" t="s">
        <v>164</v>
      </c>
      <c r="E6" t="s">
        <v>445</v>
      </c>
      <c r="G6" t="s">
        <v>30</v>
      </c>
      <c r="I6" s="3" t="s">
        <v>988</v>
      </c>
      <c r="J6" t="s">
        <v>989</v>
      </c>
      <c r="K6" t="s">
        <v>33</v>
      </c>
      <c r="L6" t="s">
        <v>990</v>
      </c>
      <c r="M6" t="s">
        <v>449</v>
      </c>
      <c r="R6" t="s">
        <v>398</v>
      </c>
      <c r="W6" t="str">
        <v>Understanding barriers to school-wide computational thinking integration at the elementary grades: lessons from three schools</v>
      </c>
      <c r="X6" t="s">
        <v>986</v>
      </c>
      <c r="Y6" t="s">
        <v>1791</v>
      </c>
    </row>
    <row r="7" spans="1:25" ht="14.5" x14ac:dyDescent="0.35">
      <c r="A7" t="s">
        <v>1816</v>
      </c>
      <c r="B7" t="s">
        <v>1817</v>
      </c>
      <c r="C7" t="s">
        <v>1818</v>
      </c>
      <c r="D7" t="s">
        <v>62</v>
      </c>
      <c r="E7" t="s">
        <v>274</v>
      </c>
      <c r="G7" t="s">
        <v>30</v>
      </c>
      <c r="H7" t="s">
        <v>1816</v>
      </c>
      <c r="I7" s="3" t="s">
        <v>1819</v>
      </c>
      <c r="J7" t="s">
        <v>1820</v>
      </c>
      <c r="K7" t="s">
        <v>33</v>
      </c>
      <c r="L7" t="s">
        <v>1821</v>
      </c>
      <c r="M7" t="s">
        <v>278</v>
      </c>
      <c r="Q7" t="s">
        <v>279</v>
      </c>
      <c r="R7" t="s">
        <v>58</v>
      </c>
      <c r="T7" t="s">
        <v>1822</v>
      </c>
      <c r="U7" t="s">
        <v>281</v>
      </c>
      <c r="W7" t="e">
        <v>#N/A</v>
      </c>
      <c r="X7" t="e">
        <f>#N/A</f>
        <v>#N/A</v>
      </c>
      <c r="Y7" t="s">
        <v>1791</v>
      </c>
    </row>
    <row r="8" spans="1:25" ht="14.5" x14ac:dyDescent="0.35">
      <c r="A8" t="s">
        <v>1823</v>
      </c>
      <c r="B8" t="s">
        <v>1824</v>
      </c>
      <c r="C8" t="s">
        <v>1825</v>
      </c>
      <c r="D8" t="s">
        <v>195</v>
      </c>
      <c r="E8" t="s">
        <v>842</v>
      </c>
      <c r="G8" t="s">
        <v>30</v>
      </c>
      <c r="H8" t="s">
        <v>1823</v>
      </c>
      <c r="I8" s="3" t="s">
        <v>1826</v>
      </c>
      <c r="J8" t="s">
        <v>1827</v>
      </c>
      <c r="K8" t="s">
        <v>33</v>
      </c>
      <c r="L8" t="s">
        <v>1828</v>
      </c>
      <c r="M8" t="s">
        <v>846</v>
      </c>
      <c r="Q8" t="s">
        <v>847</v>
      </c>
      <c r="R8" t="s">
        <v>58</v>
      </c>
      <c r="T8" t="s">
        <v>1829</v>
      </c>
      <c r="U8" t="s">
        <v>849</v>
      </c>
      <c r="W8" t="e">
        <v>#N/A</v>
      </c>
      <c r="X8" t="e">
        <f>#N/A</f>
        <v>#N/A</v>
      </c>
      <c r="Y8" t="s">
        <v>1791</v>
      </c>
    </row>
    <row r="9" spans="1:25" ht="14.5" x14ac:dyDescent="0.35">
      <c r="A9" t="s">
        <v>877</v>
      </c>
      <c r="B9" t="s">
        <v>878</v>
      </c>
      <c r="C9" t="s">
        <v>879</v>
      </c>
      <c r="D9" t="s">
        <v>239</v>
      </c>
      <c r="E9" t="s">
        <v>880</v>
      </c>
      <c r="G9" t="s">
        <v>30</v>
      </c>
      <c r="H9" t="s">
        <v>877</v>
      </c>
      <c r="I9" s="3" t="s">
        <v>881</v>
      </c>
      <c r="J9" t="s">
        <v>882</v>
      </c>
      <c r="K9" t="s">
        <v>33</v>
      </c>
      <c r="L9" t="s">
        <v>883</v>
      </c>
      <c r="M9" t="s">
        <v>884</v>
      </c>
      <c r="Q9" t="s">
        <v>885</v>
      </c>
      <c r="R9" t="s">
        <v>507</v>
      </c>
      <c r="T9" t="s">
        <v>886</v>
      </c>
      <c r="U9" t="s">
        <v>860</v>
      </c>
      <c r="W9" t="str">
        <v>Exploring How Game Genre in Student-Designed Games Influences Computational Thinking Development</v>
      </c>
      <c r="X9" t="s">
        <v>878</v>
      </c>
      <c r="Y9" t="s">
        <v>1791</v>
      </c>
    </row>
    <row r="10" spans="1:25" ht="14.5" x14ac:dyDescent="0.35">
      <c r="A10" t="s">
        <v>1172</v>
      </c>
      <c r="B10" t="s">
        <v>1173</v>
      </c>
      <c r="C10" t="s">
        <v>1174</v>
      </c>
      <c r="D10" t="s">
        <v>263</v>
      </c>
      <c r="E10" t="s">
        <v>1175</v>
      </c>
      <c r="G10" t="s">
        <v>30</v>
      </c>
      <c r="H10" t="s">
        <v>1172</v>
      </c>
      <c r="I10" s="3" t="s">
        <v>1176</v>
      </c>
      <c r="J10" t="s">
        <v>1177</v>
      </c>
      <c r="K10" t="s">
        <v>33</v>
      </c>
      <c r="M10" t="s">
        <v>1178</v>
      </c>
      <c r="Q10" t="s">
        <v>1179</v>
      </c>
      <c r="R10" t="s">
        <v>58</v>
      </c>
      <c r="S10" t="s">
        <v>58</v>
      </c>
      <c r="T10" t="s">
        <v>1180</v>
      </c>
      <c r="U10" t="s">
        <v>1181</v>
      </c>
      <c r="W10" t="str">
        <v>An Architectural Design of ScratchThAI: A conversational agent for Computational Thinking Development using Scratch</v>
      </c>
      <c r="X10" t="s">
        <v>1173</v>
      </c>
      <c r="Y10" t="s">
        <v>1791</v>
      </c>
    </row>
    <row r="11" spans="1:25" ht="14.5" x14ac:dyDescent="0.35">
      <c r="A11" t="s">
        <v>370</v>
      </c>
      <c r="B11" t="s">
        <v>371</v>
      </c>
      <c r="C11" t="s">
        <v>372</v>
      </c>
      <c r="D11" t="s">
        <v>43</v>
      </c>
      <c r="E11" t="s">
        <v>373</v>
      </c>
      <c r="G11" t="s">
        <v>30</v>
      </c>
      <c r="H11" t="s">
        <v>370</v>
      </c>
      <c r="I11" s="3" t="s">
        <v>374</v>
      </c>
      <c r="J11" t="s">
        <v>375</v>
      </c>
      <c r="K11" t="s">
        <v>33</v>
      </c>
      <c r="L11" t="s">
        <v>376</v>
      </c>
      <c r="M11" t="s">
        <v>377</v>
      </c>
      <c r="Q11" t="s">
        <v>378</v>
      </c>
      <c r="R11" t="s">
        <v>379</v>
      </c>
      <c r="T11" t="s">
        <v>380</v>
      </c>
      <c r="U11" t="s">
        <v>381</v>
      </c>
      <c r="W11" t="str">
        <v>Is My Game OK Dr. Scratch? Exploring Programming and Computational Thinking Development via Metrics in Student-Designed Serious Games for STEM</v>
      </c>
      <c r="X11" t="s">
        <v>371</v>
      </c>
      <c r="Y11" t="s">
        <v>1791</v>
      </c>
    </row>
    <row r="12" spans="1:25" ht="14.5" x14ac:dyDescent="0.35">
      <c r="A12" t="s">
        <v>104</v>
      </c>
      <c r="B12" t="s">
        <v>105</v>
      </c>
      <c r="C12" t="s">
        <v>106</v>
      </c>
      <c r="D12" t="s">
        <v>98</v>
      </c>
      <c r="E12" t="s">
        <v>107</v>
      </c>
      <c r="G12" t="s">
        <v>30</v>
      </c>
      <c r="H12" t="s">
        <v>104</v>
      </c>
      <c r="I12" s="3" t="s">
        <v>108</v>
      </c>
      <c r="J12" t="s">
        <v>109</v>
      </c>
      <c r="K12" t="s">
        <v>33</v>
      </c>
      <c r="L12" t="s">
        <v>110</v>
      </c>
      <c r="M12" t="s">
        <v>111</v>
      </c>
      <c r="Q12" t="s">
        <v>112</v>
      </c>
      <c r="R12" t="s">
        <v>69</v>
      </c>
      <c r="T12" t="s">
        <v>113</v>
      </c>
      <c r="U12" t="s">
        <v>114</v>
      </c>
      <c r="W12" t="str">
        <v>Assessing Elementary Teachers' Knowledge of Integrated Computational Thinking</v>
      </c>
      <c r="X12" t="s">
        <v>105</v>
      </c>
      <c r="Y12" t="s">
        <v>1791</v>
      </c>
    </row>
    <row r="13" spans="1:25" ht="14.5" x14ac:dyDescent="0.35">
      <c r="A13" t="s">
        <v>510</v>
      </c>
      <c r="B13" t="s">
        <v>511</v>
      </c>
      <c r="C13" t="s">
        <v>512</v>
      </c>
      <c r="D13" t="s">
        <v>98</v>
      </c>
      <c r="E13" t="s">
        <v>118</v>
      </c>
      <c r="G13" t="s">
        <v>30</v>
      </c>
      <c r="H13" t="s">
        <v>510</v>
      </c>
      <c r="I13" s="3" t="s">
        <v>513</v>
      </c>
      <c r="J13" t="s">
        <v>514</v>
      </c>
      <c r="K13" t="s">
        <v>33</v>
      </c>
      <c r="L13" t="s">
        <v>515</v>
      </c>
      <c r="M13" t="s">
        <v>122</v>
      </c>
      <c r="Q13" t="s">
        <v>123</v>
      </c>
      <c r="R13" t="s">
        <v>58</v>
      </c>
      <c r="T13" t="s">
        <v>516</v>
      </c>
      <c r="U13" t="s">
        <v>125</v>
      </c>
      <c r="W13" t="str">
        <v>Evaluating Computational Thinking Practices in Early Childhood Education: Insights from an Intervention Bridging Research and Practice</v>
      </c>
      <c r="X13" t="s">
        <v>511</v>
      </c>
      <c r="Y13" t="s">
        <v>1791</v>
      </c>
    </row>
    <row r="14" spans="1:25" ht="14.5" x14ac:dyDescent="0.35">
      <c r="A14" t="s">
        <v>1830</v>
      </c>
      <c r="B14" t="s">
        <v>1831</v>
      </c>
      <c r="C14" t="s">
        <v>1832</v>
      </c>
      <c r="D14" t="s">
        <v>98</v>
      </c>
      <c r="E14" t="s">
        <v>1833</v>
      </c>
      <c r="G14" t="s">
        <v>30</v>
      </c>
      <c r="H14" t="s">
        <v>1830</v>
      </c>
      <c r="I14" s="3" t="s">
        <v>1834</v>
      </c>
      <c r="J14" t="s">
        <v>1835</v>
      </c>
      <c r="K14" t="s">
        <v>33</v>
      </c>
      <c r="L14" t="s">
        <v>1836</v>
      </c>
      <c r="M14" t="s">
        <v>1837</v>
      </c>
      <c r="Q14" t="s">
        <v>123</v>
      </c>
      <c r="R14" t="s">
        <v>37</v>
      </c>
      <c r="T14" t="s">
        <v>1838</v>
      </c>
      <c r="U14" t="s">
        <v>125</v>
      </c>
      <c r="W14" t="e">
        <v>#N/A</v>
      </c>
      <c r="X14" t="e">
        <f>#N/A</f>
        <v>#N/A</v>
      </c>
      <c r="Y14" t="s">
        <v>1791</v>
      </c>
    </row>
    <row r="15" spans="1:25" ht="14.5" x14ac:dyDescent="0.35">
      <c r="A15" t="s">
        <v>1839</v>
      </c>
      <c r="B15" t="s">
        <v>1840</v>
      </c>
      <c r="C15" t="s">
        <v>1841</v>
      </c>
      <c r="D15" t="s">
        <v>98</v>
      </c>
      <c r="E15" t="s">
        <v>1833</v>
      </c>
      <c r="G15" t="s">
        <v>30</v>
      </c>
      <c r="H15" t="s">
        <v>1839</v>
      </c>
      <c r="I15" s="3" t="s">
        <v>1842</v>
      </c>
      <c r="J15" t="s">
        <v>1843</v>
      </c>
      <c r="K15" t="s">
        <v>33</v>
      </c>
      <c r="L15" t="s">
        <v>1844</v>
      </c>
      <c r="M15" t="s">
        <v>1837</v>
      </c>
      <c r="Q15" t="s">
        <v>123</v>
      </c>
      <c r="R15" t="s">
        <v>37</v>
      </c>
      <c r="T15" t="s">
        <v>1845</v>
      </c>
      <c r="U15" t="s">
        <v>125</v>
      </c>
      <c r="W15" t="e">
        <v>#N/A</v>
      </c>
      <c r="X15" t="e">
        <f>#N/A</f>
        <v>#N/A</v>
      </c>
      <c r="Y15" t="s">
        <v>1791</v>
      </c>
    </row>
    <row r="16" spans="1:25" ht="14.5" x14ac:dyDescent="0.35">
      <c r="A16" t="s">
        <v>959</v>
      </c>
      <c r="B16" t="s">
        <v>960</v>
      </c>
      <c r="C16" t="s">
        <v>961</v>
      </c>
      <c r="D16" t="s">
        <v>195</v>
      </c>
      <c r="E16" t="s">
        <v>962</v>
      </c>
      <c r="G16" t="s">
        <v>30</v>
      </c>
      <c r="H16" t="s">
        <v>959</v>
      </c>
      <c r="I16" s="3" t="s">
        <v>963</v>
      </c>
      <c r="J16" t="s">
        <v>964</v>
      </c>
      <c r="K16" t="s">
        <v>33</v>
      </c>
      <c r="M16" t="s">
        <v>965</v>
      </c>
      <c r="Q16" t="s">
        <v>966</v>
      </c>
      <c r="R16" t="s">
        <v>246</v>
      </c>
      <c r="S16" t="s">
        <v>534</v>
      </c>
      <c r="T16" t="s">
        <v>967</v>
      </c>
      <c r="U16" t="s">
        <v>203</v>
      </c>
      <c r="W16" t="str">
        <v>Exploring Teachers’ PCK for Computational Thinking in Context</v>
      </c>
      <c r="X16" t="s">
        <v>960</v>
      </c>
      <c r="Y16" t="s">
        <v>1791</v>
      </c>
    </row>
    <row r="17" spans="1:25" ht="14.5" x14ac:dyDescent="0.35">
      <c r="A17" t="s">
        <v>1846</v>
      </c>
      <c r="B17" t="s">
        <v>1847</v>
      </c>
      <c r="C17" t="s">
        <v>1848</v>
      </c>
      <c r="D17" t="s">
        <v>239</v>
      </c>
      <c r="E17" t="s">
        <v>296</v>
      </c>
      <c r="G17" t="s">
        <v>30</v>
      </c>
      <c r="H17" t="s">
        <v>1846</v>
      </c>
      <c r="I17" s="3" t="s">
        <v>1849</v>
      </c>
      <c r="J17" t="s">
        <v>1850</v>
      </c>
      <c r="K17" t="s">
        <v>33</v>
      </c>
      <c r="L17" t="s">
        <v>1851</v>
      </c>
      <c r="M17" t="s">
        <v>300</v>
      </c>
      <c r="Q17" t="s">
        <v>301</v>
      </c>
      <c r="R17" t="s">
        <v>58</v>
      </c>
      <c r="T17" t="s">
        <v>1852</v>
      </c>
      <c r="U17" t="s">
        <v>292</v>
      </c>
      <c r="W17" t="e">
        <v>#N/A</v>
      </c>
      <c r="X17" t="e">
        <f>#N/A</f>
        <v>#N/A</v>
      </c>
      <c r="Y17" t="s">
        <v>1791</v>
      </c>
    </row>
    <row r="18" spans="1:25" ht="14.5" x14ac:dyDescent="0.35">
      <c r="A18" t="s">
        <v>1853</v>
      </c>
      <c r="B18" t="s">
        <v>1854</v>
      </c>
      <c r="C18" t="s">
        <v>1855</v>
      </c>
      <c r="D18" t="s">
        <v>28</v>
      </c>
      <c r="E18" t="s">
        <v>520</v>
      </c>
      <c r="G18" t="s">
        <v>30</v>
      </c>
      <c r="H18" t="s">
        <v>1853</v>
      </c>
      <c r="I18" s="3" t="s">
        <v>1856</v>
      </c>
      <c r="J18" t="s">
        <v>1857</v>
      </c>
      <c r="K18" t="s">
        <v>33</v>
      </c>
      <c r="L18" t="s">
        <v>1858</v>
      </c>
      <c r="M18" t="s">
        <v>524</v>
      </c>
      <c r="Q18" t="s">
        <v>290</v>
      </c>
      <c r="R18" t="s">
        <v>433</v>
      </c>
      <c r="T18" t="s">
        <v>1859</v>
      </c>
      <c r="U18" t="s">
        <v>292</v>
      </c>
      <c r="W18" t="e">
        <v>#N/A</v>
      </c>
      <c r="X18" t="e">
        <f>#N/A</f>
        <v>#N/A</v>
      </c>
      <c r="Y18" t="s">
        <v>1791</v>
      </c>
    </row>
    <row r="19" spans="1:25" ht="14.5" x14ac:dyDescent="0.35">
      <c r="A19" t="s">
        <v>1860</v>
      </c>
      <c r="B19" t="s">
        <v>1861</v>
      </c>
      <c r="C19" t="s">
        <v>1862</v>
      </c>
      <c r="D19" t="s">
        <v>62</v>
      </c>
      <c r="E19" t="s">
        <v>63</v>
      </c>
      <c r="G19" t="s">
        <v>30</v>
      </c>
      <c r="H19" t="s">
        <v>1860</v>
      </c>
      <c r="I19" s="3" t="s">
        <v>1863</v>
      </c>
      <c r="J19" t="s">
        <v>1864</v>
      </c>
      <c r="K19" t="s">
        <v>33</v>
      </c>
      <c r="L19" t="s">
        <v>1865</v>
      </c>
      <c r="M19" t="s">
        <v>67</v>
      </c>
      <c r="Q19" t="s">
        <v>68</v>
      </c>
      <c r="R19" t="s">
        <v>37</v>
      </c>
      <c r="T19" t="s">
        <v>1866</v>
      </c>
      <c r="U19" t="s">
        <v>71</v>
      </c>
      <c r="W19" t="e">
        <v>#N/A</v>
      </c>
      <c r="X19" t="e">
        <f>#N/A</f>
        <v>#N/A</v>
      </c>
      <c r="Y19" t="s">
        <v>1791</v>
      </c>
    </row>
    <row r="20" spans="1:25" ht="14.5" x14ac:dyDescent="0.35">
      <c r="A20" t="s">
        <v>1867</v>
      </c>
      <c r="B20" t="s">
        <v>1868</v>
      </c>
      <c r="C20" t="s">
        <v>1869</v>
      </c>
      <c r="D20" t="s">
        <v>62</v>
      </c>
      <c r="E20" t="s">
        <v>1870</v>
      </c>
      <c r="G20" t="s">
        <v>30</v>
      </c>
      <c r="H20" t="s">
        <v>1867</v>
      </c>
      <c r="I20" s="3" t="s">
        <v>1871</v>
      </c>
      <c r="J20" t="s">
        <v>1872</v>
      </c>
      <c r="K20" t="s">
        <v>33</v>
      </c>
      <c r="M20" t="s">
        <v>1873</v>
      </c>
      <c r="Q20" t="s">
        <v>1874</v>
      </c>
      <c r="R20" t="s">
        <v>37</v>
      </c>
      <c r="S20" t="s">
        <v>342</v>
      </c>
      <c r="T20" t="s">
        <v>1875</v>
      </c>
      <c r="U20" t="s">
        <v>1876</v>
      </c>
      <c r="W20" t="e">
        <v>#N/A</v>
      </c>
      <c r="X20" t="e">
        <f>#N/A</f>
        <v>#N/A</v>
      </c>
      <c r="Y20" t="s">
        <v>1791</v>
      </c>
    </row>
    <row r="21" spans="1:25" ht="14.5" x14ac:dyDescent="0.35">
      <c r="A21" t="s">
        <v>1877</v>
      </c>
      <c r="B21" t="s">
        <v>1878</v>
      </c>
      <c r="C21" t="s">
        <v>1879</v>
      </c>
      <c r="D21" t="s">
        <v>239</v>
      </c>
      <c r="E21" t="s">
        <v>329</v>
      </c>
      <c r="G21" t="s">
        <v>30</v>
      </c>
      <c r="H21" t="s">
        <v>1877</v>
      </c>
      <c r="I21" s="3" t="s">
        <v>1880</v>
      </c>
      <c r="J21" t="s">
        <v>1881</v>
      </c>
      <c r="K21" t="s">
        <v>33</v>
      </c>
      <c r="L21" t="s">
        <v>1882</v>
      </c>
      <c r="M21" t="s">
        <v>333</v>
      </c>
      <c r="Q21" t="s">
        <v>334</v>
      </c>
      <c r="R21" t="s">
        <v>58</v>
      </c>
      <c r="T21" t="s">
        <v>1883</v>
      </c>
      <c r="U21" t="s">
        <v>336</v>
      </c>
      <c r="W21" t="e">
        <v>#N/A</v>
      </c>
      <c r="X21" t="e">
        <f>#N/A</f>
        <v>#N/A</v>
      </c>
      <c r="Y21" t="s">
        <v>1791</v>
      </c>
    </row>
    <row r="22" spans="1:25" ht="14.5" x14ac:dyDescent="0.35">
      <c r="A22" t="s">
        <v>1884</v>
      </c>
      <c r="B22" t="s">
        <v>1885</v>
      </c>
      <c r="C22" t="s">
        <v>1886</v>
      </c>
      <c r="D22" t="s">
        <v>28</v>
      </c>
      <c r="E22" t="s">
        <v>520</v>
      </c>
      <c r="G22" t="s">
        <v>30</v>
      </c>
      <c r="H22" t="s">
        <v>1884</v>
      </c>
      <c r="I22" s="3" t="s">
        <v>1887</v>
      </c>
      <c r="J22" t="s">
        <v>1888</v>
      </c>
      <c r="K22" t="s">
        <v>33</v>
      </c>
      <c r="L22" t="s">
        <v>1889</v>
      </c>
      <c r="M22" t="s">
        <v>524</v>
      </c>
      <c r="Q22" t="s">
        <v>290</v>
      </c>
      <c r="R22" t="s">
        <v>69</v>
      </c>
      <c r="T22" t="s">
        <v>1890</v>
      </c>
      <c r="U22" t="s">
        <v>292</v>
      </c>
      <c r="W22" t="e">
        <v>#N/A</v>
      </c>
      <c r="X22" t="e">
        <f>#N/A</f>
        <v>#N/A</v>
      </c>
      <c r="Y22" t="s">
        <v>1791</v>
      </c>
    </row>
    <row r="23" spans="1:25" ht="14.5" x14ac:dyDescent="0.35">
      <c r="A23" t="s">
        <v>1891</v>
      </c>
      <c r="B23" t="s">
        <v>1892</v>
      </c>
      <c r="C23" t="s">
        <v>1893</v>
      </c>
      <c r="D23" t="s">
        <v>28</v>
      </c>
      <c r="E23" t="s">
        <v>520</v>
      </c>
      <c r="G23" t="s">
        <v>30</v>
      </c>
      <c r="H23" t="s">
        <v>1891</v>
      </c>
      <c r="I23" s="3" t="s">
        <v>1894</v>
      </c>
      <c r="J23" t="s">
        <v>1895</v>
      </c>
      <c r="K23" t="s">
        <v>33</v>
      </c>
      <c r="L23" t="s">
        <v>1896</v>
      </c>
      <c r="M23" t="s">
        <v>524</v>
      </c>
      <c r="Q23" t="s">
        <v>290</v>
      </c>
      <c r="R23" t="s">
        <v>69</v>
      </c>
      <c r="T23" t="s">
        <v>1897</v>
      </c>
      <c r="U23" t="s">
        <v>292</v>
      </c>
      <c r="W23" t="e">
        <v>#N/A</v>
      </c>
      <c r="X23" t="e">
        <f>#N/A</f>
        <v>#N/A</v>
      </c>
      <c r="Y23" t="s">
        <v>1791</v>
      </c>
    </row>
    <row r="24" spans="1:25" ht="14.5" x14ac:dyDescent="0.35">
      <c r="A24" t="s">
        <v>161</v>
      </c>
      <c r="B24" t="s">
        <v>162</v>
      </c>
      <c r="C24" t="s">
        <v>163</v>
      </c>
      <c r="D24" t="s">
        <v>164</v>
      </c>
      <c r="F24" t="s">
        <v>99</v>
      </c>
      <c r="G24" t="s">
        <v>30</v>
      </c>
      <c r="H24" t="s">
        <v>161</v>
      </c>
      <c r="I24" s="3" t="s">
        <v>165</v>
      </c>
      <c r="J24" t="s">
        <v>166</v>
      </c>
      <c r="K24" t="s">
        <v>33</v>
      </c>
      <c r="O24" t="s">
        <v>167</v>
      </c>
      <c r="P24" t="s">
        <v>69</v>
      </c>
      <c r="R24" t="s">
        <v>36</v>
      </c>
      <c r="S24" t="s">
        <v>168</v>
      </c>
      <c r="T24" t="s">
        <v>169</v>
      </c>
      <c r="V24" t="s">
        <v>170</v>
      </c>
      <c r="W24" t="str">
        <v>Coding with Minecraft: The Development of Middle School Students’ Computational Thinking</v>
      </c>
      <c r="X24" t="s">
        <v>162</v>
      </c>
      <c r="Y24" t="s">
        <v>1791</v>
      </c>
    </row>
    <row r="25" spans="1:25" ht="14.5" x14ac:dyDescent="0.35">
      <c r="A25" t="s">
        <v>1898</v>
      </c>
      <c r="B25" t="s">
        <v>1899</v>
      </c>
      <c r="C25" t="s">
        <v>1900</v>
      </c>
      <c r="D25" t="s">
        <v>28</v>
      </c>
      <c r="E25" t="s">
        <v>520</v>
      </c>
      <c r="G25" t="s">
        <v>30</v>
      </c>
      <c r="H25" t="s">
        <v>1898</v>
      </c>
      <c r="I25" s="3" t="s">
        <v>1901</v>
      </c>
      <c r="J25" t="s">
        <v>1902</v>
      </c>
      <c r="K25" t="s">
        <v>33</v>
      </c>
      <c r="L25" t="s">
        <v>1903</v>
      </c>
      <c r="M25" t="s">
        <v>524</v>
      </c>
      <c r="Q25" t="s">
        <v>290</v>
      </c>
      <c r="R25" t="s">
        <v>69</v>
      </c>
      <c r="T25" t="s">
        <v>1904</v>
      </c>
      <c r="U25" t="s">
        <v>292</v>
      </c>
      <c r="W25" t="e">
        <v>#N/A</v>
      </c>
      <c r="X25" t="e">
        <f>#N/A</f>
        <v>#N/A</v>
      </c>
      <c r="Y25" t="s">
        <v>1791</v>
      </c>
    </row>
    <row r="26" spans="1:25" ht="14.5" x14ac:dyDescent="0.35">
      <c r="A26" t="s">
        <v>1905</v>
      </c>
      <c r="B26" t="s">
        <v>1906</v>
      </c>
      <c r="C26" t="s">
        <v>1907</v>
      </c>
      <c r="D26" t="s">
        <v>43</v>
      </c>
      <c r="E26" t="s">
        <v>141</v>
      </c>
      <c r="G26" t="s">
        <v>30</v>
      </c>
      <c r="H26" t="s">
        <v>1905</v>
      </c>
      <c r="I26" s="3" t="s">
        <v>1908</v>
      </c>
      <c r="J26" t="s">
        <v>1909</v>
      </c>
      <c r="K26" t="s">
        <v>33</v>
      </c>
      <c r="L26" t="s">
        <v>1910</v>
      </c>
      <c r="M26" t="s">
        <v>145</v>
      </c>
      <c r="Q26" t="s">
        <v>146</v>
      </c>
      <c r="R26" t="s">
        <v>58</v>
      </c>
      <c r="T26" t="s">
        <v>1911</v>
      </c>
      <c r="U26" t="s">
        <v>148</v>
      </c>
      <c r="W26" t="e">
        <v>#N/A</v>
      </c>
      <c r="X26" t="e">
        <f>#N/A</f>
        <v>#N/A</v>
      </c>
      <c r="Y26" t="s">
        <v>1791</v>
      </c>
    </row>
    <row r="27" spans="1:25" ht="14.5" x14ac:dyDescent="0.35">
      <c r="A27" t="s">
        <v>1912</v>
      </c>
      <c r="B27" t="s">
        <v>1913</v>
      </c>
      <c r="C27" t="s">
        <v>1914</v>
      </c>
      <c r="D27" t="s">
        <v>164</v>
      </c>
      <c r="E27" t="s">
        <v>1915</v>
      </c>
      <c r="G27" t="s">
        <v>30</v>
      </c>
      <c r="H27" t="s">
        <v>1912</v>
      </c>
      <c r="I27" s="3" t="s">
        <v>1916</v>
      </c>
      <c r="J27" t="s">
        <v>1917</v>
      </c>
      <c r="K27" t="s">
        <v>33</v>
      </c>
      <c r="L27" t="s">
        <v>1918</v>
      </c>
      <c r="M27" t="s">
        <v>1919</v>
      </c>
      <c r="Q27" t="s">
        <v>1920</v>
      </c>
      <c r="R27" t="s">
        <v>58</v>
      </c>
      <c r="T27" t="s">
        <v>1921</v>
      </c>
      <c r="U27" t="s">
        <v>400</v>
      </c>
      <c r="W27" t="e">
        <v>#N/A</v>
      </c>
      <c r="X27" t="e">
        <f>#N/A</f>
        <v>#N/A</v>
      </c>
      <c r="Y27" t="s">
        <v>1791</v>
      </c>
    </row>
    <row r="28" spans="1:25" ht="14.5" x14ac:dyDescent="0.35">
      <c r="A28" t="s">
        <v>1922</v>
      </c>
      <c r="B28" t="s">
        <v>1923</v>
      </c>
      <c r="C28" t="s">
        <v>1924</v>
      </c>
      <c r="D28" t="s">
        <v>164</v>
      </c>
      <c r="E28" t="s">
        <v>404</v>
      </c>
      <c r="G28" t="s">
        <v>30</v>
      </c>
      <c r="H28" t="s">
        <v>1922</v>
      </c>
      <c r="I28" s="3" t="s">
        <v>1925</v>
      </c>
      <c r="J28" t="s">
        <v>1926</v>
      </c>
      <c r="K28" t="s">
        <v>33</v>
      </c>
      <c r="L28" t="s">
        <v>1927</v>
      </c>
      <c r="M28" t="s">
        <v>408</v>
      </c>
      <c r="Q28" t="s">
        <v>409</v>
      </c>
      <c r="R28" t="s">
        <v>58</v>
      </c>
      <c r="T28" t="s">
        <v>1928</v>
      </c>
      <c r="U28" t="s">
        <v>411</v>
      </c>
      <c r="W28" t="e">
        <v>#N/A</v>
      </c>
      <c r="X28" t="e">
        <f>#N/A</f>
        <v>#N/A</v>
      </c>
      <c r="Y28" t="s">
        <v>1791</v>
      </c>
    </row>
    <row r="29" spans="1:25" ht="14.5" x14ac:dyDescent="0.35">
      <c r="A29" t="s">
        <v>1929</v>
      </c>
      <c r="B29" t="s">
        <v>1930</v>
      </c>
      <c r="C29" t="s">
        <v>1931</v>
      </c>
      <c r="D29" t="s">
        <v>98</v>
      </c>
      <c r="E29" t="s">
        <v>1932</v>
      </c>
      <c r="G29" t="s">
        <v>30</v>
      </c>
      <c r="H29" t="s">
        <v>1929</v>
      </c>
      <c r="I29" s="3" t="s">
        <v>1933</v>
      </c>
      <c r="J29" t="s">
        <v>1934</v>
      </c>
      <c r="K29" t="s">
        <v>33</v>
      </c>
      <c r="M29" t="s">
        <v>1935</v>
      </c>
      <c r="Q29" t="s">
        <v>1936</v>
      </c>
      <c r="R29" t="s">
        <v>58</v>
      </c>
      <c r="S29" t="s">
        <v>1937</v>
      </c>
      <c r="T29" t="s">
        <v>1938</v>
      </c>
      <c r="U29" t="s">
        <v>137</v>
      </c>
      <c r="W29" t="e">
        <v>#N/A</v>
      </c>
      <c r="X29" t="e">
        <f>#N/A</f>
        <v>#N/A</v>
      </c>
      <c r="Y29" t="s">
        <v>1791</v>
      </c>
    </row>
    <row r="30" spans="1:25" ht="14.5" x14ac:dyDescent="0.35">
      <c r="A30" t="s">
        <v>868</v>
      </c>
      <c r="B30" t="s">
        <v>869</v>
      </c>
      <c r="C30" t="s">
        <v>870</v>
      </c>
      <c r="D30" t="s">
        <v>62</v>
      </c>
      <c r="F30" t="s">
        <v>99</v>
      </c>
      <c r="G30" t="s">
        <v>30</v>
      </c>
      <c r="H30" t="s">
        <v>868</v>
      </c>
      <c r="I30" s="3" t="s">
        <v>871</v>
      </c>
      <c r="J30" t="s">
        <v>872</v>
      </c>
      <c r="K30" t="s">
        <v>33</v>
      </c>
      <c r="O30" t="s">
        <v>618</v>
      </c>
      <c r="P30" t="s">
        <v>533</v>
      </c>
      <c r="R30" t="s">
        <v>874</v>
      </c>
      <c r="S30" t="s">
        <v>873</v>
      </c>
      <c r="T30" t="s">
        <v>875</v>
      </c>
      <c r="V30" t="s">
        <v>876</v>
      </c>
      <c r="W30" t="str">
        <v>Teacher Education to Integrate Computational Thinking into Elementary Science: A Design-Based Research Study</v>
      </c>
      <c r="X30" t="s">
        <v>869</v>
      </c>
      <c r="Y30" t="s">
        <v>1791</v>
      </c>
    </row>
    <row r="31" spans="1:25" ht="14.5" x14ac:dyDescent="0.35">
      <c r="A31" t="s">
        <v>1939</v>
      </c>
      <c r="B31" t="s">
        <v>1940</v>
      </c>
      <c r="C31" t="s">
        <v>1941</v>
      </c>
      <c r="D31" t="s">
        <v>239</v>
      </c>
      <c r="E31" t="s">
        <v>296</v>
      </c>
      <c r="G31" t="s">
        <v>30</v>
      </c>
      <c r="H31" t="s">
        <v>1939</v>
      </c>
      <c r="I31" s="3" t="s">
        <v>1942</v>
      </c>
      <c r="J31" t="s">
        <v>1943</v>
      </c>
      <c r="K31" t="s">
        <v>33</v>
      </c>
      <c r="L31" t="s">
        <v>1944</v>
      </c>
      <c r="M31" t="s">
        <v>300</v>
      </c>
      <c r="Q31" t="s">
        <v>301</v>
      </c>
      <c r="R31" t="s">
        <v>37</v>
      </c>
      <c r="T31" t="s">
        <v>1945</v>
      </c>
      <c r="U31" t="s">
        <v>292</v>
      </c>
      <c r="W31" t="e">
        <v>#N/A</v>
      </c>
      <c r="X31" t="e">
        <f>#N/A</f>
        <v>#N/A</v>
      </c>
      <c r="Y31" t="s">
        <v>1791</v>
      </c>
    </row>
    <row r="32" spans="1:25" ht="14.5" x14ac:dyDescent="0.35">
      <c r="A32" t="s">
        <v>1946</v>
      </c>
      <c r="B32" t="s">
        <v>1947</v>
      </c>
      <c r="C32" t="s">
        <v>194</v>
      </c>
      <c r="D32" t="s">
        <v>239</v>
      </c>
      <c r="E32" t="s">
        <v>296</v>
      </c>
      <c r="G32" t="s">
        <v>30</v>
      </c>
      <c r="H32" t="s">
        <v>1946</v>
      </c>
      <c r="I32" s="3" t="s">
        <v>1948</v>
      </c>
      <c r="J32" t="s">
        <v>1949</v>
      </c>
      <c r="K32" t="s">
        <v>33</v>
      </c>
      <c r="L32" t="s">
        <v>1950</v>
      </c>
      <c r="M32" t="s">
        <v>300</v>
      </c>
      <c r="Q32" t="s">
        <v>301</v>
      </c>
      <c r="R32" t="s">
        <v>37</v>
      </c>
      <c r="T32" t="s">
        <v>1951</v>
      </c>
      <c r="U32" t="s">
        <v>292</v>
      </c>
      <c r="W32" t="e">
        <v>#N/A</v>
      </c>
      <c r="X32" t="e">
        <f>#N/A</f>
        <v>#N/A</v>
      </c>
      <c r="Y32" t="s">
        <v>1791</v>
      </c>
    </row>
    <row r="33" spans="1:25" ht="14.5" x14ac:dyDescent="0.35">
      <c r="A33" t="s">
        <v>1952</v>
      </c>
      <c r="B33" t="s">
        <v>1953</v>
      </c>
      <c r="C33" t="s">
        <v>1954</v>
      </c>
      <c r="D33" t="s">
        <v>62</v>
      </c>
      <c r="E33" t="s">
        <v>1955</v>
      </c>
      <c r="G33" t="s">
        <v>30</v>
      </c>
      <c r="H33" t="s">
        <v>1952</v>
      </c>
      <c r="I33" s="3" t="s">
        <v>1956</v>
      </c>
      <c r="J33" t="s">
        <v>1957</v>
      </c>
      <c r="K33" t="s">
        <v>33</v>
      </c>
      <c r="L33" t="s">
        <v>1958</v>
      </c>
      <c r="M33" t="s">
        <v>1959</v>
      </c>
      <c r="Q33" t="s">
        <v>279</v>
      </c>
      <c r="R33" t="s">
        <v>37</v>
      </c>
      <c r="T33" t="s">
        <v>1960</v>
      </c>
      <c r="U33" t="s">
        <v>281</v>
      </c>
      <c r="W33" t="e">
        <v>#N/A</v>
      </c>
      <c r="X33" t="e">
        <f>#N/A</f>
        <v>#N/A</v>
      </c>
      <c r="Y33" t="s">
        <v>1791</v>
      </c>
    </row>
    <row r="34" spans="1:25" ht="14.5" x14ac:dyDescent="0.35">
      <c r="A34" t="s">
        <v>1961</v>
      </c>
      <c r="B34" t="s">
        <v>1962</v>
      </c>
      <c r="C34" t="s">
        <v>1963</v>
      </c>
      <c r="D34" t="s">
        <v>62</v>
      </c>
      <c r="E34" t="s">
        <v>679</v>
      </c>
      <c r="G34" t="s">
        <v>30</v>
      </c>
      <c r="H34" t="s">
        <v>1961</v>
      </c>
      <c r="I34" s="3" t="s">
        <v>1964</v>
      </c>
      <c r="J34" t="s">
        <v>1965</v>
      </c>
      <c r="K34" t="s">
        <v>33</v>
      </c>
      <c r="L34" t="s">
        <v>1966</v>
      </c>
      <c r="M34" t="s">
        <v>683</v>
      </c>
      <c r="Q34" t="s">
        <v>684</v>
      </c>
      <c r="R34" t="s">
        <v>58</v>
      </c>
      <c r="T34" t="s">
        <v>1967</v>
      </c>
      <c r="U34" t="s">
        <v>686</v>
      </c>
      <c r="W34" t="e">
        <v>#N/A</v>
      </c>
      <c r="X34" t="e">
        <f>#N/A</f>
        <v>#N/A</v>
      </c>
      <c r="Y34" t="s">
        <v>1791</v>
      </c>
    </row>
    <row r="35" spans="1:25" ht="14.5" x14ac:dyDescent="0.35">
      <c r="A35" t="s">
        <v>1968</v>
      </c>
      <c r="B35" t="s">
        <v>1969</v>
      </c>
      <c r="C35" t="s">
        <v>1970</v>
      </c>
      <c r="D35" t="s">
        <v>43</v>
      </c>
      <c r="E35" t="s">
        <v>44</v>
      </c>
      <c r="G35" t="s">
        <v>30</v>
      </c>
      <c r="H35" t="s">
        <v>1968</v>
      </c>
      <c r="I35" s="3" t="s">
        <v>1971</v>
      </c>
      <c r="J35" t="s">
        <v>1972</v>
      </c>
      <c r="K35" t="s">
        <v>33</v>
      </c>
      <c r="L35" t="s">
        <v>1973</v>
      </c>
      <c r="M35" t="s">
        <v>48</v>
      </c>
      <c r="Q35" t="s">
        <v>49</v>
      </c>
      <c r="R35" t="s">
        <v>398</v>
      </c>
      <c r="T35" t="s">
        <v>1974</v>
      </c>
      <c r="U35" t="s">
        <v>52</v>
      </c>
      <c r="W35" t="e">
        <v>#N/A</v>
      </c>
      <c r="X35" t="e">
        <f>#N/A</f>
        <v>#N/A</v>
      </c>
      <c r="Y35" t="s">
        <v>1791</v>
      </c>
    </row>
    <row r="36" spans="1:25" ht="14.5" x14ac:dyDescent="0.35">
      <c r="A36" t="s">
        <v>442</v>
      </c>
      <c r="B36" t="s">
        <v>443</v>
      </c>
      <c r="C36" t="s">
        <v>444</v>
      </c>
      <c r="D36" t="s">
        <v>164</v>
      </c>
      <c r="E36" t="s">
        <v>445</v>
      </c>
      <c r="G36" t="s">
        <v>30</v>
      </c>
      <c r="I36" s="3" t="s">
        <v>446</v>
      </c>
      <c r="J36" t="s">
        <v>447</v>
      </c>
      <c r="K36" t="s">
        <v>33</v>
      </c>
      <c r="L36" t="s">
        <v>448</v>
      </c>
      <c r="M36" t="s">
        <v>449</v>
      </c>
      <c r="R36" t="s">
        <v>81</v>
      </c>
      <c r="W36" t="str">
        <v>Coding as another language: computational thinking, robotics and literacy in first and second grade</v>
      </c>
      <c r="X36" t="s">
        <v>443</v>
      </c>
      <c r="Y36" t="s">
        <v>1791</v>
      </c>
    </row>
    <row r="37" spans="1:25" ht="14.5" x14ac:dyDescent="0.35">
      <c r="A37" t="s">
        <v>1975</v>
      </c>
      <c r="B37" t="s">
        <v>1976</v>
      </c>
      <c r="C37" t="s">
        <v>1977</v>
      </c>
      <c r="D37" t="s">
        <v>98</v>
      </c>
      <c r="E37" t="s">
        <v>551</v>
      </c>
      <c r="G37" t="s">
        <v>30</v>
      </c>
      <c r="H37" t="s">
        <v>1975</v>
      </c>
      <c r="I37" s="3" t="s">
        <v>1978</v>
      </c>
      <c r="J37" t="s">
        <v>1979</v>
      </c>
      <c r="K37" t="s">
        <v>33</v>
      </c>
      <c r="L37" t="s">
        <v>1910</v>
      </c>
      <c r="M37" t="s">
        <v>555</v>
      </c>
      <c r="Q37" t="s">
        <v>556</v>
      </c>
      <c r="R37" t="s">
        <v>58</v>
      </c>
      <c r="T37" t="s">
        <v>1980</v>
      </c>
      <c r="U37" t="s">
        <v>137</v>
      </c>
      <c r="W37" t="e">
        <v>#N/A</v>
      </c>
      <c r="X37" t="e">
        <f>#N/A</f>
        <v>#N/A</v>
      </c>
      <c r="Y37" t="s">
        <v>1791</v>
      </c>
    </row>
    <row r="38" spans="1:25" ht="14.5" x14ac:dyDescent="0.35">
      <c r="A38" t="s">
        <v>1981</v>
      </c>
      <c r="B38" t="s">
        <v>1982</v>
      </c>
      <c r="C38" t="s">
        <v>1983</v>
      </c>
      <c r="D38" t="s">
        <v>62</v>
      </c>
      <c r="E38" t="s">
        <v>1984</v>
      </c>
      <c r="G38" t="s">
        <v>30</v>
      </c>
      <c r="H38" t="s">
        <v>1981</v>
      </c>
      <c r="I38" s="3" t="s">
        <v>1985</v>
      </c>
      <c r="J38" t="s">
        <v>1986</v>
      </c>
      <c r="K38" t="s">
        <v>33</v>
      </c>
      <c r="L38" t="s">
        <v>1987</v>
      </c>
      <c r="M38" t="s">
        <v>1988</v>
      </c>
      <c r="Q38" t="s">
        <v>1989</v>
      </c>
      <c r="R38" t="s">
        <v>58</v>
      </c>
      <c r="T38" t="s">
        <v>1990</v>
      </c>
      <c r="U38" t="s">
        <v>1991</v>
      </c>
      <c r="W38" t="e">
        <v>#N/A</v>
      </c>
      <c r="X38" t="e">
        <f>#N/A</f>
        <v>#N/A</v>
      </c>
      <c r="Y38" t="s">
        <v>1791</v>
      </c>
    </row>
    <row r="39" spans="1:25" ht="14.5" x14ac:dyDescent="0.35">
      <c r="A39" t="s">
        <v>236</v>
      </c>
      <c r="B39" t="s">
        <v>237</v>
      </c>
      <c r="C39" t="s">
        <v>238</v>
      </c>
      <c r="D39" t="s">
        <v>239</v>
      </c>
      <c r="E39" t="s">
        <v>240</v>
      </c>
      <c r="G39" t="s">
        <v>30</v>
      </c>
      <c r="H39" t="s">
        <v>236</v>
      </c>
      <c r="I39" s="3" t="s">
        <v>241</v>
      </c>
      <c r="J39" t="s">
        <v>242</v>
      </c>
      <c r="K39" t="s">
        <v>33</v>
      </c>
      <c r="L39" t="s">
        <v>243</v>
      </c>
      <c r="M39" t="s">
        <v>244</v>
      </c>
      <c r="Q39" t="s">
        <v>245</v>
      </c>
      <c r="R39" t="s">
        <v>246</v>
      </c>
      <c r="T39" t="s">
        <v>247</v>
      </c>
      <c r="U39" t="s">
        <v>248</v>
      </c>
      <c r="W39" t="str">
        <v>Progression Of Computational Thinking Skills In Swedish Compulsory Schools With Block-based Programming</v>
      </c>
      <c r="X39" t="s">
        <v>237</v>
      </c>
      <c r="Y39" t="s">
        <v>1791</v>
      </c>
    </row>
    <row r="40" spans="1:25" ht="14.5" x14ac:dyDescent="0.35">
      <c r="A40" t="s">
        <v>1082</v>
      </c>
      <c r="B40" t="s">
        <v>1083</v>
      </c>
      <c r="C40" t="s">
        <v>1084</v>
      </c>
      <c r="D40" t="s">
        <v>239</v>
      </c>
      <c r="E40" t="s">
        <v>1085</v>
      </c>
      <c r="G40" t="s">
        <v>30</v>
      </c>
      <c r="H40" t="s">
        <v>1082</v>
      </c>
      <c r="I40" s="3" t="s">
        <v>1086</v>
      </c>
      <c r="J40" t="s">
        <v>1087</v>
      </c>
      <c r="K40" t="s">
        <v>33</v>
      </c>
      <c r="L40" t="s">
        <v>1088</v>
      </c>
      <c r="M40" t="s">
        <v>1089</v>
      </c>
      <c r="Q40" t="s">
        <v>1090</v>
      </c>
      <c r="R40" t="s">
        <v>135</v>
      </c>
      <c r="U40" t="s">
        <v>1091</v>
      </c>
      <c r="W40" t="str">
        <v>Assessing the Current Level of the Computational Thinking Within the Primary and Lower Secondary School Students using Educational Robotics Tasks</v>
      </c>
      <c r="X40" t="s">
        <v>1083</v>
      </c>
      <c r="Y40" t="s">
        <v>1791</v>
      </c>
    </row>
    <row r="41" spans="1:25" ht="14.5" x14ac:dyDescent="0.35">
      <c r="A41" t="s">
        <v>488</v>
      </c>
      <c r="B41" t="s">
        <v>489</v>
      </c>
      <c r="C41" t="s">
        <v>490</v>
      </c>
      <c r="D41" t="s">
        <v>43</v>
      </c>
      <c r="E41" t="s">
        <v>491</v>
      </c>
      <c r="G41" t="s">
        <v>30</v>
      </c>
      <c r="H41" t="s">
        <v>488</v>
      </c>
      <c r="I41" s="3" t="s">
        <v>492</v>
      </c>
      <c r="J41" t="s">
        <v>493</v>
      </c>
      <c r="K41" t="s">
        <v>33</v>
      </c>
      <c r="M41" t="s">
        <v>494</v>
      </c>
      <c r="Q41" t="s">
        <v>495</v>
      </c>
      <c r="R41" t="s">
        <v>246</v>
      </c>
      <c r="S41" t="s">
        <v>379</v>
      </c>
      <c r="T41" t="s">
        <v>496</v>
      </c>
      <c r="U41" t="s">
        <v>259</v>
      </c>
      <c r="W41" t="str">
        <v>A Systematic Review of Computational Thinking Approach for Programming Education in Higher Education Institutions</v>
      </c>
      <c r="X41" t="s">
        <v>489</v>
      </c>
      <c r="Y41" t="s">
        <v>1791</v>
      </c>
    </row>
    <row r="42" spans="1:25" ht="14.5" x14ac:dyDescent="0.35">
      <c r="A42" t="s">
        <v>1992</v>
      </c>
      <c r="B42" t="s">
        <v>1993</v>
      </c>
      <c r="C42" t="s">
        <v>1994</v>
      </c>
      <c r="D42" t="s">
        <v>43</v>
      </c>
      <c r="E42" t="s">
        <v>1995</v>
      </c>
      <c r="G42" t="s">
        <v>30</v>
      </c>
      <c r="H42" t="s">
        <v>1992</v>
      </c>
      <c r="I42" s="3" t="s">
        <v>1996</v>
      </c>
      <c r="J42" t="s">
        <v>1997</v>
      </c>
      <c r="K42" t="s">
        <v>33</v>
      </c>
      <c r="L42" t="s">
        <v>1998</v>
      </c>
      <c r="M42" t="s">
        <v>1999</v>
      </c>
      <c r="Q42" t="s">
        <v>2000</v>
      </c>
      <c r="R42" t="s">
        <v>58</v>
      </c>
      <c r="T42" t="s">
        <v>2001</v>
      </c>
      <c r="U42" t="s">
        <v>2002</v>
      </c>
      <c r="W42" t="e">
        <v>#N/A</v>
      </c>
      <c r="X42" t="e">
        <f>#N/A</f>
        <v>#N/A</v>
      </c>
      <c r="Y42" t="s">
        <v>1791</v>
      </c>
    </row>
    <row r="43" spans="1:25" ht="14.5" x14ac:dyDescent="0.35">
      <c r="A43" t="s">
        <v>1526</v>
      </c>
      <c r="B43" t="s">
        <v>1527</v>
      </c>
      <c r="C43" t="s">
        <v>1528</v>
      </c>
      <c r="D43" t="s">
        <v>43</v>
      </c>
      <c r="E43" t="s">
        <v>141</v>
      </c>
      <c r="G43" t="s">
        <v>30</v>
      </c>
      <c r="H43" t="s">
        <v>1526</v>
      </c>
      <c r="I43" s="3" t="s">
        <v>1529</v>
      </c>
      <c r="J43" t="s">
        <v>1530</v>
      </c>
      <c r="K43" t="s">
        <v>33</v>
      </c>
      <c r="L43" t="s">
        <v>1531</v>
      </c>
      <c r="M43" t="s">
        <v>145</v>
      </c>
      <c r="Q43" t="s">
        <v>146</v>
      </c>
      <c r="R43" t="s">
        <v>58</v>
      </c>
      <c r="T43" t="s">
        <v>1532</v>
      </c>
      <c r="U43" t="s">
        <v>148</v>
      </c>
      <c r="W43" t="str">
        <v>PRADA: A Practical Model for Integrating Computational Thinking in K-12 Education</v>
      </c>
      <c r="X43" t="s">
        <v>1527</v>
      </c>
      <c r="Y43" t="s">
        <v>1791</v>
      </c>
    </row>
    <row r="44" spans="1:25" ht="14.5" x14ac:dyDescent="0.35">
      <c r="A44" t="s">
        <v>337</v>
      </c>
      <c r="B44" t="s">
        <v>338</v>
      </c>
      <c r="C44" t="s">
        <v>339</v>
      </c>
      <c r="D44" t="s">
        <v>195</v>
      </c>
      <c r="F44" t="s">
        <v>99</v>
      </c>
      <c r="G44" t="s">
        <v>30</v>
      </c>
      <c r="H44" t="s">
        <v>337</v>
      </c>
      <c r="I44" s="3" t="s">
        <v>340</v>
      </c>
      <c r="J44" t="s">
        <v>341</v>
      </c>
      <c r="K44" t="s">
        <v>33</v>
      </c>
      <c r="O44" t="s">
        <v>167</v>
      </c>
      <c r="P44" t="s">
        <v>69</v>
      </c>
      <c r="R44" t="s">
        <v>342</v>
      </c>
      <c r="S44" t="s">
        <v>180</v>
      </c>
      <c r="T44" t="s">
        <v>343</v>
      </c>
      <c r="V44" t="s">
        <v>170</v>
      </c>
      <c r="W44" t="str">
        <v>Beyond Programming: A Computer-Based Assessment of Computational Thinking Competency</v>
      </c>
      <c r="X44" t="s">
        <v>338</v>
      </c>
      <c r="Y44" t="s">
        <v>1791</v>
      </c>
    </row>
    <row r="45" spans="1:25" ht="14.5" x14ac:dyDescent="0.35">
      <c r="A45" t="s">
        <v>2003</v>
      </c>
      <c r="B45" t="s">
        <v>2004</v>
      </c>
      <c r="C45" t="s">
        <v>2005</v>
      </c>
      <c r="D45" t="s">
        <v>239</v>
      </c>
      <c r="E45" t="s">
        <v>2006</v>
      </c>
      <c r="G45" t="s">
        <v>30</v>
      </c>
      <c r="H45" t="s">
        <v>2003</v>
      </c>
      <c r="I45" s="3" t="s">
        <v>2007</v>
      </c>
      <c r="J45" t="s">
        <v>2008</v>
      </c>
      <c r="K45" t="s">
        <v>33</v>
      </c>
      <c r="L45" t="s">
        <v>2009</v>
      </c>
      <c r="M45" t="s">
        <v>2010</v>
      </c>
      <c r="Q45" t="s">
        <v>2011</v>
      </c>
      <c r="R45" t="s">
        <v>58</v>
      </c>
      <c r="T45" t="s">
        <v>2012</v>
      </c>
      <c r="U45" t="s">
        <v>2013</v>
      </c>
      <c r="W45" t="e">
        <v>#N/A</v>
      </c>
      <c r="X45" t="e">
        <f>#N/A</f>
        <v>#N/A</v>
      </c>
      <c r="Y45" t="s">
        <v>1791</v>
      </c>
    </row>
    <row r="46" spans="1:25" ht="14.5" x14ac:dyDescent="0.35">
      <c r="A46" t="s">
        <v>2014</v>
      </c>
      <c r="B46" t="s">
        <v>2015</v>
      </c>
      <c r="C46" t="s">
        <v>2016</v>
      </c>
      <c r="D46" t="s">
        <v>28</v>
      </c>
      <c r="E46" t="s">
        <v>87</v>
      </c>
      <c r="G46" t="s">
        <v>30</v>
      </c>
      <c r="H46" t="s">
        <v>2014</v>
      </c>
      <c r="I46" s="3" t="s">
        <v>2017</v>
      </c>
      <c r="J46" t="s">
        <v>2018</v>
      </c>
      <c r="K46" t="s">
        <v>33</v>
      </c>
      <c r="M46" t="s">
        <v>90</v>
      </c>
      <c r="Q46" t="s">
        <v>91</v>
      </c>
      <c r="R46" t="s">
        <v>69</v>
      </c>
      <c r="S46" t="s">
        <v>257</v>
      </c>
      <c r="T46" t="s">
        <v>2019</v>
      </c>
      <c r="U46" t="s">
        <v>94</v>
      </c>
      <c r="W46" t="e">
        <v>#N/A</v>
      </c>
      <c r="X46" t="e">
        <f>#N/A</f>
        <v>#N/A</v>
      </c>
      <c r="Y46" t="s">
        <v>1791</v>
      </c>
    </row>
    <row r="47" spans="1:25" ht="14.5" x14ac:dyDescent="0.35">
      <c r="A47" t="s">
        <v>2020</v>
      </c>
      <c r="B47" t="s">
        <v>2021</v>
      </c>
      <c r="C47" t="s">
        <v>2022</v>
      </c>
      <c r="D47" t="s">
        <v>263</v>
      </c>
      <c r="E47" t="s">
        <v>2023</v>
      </c>
      <c r="G47" t="s">
        <v>30</v>
      </c>
      <c r="H47" t="s">
        <v>2020</v>
      </c>
      <c r="I47" s="3" t="s">
        <v>2024</v>
      </c>
      <c r="J47" t="s">
        <v>2025</v>
      </c>
      <c r="K47" t="s">
        <v>33</v>
      </c>
      <c r="L47" t="s">
        <v>2026</v>
      </c>
      <c r="M47" t="s">
        <v>2027</v>
      </c>
      <c r="Q47" t="s">
        <v>2028</v>
      </c>
      <c r="R47" t="s">
        <v>37</v>
      </c>
      <c r="T47" t="s">
        <v>2029</v>
      </c>
      <c r="U47" t="s">
        <v>2030</v>
      </c>
      <c r="W47" t="e">
        <v>#N/A</v>
      </c>
      <c r="X47" t="e">
        <f>#N/A</f>
        <v>#N/A</v>
      </c>
      <c r="Y47" t="s">
        <v>1791</v>
      </c>
    </row>
    <row r="48" spans="1:25" ht="14.5" x14ac:dyDescent="0.35">
      <c r="A48" t="s">
        <v>2031</v>
      </c>
      <c r="B48" t="s">
        <v>2032</v>
      </c>
      <c r="C48" t="s">
        <v>2033</v>
      </c>
      <c r="D48" t="s">
        <v>239</v>
      </c>
      <c r="E48" t="s">
        <v>296</v>
      </c>
      <c r="G48" t="s">
        <v>30</v>
      </c>
      <c r="H48" t="s">
        <v>2031</v>
      </c>
      <c r="I48" s="3" t="s">
        <v>2034</v>
      </c>
      <c r="J48" t="s">
        <v>2035</v>
      </c>
      <c r="K48" t="s">
        <v>33</v>
      </c>
      <c r="L48" t="s">
        <v>2036</v>
      </c>
      <c r="M48" t="s">
        <v>300</v>
      </c>
      <c r="Q48" t="s">
        <v>301</v>
      </c>
      <c r="R48" t="s">
        <v>58</v>
      </c>
      <c r="T48" t="s">
        <v>2037</v>
      </c>
      <c r="U48" t="s">
        <v>292</v>
      </c>
      <c r="W48" t="e">
        <v>#N/A</v>
      </c>
      <c r="X48" t="e">
        <f>#N/A</f>
        <v>#N/A</v>
      </c>
      <c r="Y48" t="s">
        <v>1791</v>
      </c>
    </row>
    <row r="49" spans="1:25" ht="14.5" x14ac:dyDescent="0.35">
      <c r="A49" t="s">
        <v>2038</v>
      </c>
      <c r="B49" t="s">
        <v>2039</v>
      </c>
      <c r="C49" t="s">
        <v>2040</v>
      </c>
      <c r="D49" t="s">
        <v>164</v>
      </c>
      <c r="E49" t="s">
        <v>445</v>
      </c>
      <c r="G49" t="s">
        <v>30</v>
      </c>
      <c r="I49" s="3" t="s">
        <v>2041</v>
      </c>
      <c r="K49" t="s">
        <v>33</v>
      </c>
      <c r="L49" t="s">
        <v>2042</v>
      </c>
      <c r="M49" t="s">
        <v>449</v>
      </c>
      <c r="W49" t="e">
        <v>#N/A</v>
      </c>
      <c r="X49" t="e">
        <f>#N/A</f>
        <v>#N/A</v>
      </c>
      <c r="Y49" t="s">
        <v>1791</v>
      </c>
    </row>
    <row r="50" spans="1:25" ht="14.5" x14ac:dyDescent="0.35">
      <c r="A50" t="s">
        <v>2043</v>
      </c>
      <c r="B50" t="s">
        <v>2044</v>
      </c>
      <c r="C50" t="s">
        <v>2045</v>
      </c>
      <c r="D50" t="s">
        <v>62</v>
      </c>
      <c r="E50" t="s">
        <v>2046</v>
      </c>
      <c r="G50" t="s">
        <v>30</v>
      </c>
      <c r="H50" t="s">
        <v>2043</v>
      </c>
      <c r="I50" s="3" t="s">
        <v>2047</v>
      </c>
      <c r="J50" t="s">
        <v>2048</v>
      </c>
      <c r="K50" t="s">
        <v>33</v>
      </c>
      <c r="L50" t="s">
        <v>2049</v>
      </c>
      <c r="M50" t="s">
        <v>2050</v>
      </c>
      <c r="Q50" t="s">
        <v>2051</v>
      </c>
      <c r="R50" t="s">
        <v>58</v>
      </c>
      <c r="T50" t="s">
        <v>2052</v>
      </c>
      <c r="U50" t="s">
        <v>235</v>
      </c>
      <c r="W50" t="e">
        <v>#N/A</v>
      </c>
      <c r="X50" t="e">
        <f>#N/A</f>
        <v>#N/A</v>
      </c>
      <c r="Y50" t="s">
        <v>1791</v>
      </c>
    </row>
    <row r="51" spans="1:25" ht="14.5" x14ac:dyDescent="0.35">
      <c r="A51" t="s">
        <v>2053</v>
      </c>
      <c r="B51" t="s">
        <v>2054</v>
      </c>
      <c r="C51" t="s">
        <v>2055</v>
      </c>
      <c r="D51" t="s">
        <v>98</v>
      </c>
      <c r="F51" t="s">
        <v>99</v>
      </c>
      <c r="G51" t="s">
        <v>30</v>
      </c>
      <c r="H51" t="s">
        <v>2053</v>
      </c>
      <c r="I51" s="3" t="s">
        <v>2056</v>
      </c>
      <c r="J51" t="s">
        <v>2057</v>
      </c>
      <c r="K51" t="s">
        <v>33</v>
      </c>
      <c r="O51" t="s">
        <v>2058</v>
      </c>
      <c r="P51" t="s">
        <v>533</v>
      </c>
      <c r="R51" t="s">
        <v>167</v>
      </c>
      <c r="S51" t="s">
        <v>2059</v>
      </c>
      <c r="T51" t="s">
        <v>2060</v>
      </c>
      <c r="V51" t="s">
        <v>2061</v>
      </c>
      <c r="W51" t="e">
        <v>#N/A</v>
      </c>
      <c r="X51" t="e">
        <f>#N/A</f>
        <v>#N/A</v>
      </c>
      <c r="Y51" t="s">
        <v>1791</v>
      </c>
    </row>
    <row r="52" spans="1:25" ht="14.5" x14ac:dyDescent="0.35">
      <c r="A52" t="s">
        <v>2062</v>
      </c>
      <c r="B52" t="s">
        <v>2063</v>
      </c>
      <c r="C52" t="s">
        <v>2064</v>
      </c>
      <c r="D52" t="s">
        <v>164</v>
      </c>
      <c r="E52" t="s">
        <v>445</v>
      </c>
      <c r="G52" t="s">
        <v>30</v>
      </c>
      <c r="I52" s="3" t="s">
        <v>2065</v>
      </c>
      <c r="J52" t="s">
        <v>2066</v>
      </c>
      <c r="K52" t="s">
        <v>33</v>
      </c>
      <c r="L52" t="s">
        <v>926</v>
      </c>
      <c r="M52" t="s">
        <v>449</v>
      </c>
      <c r="R52" t="s">
        <v>246</v>
      </c>
      <c r="W52" t="e">
        <v>#N/A</v>
      </c>
      <c r="X52" t="e">
        <f>#N/A</f>
        <v>#N/A</v>
      </c>
      <c r="Y52" t="s">
        <v>1791</v>
      </c>
    </row>
    <row r="53" spans="1:25" ht="14.5" x14ac:dyDescent="0.35">
      <c r="A53" t="s">
        <v>2067</v>
      </c>
      <c r="B53" t="s">
        <v>2068</v>
      </c>
      <c r="C53" t="s">
        <v>2069</v>
      </c>
      <c r="D53" t="s">
        <v>263</v>
      </c>
      <c r="E53" t="s">
        <v>2070</v>
      </c>
      <c r="G53" t="s">
        <v>30</v>
      </c>
      <c r="H53" t="s">
        <v>2067</v>
      </c>
      <c r="I53" s="3" t="s">
        <v>2071</v>
      </c>
      <c r="J53" t="s">
        <v>2072</v>
      </c>
      <c r="K53" t="s">
        <v>33</v>
      </c>
      <c r="L53" t="s">
        <v>2073</v>
      </c>
      <c r="M53" t="s">
        <v>2074</v>
      </c>
      <c r="Q53" t="s">
        <v>2075</v>
      </c>
      <c r="R53" t="s">
        <v>50</v>
      </c>
      <c r="T53" t="s">
        <v>2076</v>
      </c>
      <c r="U53" t="s">
        <v>314</v>
      </c>
      <c r="W53" t="e">
        <v>#N/A</v>
      </c>
      <c r="X53" t="e">
        <f>#N/A</f>
        <v>#N/A</v>
      </c>
      <c r="Y53" t="s">
        <v>1791</v>
      </c>
    </row>
    <row r="54" spans="1:25" ht="14.5" x14ac:dyDescent="0.35">
      <c r="A54" t="s">
        <v>2077</v>
      </c>
      <c r="B54" t="s">
        <v>2078</v>
      </c>
      <c r="C54" t="s">
        <v>2079</v>
      </c>
      <c r="D54" t="s">
        <v>263</v>
      </c>
      <c r="E54" t="s">
        <v>2023</v>
      </c>
      <c r="G54" t="s">
        <v>30</v>
      </c>
      <c r="H54" t="s">
        <v>2077</v>
      </c>
      <c r="I54" s="3" t="s">
        <v>2080</v>
      </c>
      <c r="J54" t="s">
        <v>2081</v>
      </c>
      <c r="K54" t="s">
        <v>33</v>
      </c>
      <c r="L54" t="s">
        <v>2082</v>
      </c>
      <c r="M54" t="s">
        <v>2027</v>
      </c>
      <c r="Q54" t="s">
        <v>2028</v>
      </c>
      <c r="R54" t="s">
        <v>50</v>
      </c>
      <c r="T54" t="s">
        <v>2083</v>
      </c>
      <c r="U54" t="s">
        <v>2030</v>
      </c>
      <c r="W54" t="e">
        <v>#N/A</v>
      </c>
      <c r="X54" t="e">
        <f>#N/A</f>
        <v>#N/A</v>
      </c>
      <c r="Y54" t="s">
        <v>1791</v>
      </c>
    </row>
    <row r="55" spans="1:25" ht="14.5" x14ac:dyDescent="0.35">
      <c r="A55" t="s">
        <v>2084</v>
      </c>
      <c r="B55" t="s">
        <v>2085</v>
      </c>
      <c r="C55" t="s">
        <v>2086</v>
      </c>
      <c r="D55" t="s">
        <v>306</v>
      </c>
      <c r="E55" t="s">
        <v>2087</v>
      </c>
      <c r="G55" t="s">
        <v>30</v>
      </c>
      <c r="H55" t="s">
        <v>2084</v>
      </c>
      <c r="I55" s="3" t="s">
        <v>2088</v>
      </c>
      <c r="J55" t="s">
        <v>2089</v>
      </c>
      <c r="K55" t="s">
        <v>33</v>
      </c>
      <c r="L55" t="s">
        <v>2090</v>
      </c>
      <c r="M55" t="s">
        <v>2091</v>
      </c>
      <c r="Q55" t="s">
        <v>2092</v>
      </c>
      <c r="R55" t="s">
        <v>135</v>
      </c>
      <c r="T55" t="s">
        <v>2093</v>
      </c>
      <c r="U55" t="s">
        <v>1588</v>
      </c>
      <c r="W55" t="e">
        <v>#N/A</v>
      </c>
      <c r="X55" t="e">
        <f>#N/A</f>
        <v>#N/A</v>
      </c>
      <c r="Y55" t="s">
        <v>1791</v>
      </c>
    </row>
    <row r="56" spans="1:25" ht="14.5" x14ac:dyDescent="0.35">
      <c r="A56" t="s">
        <v>2094</v>
      </c>
      <c r="B56" t="s">
        <v>2095</v>
      </c>
      <c r="C56" t="s">
        <v>2096</v>
      </c>
      <c r="D56" t="s">
        <v>239</v>
      </c>
      <c r="E56" t="s">
        <v>1231</v>
      </c>
      <c r="G56" t="s">
        <v>30</v>
      </c>
      <c r="H56" t="s">
        <v>2094</v>
      </c>
      <c r="I56" s="3" t="s">
        <v>2097</v>
      </c>
      <c r="J56" t="s">
        <v>2098</v>
      </c>
      <c r="K56" t="s">
        <v>33</v>
      </c>
      <c r="L56" t="s">
        <v>2099</v>
      </c>
      <c r="M56" t="s">
        <v>1235</v>
      </c>
      <c r="Q56" t="s">
        <v>1236</v>
      </c>
      <c r="R56" t="s">
        <v>50</v>
      </c>
      <c r="T56" t="s">
        <v>2100</v>
      </c>
      <c r="U56" t="s">
        <v>235</v>
      </c>
      <c r="W56" t="e">
        <v>#N/A</v>
      </c>
      <c r="X56" t="e">
        <f>#N/A</f>
        <v>#N/A</v>
      </c>
      <c r="Y56" t="s">
        <v>1791</v>
      </c>
    </row>
    <row r="57" spans="1:25" ht="14.5" x14ac:dyDescent="0.35">
      <c r="A57" t="s">
        <v>2101</v>
      </c>
      <c r="B57" t="s">
        <v>2102</v>
      </c>
      <c r="C57" t="s">
        <v>2103</v>
      </c>
      <c r="D57" t="s">
        <v>98</v>
      </c>
      <c r="E57" t="s">
        <v>2104</v>
      </c>
      <c r="G57" t="s">
        <v>30</v>
      </c>
      <c r="H57" t="s">
        <v>2101</v>
      </c>
      <c r="I57" s="3" t="s">
        <v>2105</v>
      </c>
      <c r="J57" t="s">
        <v>2106</v>
      </c>
      <c r="K57" t="s">
        <v>33</v>
      </c>
      <c r="L57" t="s">
        <v>2107</v>
      </c>
      <c r="M57" t="s">
        <v>2108</v>
      </c>
      <c r="Q57" t="s">
        <v>2109</v>
      </c>
      <c r="R57" t="s">
        <v>58</v>
      </c>
      <c r="T57" t="s">
        <v>2110</v>
      </c>
      <c r="U57" t="s">
        <v>2111</v>
      </c>
      <c r="W57" t="e">
        <v>#N/A</v>
      </c>
      <c r="X57" t="e">
        <f>#N/A</f>
        <v>#N/A</v>
      </c>
      <c r="Y57" t="s">
        <v>1791</v>
      </c>
    </row>
    <row r="58" spans="1:25" ht="14.5" x14ac:dyDescent="0.35">
      <c r="A58" t="s">
        <v>2112</v>
      </c>
      <c r="B58" t="s">
        <v>2113</v>
      </c>
      <c r="C58" t="s">
        <v>2114</v>
      </c>
      <c r="D58" t="s">
        <v>43</v>
      </c>
      <c r="E58" t="s">
        <v>141</v>
      </c>
      <c r="G58" t="s">
        <v>30</v>
      </c>
      <c r="H58" t="s">
        <v>2112</v>
      </c>
      <c r="I58" s="3" t="s">
        <v>2115</v>
      </c>
      <c r="J58" t="s">
        <v>2116</v>
      </c>
      <c r="K58" t="s">
        <v>33</v>
      </c>
      <c r="L58" t="s">
        <v>2117</v>
      </c>
      <c r="M58" t="s">
        <v>145</v>
      </c>
      <c r="Q58" t="s">
        <v>146</v>
      </c>
      <c r="R58" t="s">
        <v>37</v>
      </c>
      <c r="T58" t="s">
        <v>2118</v>
      </c>
      <c r="U58" t="s">
        <v>148</v>
      </c>
      <c r="W58" t="e">
        <v>#N/A</v>
      </c>
      <c r="X58" t="e">
        <f>#N/A</f>
        <v>#N/A</v>
      </c>
      <c r="Y58" t="s">
        <v>1791</v>
      </c>
    </row>
    <row r="59" spans="1:25" ht="14.5" x14ac:dyDescent="0.35">
      <c r="A59" t="s">
        <v>2119</v>
      </c>
      <c r="B59" t="s">
        <v>2120</v>
      </c>
      <c r="C59" t="s">
        <v>512</v>
      </c>
      <c r="D59" t="s">
        <v>28</v>
      </c>
      <c r="E59" t="s">
        <v>2121</v>
      </c>
      <c r="G59" t="s">
        <v>30</v>
      </c>
      <c r="H59" t="s">
        <v>2119</v>
      </c>
      <c r="I59" s="3" t="s">
        <v>2122</v>
      </c>
      <c r="J59" t="s">
        <v>2123</v>
      </c>
      <c r="K59" t="s">
        <v>33</v>
      </c>
      <c r="L59" t="s">
        <v>2124</v>
      </c>
      <c r="M59" t="s">
        <v>2125</v>
      </c>
      <c r="Q59" t="s">
        <v>2126</v>
      </c>
      <c r="R59" t="s">
        <v>69</v>
      </c>
      <c r="T59" t="s">
        <v>2127</v>
      </c>
      <c r="U59" t="s">
        <v>2128</v>
      </c>
      <c r="W59" t="e">
        <v>#N/A</v>
      </c>
      <c r="X59" t="e">
        <f>#N/A</f>
        <v>#N/A</v>
      </c>
      <c r="Y59" t="s">
        <v>1791</v>
      </c>
    </row>
    <row r="60" spans="1:25" ht="14.5" x14ac:dyDescent="0.35">
      <c r="A60" t="s">
        <v>2129</v>
      </c>
      <c r="B60" t="s">
        <v>2130</v>
      </c>
      <c r="C60" t="s">
        <v>2131</v>
      </c>
      <c r="D60" t="s">
        <v>62</v>
      </c>
      <c r="E60" t="s">
        <v>2132</v>
      </c>
      <c r="G60" t="s">
        <v>30</v>
      </c>
      <c r="H60" t="s">
        <v>2129</v>
      </c>
      <c r="I60" s="3" t="s">
        <v>2133</v>
      </c>
      <c r="J60" t="s">
        <v>2134</v>
      </c>
      <c r="K60" t="s">
        <v>33</v>
      </c>
      <c r="L60" t="s">
        <v>2135</v>
      </c>
      <c r="M60" t="s">
        <v>2136</v>
      </c>
      <c r="Q60" t="s">
        <v>2137</v>
      </c>
      <c r="R60" t="s">
        <v>398</v>
      </c>
      <c r="T60" t="s">
        <v>2138</v>
      </c>
      <c r="U60" t="s">
        <v>2139</v>
      </c>
      <c r="W60" t="e">
        <v>#N/A</v>
      </c>
      <c r="X60" t="e">
        <f>#N/A</f>
        <v>#N/A</v>
      </c>
      <c r="Y60" t="s">
        <v>1791</v>
      </c>
    </row>
    <row r="61" spans="1:25" ht="14.5" x14ac:dyDescent="0.35">
      <c r="A61" t="s">
        <v>609</v>
      </c>
      <c r="B61" t="s">
        <v>610</v>
      </c>
      <c r="C61" t="s">
        <v>611</v>
      </c>
      <c r="D61" t="s">
        <v>98</v>
      </c>
      <c r="E61" t="s">
        <v>612</v>
      </c>
      <c r="G61" t="s">
        <v>30</v>
      </c>
      <c r="H61" t="s">
        <v>609</v>
      </c>
      <c r="I61" s="3" t="s">
        <v>613</v>
      </c>
      <c r="J61" t="s">
        <v>614</v>
      </c>
      <c r="K61" t="s">
        <v>33</v>
      </c>
      <c r="M61" t="s">
        <v>615</v>
      </c>
      <c r="Q61" t="s">
        <v>616</v>
      </c>
      <c r="R61" t="s">
        <v>618</v>
      </c>
      <c r="S61" t="s">
        <v>617</v>
      </c>
      <c r="T61" t="s">
        <v>619</v>
      </c>
      <c r="U61" t="s">
        <v>137</v>
      </c>
      <c r="W61" t="str">
        <v>CT4ALL: Towards Putting Teachers in the Loop to Advance Automated Computational Thinking Metric Assessments in Game-Based Learning</v>
      </c>
      <c r="X61" t="s">
        <v>610</v>
      </c>
      <c r="Y61" t="s">
        <v>1791</v>
      </c>
    </row>
    <row r="62" spans="1:25" ht="14.5" x14ac:dyDescent="0.35">
      <c r="A62" t="s">
        <v>721</v>
      </c>
      <c r="B62" t="s">
        <v>722</v>
      </c>
      <c r="C62" t="s">
        <v>723</v>
      </c>
      <c r="D62" t="s">
        <v>98</v>
      </c>
      <c r="E62" t="s">
        <v>724</v>
      </c>
      <c r="G62" t="s">
        <v>30</v>
      </c>
      <c r="H62" t="s">
        <v>721</v>
      </c>
      <c r="I62" s="3" t="s">
        <v>725</v>
      </c>
      <c r="J62" t="s">
        <v>726</v>
      </c>
      <c r="K62" t="s">
        <v>33</v>
      </c>
      <c r="L62" t="s">
        <v>727</v>
      </c>
      <c r="M62" t="s">
        <v>728</v>
      </c>
      <c r="Q62" t="s">
        <v>729</v>
      </c>
      <c r="R62" t="s">
        <v>92</v>
      </c>
      <c r="T62" t="s">
        <v>730</v>
      </c>
      <c r="U62" t="s">
        <v>137</v>
      </c>
      <c r="W62" t="str">
        <v>Scaling Up Collaborative Dialogue Analysis: An AI-driven Approach to Understanding Dialogue Patterns in Computational Thinking Education</v>
      </c>
      <c r="X62" t="s">
        <v>722</v>
      </c>
      <c r="Y62" t="s">
        <v>1791</v>
      </c>
    </row>
    <row r="63" spans="1:25" ht="14.5" x14ac:dyDescent="0.35">
      <c r="A63" t="s">
        <v>2140</v>
      </c>
      <c r="B63" t="s">
        <v>2141</v>
      </c>
      <c r="C63" t="s">
        <v>2142</v>
      </c>
      <c r="D63" t="s">
        <v>98</v>
      </c>
      <c r="E63" t="s">
        <v>581</v>
      </c>
      <c r="G63" t="s">
        <v>30</v>
      </c>
      <c r="I63" s="3" t="s">
        <v>2143</v>
      </c>
      <c r="J63" t="s">
        <v>2144</v>
      </c>
      <c r="K63" t="s">
        <v>33</v>
      </c>
      <c r="L63" t="s">
        <v>2145</v>
      </c>
      <c r="M63" t="s">
        <v>585</v>
      </c>
      <c r="R63" t="s">
        <v>379</v>
      </c>
      <c r="W63" t="e">
        <v>#N/A</v>
      </c>
      <c r="X63" t="e">
        <f>#N/A</f>
        <v>#N/A</v>
      </c>
      <c r="Y63" t="s">
        <v>1791</v>
      </c>
    </row>
    <row r="64" spans="1:25" ht="14.5" x14ac:dyDescent="0.35">
      <c r="A64" t="s">
        <v>2146</v>
      </c>
      <c r="B64" t="s">
        <v>2147</v>
      </c>
      <c r="C64" t="s">
        <v>2148</v>
      </c>
      <c r="D64" t="s">
        <v>98</v>
      </c>
      <c r="E64" t="s">
        <v>186</v>
      </c>
      <c r="G64" t="s">
        <v>30</v>
      </c>
      <c r="H64" t="s">
        <v>2146</v>
      </c>
      <c r="I64" s="3" t="s">
        <v>2149</v>
      </c>
      <c r="J64" t="s">
        <v>2150</v>
      </c>
      <c r="K64" t="s">
        <v>33</v>
      </c>
      <c r="L64" t="s">
        <v>2151</v>
      </c>
      <c r="M64" t="s">
        <v>190</v>
      </c>
      <c r="Q64" t="s">
        <v>112</v>
      </c>
      <c r="R64" t="s">
        <v>58</v>
      </c>
      <c r="T64" t="s">
        <v>2152</v>
      </c>
      <c r="U64" t="s">
        <v>114</v>
      </c>
      <c r="W64" t="e">
        <v>#N/A</v>
      </c>
      <c r="X64" t="e">
        <f>#N/A</f>
        <v>#N/A</v>
      </c>
      <c r="Y64" t="s">
        <v>1791</v>
      </c>
    </row>
    <row r="65" spans="1:25" ht="14.5" x14ac:dyDescent="0.35">
      <c r="A65" t="s">
        <v>2153</v>
      </c>
      <c r="B65" t="s">
        <v>2154</v>
      </c>
      <c r="C65" t="s">
        <v>2155</v>
      </c>
      <c r="D65" t="s">
        <v>780</v>
      </c>
      <c r="E65" t="s">
        <v>951</v>
      </c>
      <c r="G65" t="s">
        <v>30</v>
      </c>
      <c r="H65" t="s">
        <v>2153</v>
      </c>
      <c r="I65" s="3" t="s">
        <v>2156</v>
      </c>
      <c r="J65" t="s">
        <v>2157</v>
      </c>
      <c r="K65" t="s">
        <v>33</v>
      </c>
      <c r="L65" t="s">
        <v>2158</v>
      </c>
      <c r="M65" t="s">
        <v>955</v>
      </c>
      <c r="Q65" t="s">
        <v>956</v>
      </c>
      <c r="R65" t="s">
        <v>69</v>
      </c>
      <c r="T65" t="s">
        <v>2159</v>
      </c>
      <c r="U65" t="s">
        <v>958</v>
      </c>
      <c r="W65" t="e">
        <v>#N/A</v>
      </c>
      <c r="X65" t="e">
        <f>#N/A</f>
        <v>#N/A</v>
      </c>
      <c r="Y65" t="s">
        <v>1791</v>
      </c>
    </row>
    <row r="66" spans="1:25" ht="14.5" x14ac:dyDescent="0.35">
      <c r="A66" t="s">
        <v>2160</v>
      </c>
      <c r="B66" t="s">
        <v>2161</v>
      </c>
      <c r="C66" t="s">
        <v>2162</v>
      </c>
      <c r="D66" t="s">
        <v>28</v>
      </c>
      <c r="E66" t="s">
        <v>2163</v>
      </c>
      <c r="G66" t="s">
        <v>30</v>
      </c>
      <c r="H66" t="s">
        <v>2160</v>
      </c>
      <c r="I66" s="3" t="s">
        <v>2164</v>
      </c>
      <c r="J66" t="s">
        <v>2165</v>
      </c>
      <c r="K66" t="s">
        <v>33</v>
      </c>
      <c r="L66" t="s">
        <v>2166</v>
      </c>
      <c r="M66" t="s">
        <v>2167</v>
      </c>
      <c r="Q66" t="s">
        <v>2168</v>
      </c>
      <c r="R66" t="s">
        <v>50</v>
      </c>
      <c r="T66" t="s">
        <v>2169</v>
      </c>
      <c r="U66" t="s">
        <v>235</v>
      </c>
      <c r="W66" t="e">
        <v>#N/A</v>
      </c>
      <c r="X66" t="e">
        <f>#N/A</f>
        <v>#N/A</v>
      </c>
      <c r="Y66" t="s">
        <v>1791</v>
      </c>
    </row>
    <row r="67" spans="1:25" ht="14.5" x14ac:dyDescent="0.35">
      <c r="A67" t="s">
        <v>2170</v>
      </c>
      <c r="B67" t="s">
        <v>2171</v>
      </c>
      <c r="C67" t="s">
        <v>2172</v>
      </c>
      <c r="D67" t="s">
        <v>28</v>
      </c>
      <c r="E67" t="s">
        <v>2173</v>
      </c>
      <c r="G67" t="s">
        <v>30</v>
      </c>
      <c r="H67" t="s">
        <v>2170</v>
      </c>
      <c r="I67" s="3" t="s">
        <v>2174</v>
      </c>
      <c r="J67" t="s">
        <v>2175</v>
      </c>
      <c r="K67" t="s">
        <v>33</v>
      </c>
      <c r="L67" t="s">
        <v>2176</v>
      </c>
      <c r="M67" t="s">
        <v>2177</v>
      </c>
      <c r="Q67" t="s">
        <v>2178</v>
      </c>
      <c r="R67" t="s">
        <v>81</v>
      </c>
      <c r="T67" t="s">
        <v>2179</v>
      </c>
      <c r="U67" t="s">
        <v>2180</v>
      </c>
      <c r="W67" t="e">
        <v>#N/A</v>
      </c>
      <c r="X67" t="e">
        <f>#N/A</f>
        <v>#N/A</v>
      </c>
      <c r="Y67" t="s">
        <v>1791</v>
      </c>
    </row>
    <row r="68" spans="1:25" ht="14.5" x14ac:dyDescent="0.35">
      <c r="A68" t="s">
        <v>2181</v>
      </c>
      <c r="B68" t="s">
        <v>2182</v>
      </c>
      <c r="C68" t="s">
        <v>2183</v>
      </c>
      <c r="D68" t="s">
        <v>195</v>
      </c>
      <c r="E68" t="s">
        <v>842</v>
      </c>
      <c r="G68" t="s">
        <v>30</v>
      </c>
      <c r="H68" t="s">
        <v>2181</v>
      </c>
      <c r="I68" s="3" t="s">
        <v>2184</v>
      </c>
      <c r="J68" t="s">
        <v>2185</v>
      </c>
      <c r="K68" t="s">
        <v>33</v>
      </c>
      <c r="L68" t="s">
        <v>2186</v>
      </c>
      <c r="M68" t="s">
        <v>846</v>
      </c>
      <c r="Q68" t="s">
        <v>847</v>
      </c>
      <c r="R68" t="s">
        <v>58</v>
      </c>
      <c r="T68" t="s">
        <v>2187</v>
      </c>
      <c r="U68" t="s">
        <v>849</v>
      </c>
      <c r="W68" t="e">
        <v>#N/A</v>
      </c>
      <c r="X68" t="e">
        <f>#N/A</f>
        <v>#N/A</v>
      </c>
      <c r="Y68" t="s">
        <v>1791</v>
      </c>
    </row>
    <row r="69" spans="1:25" ht="14.5" x14ac:dyDescent="0.35">
      <c r="A69" t="s">
        <v>1255</v>
      </c>
      <c r="B69" t="s">
        <v>1256</v>
      </c>
      <c r="D69" t="s">
        <v>28</v>
      </c>
      <c r="G69" t="s">
        <v>30</v>
      </c>
      <c r="J69" t="s">
        <v>1257</v>
      </c>
      <c r="K69" t="s">
        <v>33</v>
      </c>
      <c r="M69" t="s">
        <v>524</v>
      </c>
      <c r="U69" t="s">
        <v>292</v>
      </c>
      <c r="W69" t="str">
        <v>SIGCSE 2024: Proceedings of the 55th ACM Technical Symposium on Computer Science Education V. 2</v>
      </c>
      <c r="X69" t="s">
        <v>1256</v>
      </c>
      <c r="Y69" t="s">
        <v>1791</v>
      </c>
    </row>
    <row r="70" spans="1:25" ht="14.5" x14ac:dyDescent="0.35">
      <c r="A70" t="s">
        <v>2188</v>
      </c>
      <c r="B70" t="s">
        <v>2189</v>
      </c>
      <c r="C70" t="s">
        <v>2190</v>
      </c>
      <c r="D70" t="s">
        <v>28</v>
      </c>
      <c r="E70" t="s">
        <v>1801</v>
      </c>
      <c r="G70" t="s">
        <v>30</v>
      </c>
      <c r="H70" t="s">
        <v>2188</v>
      </c>
      <c r="I70" s="3" t="s">
        <v>2191</v>
      </c>
      <c r="J70" t="s">
        <v>2192</v>
      </c>
      <c r="K70" t="s">
        <v>33</v>
      </c>
      <c r="L70" t="s">
        <v>2193</v>
      </c>
      <c r="M70" t="s">
        <v>1805</v>
      </c>
      <c r="Q70" t="s">
        <v>1806</v>
      </c>
      <c r="R70" t="s">
        <v>398</v>
      </c>
      <c r="T70" t="s">
        <v>2194</v>
      </c>
      <c r="U70" t="s">
        <v>1808</v>
      </c>
      <c r="W70" t="e">
        <v>#N/A</v>
      </c>
      <c r="X70" t="e">
        <f>#N/A</f>
        <v>#N/A</v>
      </c>
      <c r="Y70" t="s">
        <v>1791</v>
      </c>
    </row>
    <row r="71" spans="1:25" ht="14.5" x14ac:dyDescent="0.35">
      <c r="A71" t="s">
        <v>2195</v>
      </c>
      <c r="B71" t="s">
        <v>2196</v>
      </c>
      <c r="C71" t="s">
        <v>2197</v>
      </c>
      <c r="D71" t="s">
        <v>43</v>
      </c>
      <c r="E71" t="s">
        <v>75</v>
      </c>
      <c r="G71" t="s">
        <v>30</v>
      </c>
      <c r="H71" t="s">
        <v>2195</v>
      </c>
      <c r="I71" s="3" t="s">
        <v>2198</v>
      </c>
      <c r="J71" t="s">
        <v>2199</v>
      </c>
      <c r="K71" t="s">
        <v>33</v>
      </c>
      <c r="M71" t="s">
        <v>78</v>
      </c>
      <c r="Q71" t="s">
        <v>79</v>
      </c>
      <c r="R71" t="s">
        <v>50</v>
      </c>
      <c r="S71" t="s">
        <v>532</v>
      </c>
      <c r="T71" t="s">
        <v>2200</v>
      </c>
      <c r="U71" t="s">
        <v>83</v>
      </c>
      <c r="W71" t="e">
        <v>#N/A</v>
      </c>
      <c r="X71" t="e">
        <f>#N/A</f>
        <v>#N/A</v>
      </c>
      <c r="Y71" t="s">
        <v>1791</v>
      </c>
    </row>
    <row r="72" spans="1:25" ht="14.5" x14ac:dyDescent="0.35">
      <c r="A72" t="s">
        <v>2201</v>
      </c>
      <c r="B72" t="s">
        <v>2202</v>
      </c>
      <c r="C72" t="s">
        <v>2203</v>
      </c>
      <c r="D72" t="s">
        <v>28</v>
      </c>
      <c r="F72" t="s">
        <v>426</v>
      </c>
      <c r="G72" t="s">
        <v>427</v>
      </c>
      <c r="J72" t="s">
        <v>2204</v>
      </c>
      <c r="K72" t="s">
        <v>429</v>
      </c>
      <c r="L72" t="s">
        <v>2205</v>
      </c>
      <c r="N72" t="s">
        <v>431</v>
      </c>
      <c r="O72" t="s">
        <v>575</v>
      </c>
      <c r="P72" t="s">
        <v>433</v>
      </c>
      <c r="R72" t="s">
        <v>213</v>
      </c>
      <c r="V72" t="s">
        <v>2206</v>
      </c>
      <c r="W72" t="e">
        <v>#N/A</v>
      </c>
      <c r="X72" t="e">
        <f>#N/A</f>
        <v>#N/A</v>
      </c>
      <c r="Y72" t="s">
        <v>1791</v>
      </c>
    </row>
    <row r="73" spans="1:25" ht="14.5" x14ac:dyDescent="0.35">
      <c r="A73" t="s">
        <v>2207</v>
      </c>
      <c r="B73" t="s">
        <v>2208</v>
      </c>
      <c r="C73" t="s">
        <v>2209</v>
      </c>
      <c r="D73" t="s">
        <v>164</v>
      </c>
      <c r="E73" t="s">
        <v>2210</v>
      </c>
      <c r="G73" t="s">
        <v>30</v>
      </c>
      <c r="H73" t="s">
        <v>2207</v>
      </c>
      <c r="I73" s="3" t="s">
        <v>2211</v>
      </c>
      <c r="J73" t="s">
        <v>2212</v>
      </c>
      <c r="K73" t="s">
        <v>33</v>
      </c>
      <c r="M73" t="s">
        <v>2213</v>
      </c>
      <c r="Q73" t="s">
        <v>2214</v>
      </c>
      <c r="R73" t="s">
        <v>246</v>
      </c>
      <c r="S73" t="s">
        <v>433</v>
      </c>
      <c r="T73" t="s">
        <v>2215</v>
      </c>
      <c r="U73" t="s">
        <v>2216</v>
      </c>
      <c r="W73" t="e">
        <v>#N/A</v>
      </c>
      <c r="X73" t="e">
        <f>#N/A</f>
        <v>#N/A</v>
      </c>
      <c r="Y73" t="s">
        <v>1791</v>
      </c>
    </row>
    <row r="74" spans="1:25" ht="14.5" x14ac:dyDescent="0.35">
      <c r="A74" t="s">
        <v>2217</v>
      </c>
      <c r="B74" t="s">
        <v>2218</v>
      </c>
      <c r="D74" t="s">
        <v>98</v>
      </c>
      <c r="G74" t="s">
        <v>30</v>
      </c>
      <c r="J74" t="s">
        <v>1144</v>
      </c>
      <c r="K74" t="s">
        <v>33</v>
      </c>
      <c r="M74" t="s">
        <v>1837</v>
      </c>
      <c r="U74" t="s">
        <v>125</v>
      </c>
      <c r="W74" t="e">
        <v>#N/A</v>
      </c>
      <c r="X74" t="e">
        <f>#N/A</f>
        <v>#N/A</v>
      </c>
      <c r="Y74" t="s">
        <v>1791</v>
      </c>
    </row>
    <row r="75" spans="1:25" ht="14.5" x14ac:dyDescent="0.35">
      <c r="A75" t="s">
        <v>789</v>
      </c>
      <c r="B75" t="s">
        <v>790</v>
      </c>
      <c r="C75" t="s">
        <v>791</v>
      </c>
      <c r="D75" t="s">
        <v>28</v>
      </c>
      <c r="F75" t="s">
        <v>99</v>
      </c>
      <c r="G75" t="s">
        <v>30</v>
      </c>
      <c r="H75" t="s">
        <v>789</v>
      </c>
      <c r="I75" s="3" t="s">
        <v>792</v>
      </c>
      <c r="J75" t="s">
        <v>793</v>
      </c>
      <c r="K75" t="s">
        <v>33</v>
      </c>
      <c r="O75" t="s">
        <v>80</v>
      </c>
      <c r="P75" t="s">
        <v>37</v>
      </c>
      <c r="R75" t="s">
        <v>794</v>
      </c>
      <c r="S75" t="s">
        <v>433</v>
      </c>
      <c r="T75" t="s">
        <v>795</v>
      </c>
      <c r="V75" t="s">
        <v>796</v>
      </c>
      <c r="W75" t="str">
        <v>Factors That Predict K-12 Teachers' Ability to Apply Computational Thinking Skills</v>
      </c>
      <c r="X75" t="s">
        <v>790</v>
      </c>
      <c r="Y75" t="s">
        <v>1791</v>
      </c>
    </row>
    <row r="76" spans="1:25" ht="14.5" x14ac:dyDescent="0.35">
      <c r="A76" t="s">
        <v>2219</v>
      </c>
      <c r="B76" t="s">
        <v>2220</v>
      </c>
      <c r="C76" t="s">
        <v>2221</v>
      </c>
      <c r="D76" t="s">
        <v>600</v>
      </c>
      <c r="E76" t="s">
        <v>2222</v>
      </c>
      <c r="G76" t="s">
        <v>30</v>
      </c>
      <c r="H76" t="s">
        <v>2219</v>
      </c>
      <c r="I76" s="3" t="s">
        <v>2223</v>
      </c>
      <c r="J76" t="s">
        <v>2224</v>
      </c>
      <c r="K76" t="s">
        <v>33</v>
      </c>
      <c r="L76" t="s">
        <v>2225</v>
      </c>
      <c r="M76" t="s">
        <v>2226</v>
      </c>
      <c r="Q76" t="s">
        <v>2227</v>
      </c>
      <c r="R76" t="s">
        <v>246</v>
      </c>
      <c r="T76" t="s">
        <v>2228</v>
      </c>
      <c r="U76" t="s">
        <v>651</v>
      </c>
      <c r="W76" t="e">
        <v>#N/A</v>
      </c>
      <c r="X76" t="e">
        <f>#N/A</f>
        <v>#N/A</v>
      </c>
      <c r="Y76" t="s">
        <v>1791</v>
      </c>
    </row>
    <row r="77" spans="1:25" ht="14.5" x14ac:dyDescent="0.35">
      <c r="A77" t="s">
        <v>517</v>
      </c>
      <c r="B77" t="s">
        <v>518</v>
      </c>
      <c r="C77" t="s">
        <v>519</v>
      </c>
      <c r="D77" t="s">
        <v>28</v>
      </c>
      <c r="E77" t="s">
        <v>520</v>
      </c>
      <c r="G77" t="s">
        <v>30</v>
      </c>
      <c r="H77" t="s">
        <v>517</v>
      </c>
      <c r="I77" s="3" t="s">
        <v>521</v>
      </c>
      <c r="J77" t="s">
        <v>522</v>
      </c>
      <c r="K77" t="s">
        <v>33</v>
      </c>
      <c r="L77" t="s">
        <v>523</v>
      </c>
      <c r="M77" t="s">
        <v>524</v>
      </c>
      <c r="Q77" t="s">
        <v>290</v>
      </c>
      <c r="R77" t="s">
        <v>69</v>
      </c>
      <c r="T77" t="s">
        <v>525</v>
      </c>
      <c r="U77" t="s">
        <v>292</v>
      </c>
      <c r="W77" t="str">
        <v>Validation of a Bebras-Based Test to Assess Computational Thinking Abilities in First-Year College Students</v>
      </c>
      <c r="X77" t="s">
        <v>518</v>
      </c>
      <c r="Y77" t="s">
        <v>1791</v>
      </c>
    </row>
    <row r="78" spans="1:25" ht="14.5" x14ac:dyDescent="0.35">
      <c r="A78" t="s">
        <v>2229</v>
      </c>
      <c r="B78" t="s">
        <v>2230</v>
      </c>
      <c r="C78" t="s">
        <v>2231</v>
      </c>
      <c r="D78" t="s">
        <v>62</v>
      </c>
      <c r="E78" t="s">
        <v>561</v>
      </c>
      <c r="G78" t="s">
        <v>30</v>
      </c>
      <c r="H78" t="s">
        <v>2229</v>
      </c>
      <c r="I78" s="3" t="s">
        <v>2232</v>
      </c>
      <c r="J78" t="s">
        <v>2233</v>
      </c>
      <c r="K78" t="s">
        <v>33</v>
      </c>
      <c r="M78" t="s">
        <v>564</v>
      </c>
      <c r="Q78" t="s">
        <v>565</v>
      </c>
      <c r="R78" t="s">
        <v>342</v>
      </c>
      <c r="S78" t="s">
        <v>2234</v>
      </c>
      <c r="T78" t="s">
        <v>2235</v>
      </c>
      <c r="U78" t="s">
        <v>569</v>
      </c>
      <c r="W78" t="e">
        <v>#N/A</v>
      </c>
      <c r="X78" t="e">
        <f>#N/A</f>
        <v>#N/A</v>
      </c>
      <c r="Y78" t="s">
        <v>1791</v>
      </c>
    </row>
    <row r="79" spans="1:25" ht="14.5" x14ac:dyDescent="0.35">
      <c r="A79" t="s">
        <v>2236</v>
      </c>
      <c r="B79" t="s">
        <v>2237</v>
      </c>
      <c r="C79" t="s">
        <v>2238</v>
      </c>
      <c r="D79" t="s">
        <v>164</v>
      </c>
      <c r="E79" t="s">
        <v>404</v>
      </c>
      <c r="G79" t="s">
        <v>30</v>
      </c>
      <c r="H79" t="s">
        <v>2236</v>
      </c>
      <c r="I79" s="3" t="s">
        <v>2239</v>
      </c>
      <c r="J79" t="s">
        <v>2240</v>
      </c>
      <c r="K79" t="s">
        <v>33</v>
      </c>
      <c r="L79" t="s">
        <v>1594</v>
      </c>
      <c r="M79" t="s">
        <v>408</v>
      </c>
      <c r="Q79" t="s">
        <v>409</v>
      </c>
      <c r="R79" t="s">
        <v>58</v>
      </c>
      <c r="T79" t="s">
        <v>2241</v>
      </c>
      <c r="U79" t="s">
        <v>411</v>
      </c>
      <c r="W79" t="e">
        <v>#N/A</v>
      </c>
      <c r="X79" t="e">
        <f>#N/A</f>
        <v>#N/A</v>
      </c>
      <c r="Y79" t="s">
        <v>1791</v>
      </c>
    </row>
    <row r="80" spans="1:25" ht="14.5" x14ac:dyDescent="0.35">
      <c r="A80" t="s">
        <v>2242</v>
      </c>
      <c r="B80" t="s">
        <v>2243</v>
      </c>
      <c r="C80" t="s">
        <v>2244</v>
      </c>
      <c r="D80" t="s">
        <v>195</v>
      </c>
      <c r="E80" t="s">
        <v>196</v>
      </c>
      <c r="G80" t="s">
        <v>30</v>
      </c>
      <c r="H80" t="s">
        <v>2242</v>
      </c>
      <c r="I80" s="3" t="s">
        <v>2245</v>
      </c>
      <c r="J80" t="s">
        <v>2246</v>
      </c>
      <c r="K80" t="s">
        <v>33</v>
      </c>
      <c r="L80" t="s">
        <v>2247</v>
      </c>
      <c r="M80" t="s">
        <v>200</v>
      </c>
      <c r="Q80" t="s">
        <v>201</v>
      </c>
      <c r="R80" t="s">
        <v>58</v>
      </c>
      <c r="T80" t="s">
        <v>2248</v>
      </c>
      <c r="U80" t="s">
        <v>203</v>
      </c>
      <c r="W80" t="e">
        <v>#N/A</v>
      </c>
      <c r="X80" t="e">
        <f>#N/A</f>
        <v>#N/A</v>
      </c>
      <c r="Y80" t="s">
        <v>1791</v>
      </c>
    </row>
    <row r="81" spans="1:25" ht="14.5" x14ac:dyDescent="0.35">
      <c r="A81" t="s">
        <v>2249</v>
      </c>
      <c r="B81" t="s">
        <v>2250</v>
      </c>
      <c r="C81" t="s">
        <v>2251</v>
      </c>
      <c r="D81" t="s">
        <v>98</v>
      </c>
      <c r="E81" t="s">
        <v>481</v>
      </c>
      <c r="G81" t="s">
        <v>30</v>
      </c>
      <c r="H81" t="s">
        <v>2249</v>
      </c>
      <c r="I81" s="3" t="s">
        <v>2252</v>
      </c>
      <c r="J81" t="s">
        <v>2253</v>
      </c>
      <c r="K81" t="s">
        <v>33</v>
      </c>
      <c r="L81" t="s">
        <v>2254</v>
      </c>
      <c r="M81" t="s">
        <v>419</v>
      </c>
      <c r="Q81" t="s">
        <v>485</v>
      </c>
      <c r="R81" t="s">
        <v>58</v>
      </c>
      <c r="T81" t="s">
        <v>2255</v>
      </c>
      <c r="U81" t="s">
        <v>487</v>
      </c>
      <c r="W81" t="e">
        <v>#N/A</v>
      </c>
      <c r="X81" t="e">
        <f>#N/A</f>
        <v>#N/A</v>
      </c>
      <c r="Y81" t="s">
        <v>1791</v>
      </c>
    </row>
    <row r="82" spans="1:25" ht="14.5" x14ac:dyDescent="0.35">
      <c r="A82" t="s">
        <v>2256</v>
      </c>
      <c r="B82" t="s">
        <v>2257</v>
      </c>
      <c r="C82" t="s">
        <v>2258</v>
      </c>
      <c r="D82" t="s">
        <v>98</v>
      </c>
      <c r="E82" t="s">
        <v>186</v>
      </c>
      <c r="G82" t="s">
        <v>30</v>
      </c>
      <c r="H82" t="s">
        <v>2256</v>
      </c>
      <c r="I82" s="3" t="s">
        <v>2259</v>
      </c>
      <c r="J82" t="s">
        <v>2260</v>
      </c>
      <c r="K82" t="s">
        <v>33</v>
      </c>
      <c r="L82" t="s">
        <v>2261</v>
      </c>
      <c r="M82" t="s">
        <v>190</v>
      </c>
      <c r="Q82" t="s">
        <v>112</v>
      </c>
      <c r="R82" t="s">
        <v>58</v>
      </c>
      <c r="T82" t="s">
        <v>2262</v>
      </c>
      <c r="U82" t="s">
        <v>114</v>
      </c>
      <c r="W82" t="e">
        <v>#N/A</v>
      </c>
      <c r="X82" t="e">
        <f>#N/A</f>
        <v>#N/A</v>
      </c>
      <c r="Y82" t="s">
        <v>1791</v>
      </c>
    </row>
    <row r="83" spans="1:25" ht="14.5" x14ac:dyDescent="0.35">
      <c r="A83" t="s">
        <v>2263</v>
      </c>
      <c r="B83" t="s">
        <v>2264</v>
      </c>
      <c r="C83" t="s">
        <v>2265</v>
      </c>
      <c r="D83" t="s">
        <v>98</v>
      </c>
      <c r="E83" t="s">
        <v>118</v>
      </c>
      <c r="G83" t="s">
        <v>30</v>
      </c>
      <c r="H83" t="s">
        <v>2263</v>
      </c>
      <c r="I83" s="3" t="s">
        <v>2266</v>
      </c>
      <c r="J83" t="s">
        <v>2267</v>
      </c>
      <c r="K83" t="s">
        <v>33</v>
      </c>
      <c r="L83" t="s">
        <v>2268</v>
      </c>
      <c r="M83" t="s">
        <v>122</v>
      </c>
      <c r="Q83" t="s">
        <v>123</v>
      </c>
      <c r="R83" t="s">
        <v>58</v>
      </c>
      <c r="T83" t="s">
        <v>2269</v>
      </c>
      <c r="U83" t="s">
        <v>125</v>
      </c>
      <c r="W83" t="e">
        <v>#N/A</v>
      </c>
      <c r="X83" t="e">
        <f>#N/A</f>
        <v>#N/A</v>
      </c>
      <c r="Y83" t="s">
        <v>1791</v>
      </c>
    </row>
    <row r="84" spans="1:25" ht="14.5" x14ac:dyDescent="0.35">
      <c r="A84" t="s">
        <v>72</v>
      </c>
      <c r="B84" t="s">
        <v>73</v>
      </c>
      <c r="C84" t="s">
        <v>74</v>
      </c>
      <c r="D84" t="s">
        <v>43</v>
      </c>
      <c r="E84" t="s">
        <v>75</v>
      </c>
      <c r="G84" t="s">
        <v>30</v>
      </c>
      <c r="H84" t="s">
        <v>72</v>
      </c>
      <c r="I84" s="3" t="s">
        <v>76</v>
      </c>
      <c r="J84" t="s">
        <v>77</v>
      </c>
      <c r="K84" t="s">
        <v>33</v>
      </c>
      <c r="M84" t="s">
        <v>78</v>
      </c>
      <c r="Q84" t="s">
        <v>79</v>
      </c>
      <c r="R84" t="s">
        <v>81</v>
      </c>
      <c r="S84" t="s">
        <v>80</v>
      </c>
      <c r="T84" t="s">
        <v>82</v>
      </c>
      <c r="U84" t="s">
        <v>83</v>
      </c>
      <c r="W84" t="str">
        <v>Cognitive Correlates of Computational Thinking: Evaluation of a Blended Unplugged/Plugged-In Course</v>
      </c>
      <c r="X84" t="s">
        <v>73</v>
      </c>
      <c r="Y84" t="s">
        <v>1791</v>
      </c>
    </row>
    <row r="85" spans="1:25" ht="14.5" x14ac:dyDescent="0.35">
      <c r="A85" t="s">
        <v>1153</v>
      </c>
      <c r="B85" t="s">
        <v>1154</v>
      </c>
      <c r="C85" t="s">
        <v>1155</v>
      </c>
      <c r="D85" t="s">
        <v>164</v>
      </c>
      <c r="E85" t="s">
        <v>1156</v>
      </c>
      <c r="G85" t="s">
        <v>30</v>
      </c>
      <c r="H85" t="s">
        <v>1153</v>
      </c>
      <c r="I85" s="3" t="s">
        <v>1157</v>
      </c>
      <c r="J85" t="s">
        <v>1158</v>
      </c>
      <c r="K85" t="s">
        <v>33</v>
      </c>
      <c r="L85" t="s">
        <v>1159</v>
      </c>
      <c r="M85" t="s">
        <v>1160</v>
      </c>
      <c r="Q85" t="s">
        <v>323</v>
      </c>
      <c r="R85" t="s">
        <v>50</v>
      </c>
      <c r="T85" t="s">
        <v>1161</v>
      </c>
      <c r="U85" t="s">
        <v>325</v>
      </c>
      <c r="W85" t="str">
        <v>Achieving CSforAll: Preparing Special Education Pre-service Teachers to Bring Computing to Students with Disabilities</v>
      </c>
      <c r="X85" t="s">
        <v>1154</v>
      </c>
      <c r="Y85" t="s">
        <v>1791</v>
      </c>
    </row>
    <row r="86" spans="1:25" ht="14.5" x14ac:dyDescent="0.35">
      <c r="A86" t="s">
        <v>839</v>
      </c>
      <c r="B86" t="s">
        <v>840</v>
      </c>
      <c r="C86" t="s">
        <v>841</v>
      </c>
      <c r="D86" t="s">
        <v>195</v>
      </c>
      <c r="E86" t="s">
        <v>842</v>
      </c>
      <c r="G86" t="s">
        <v>30</v>
      </c>
      <c r="H86" t="s">
        <v>839</v>
      </c>
      <c r="I86" s="3" t="s">
        <v>843</v>
      </c>
      <c r="J86" t="s">
        <v>844</v>
      </c>
      <c r="K86" t="s">
        <v>33</v>
      </c>
      <c r="L86" t="s">
        <v>845</v>
      </c>
      <c r="M86" t="s">
        <v>846</v>
      </c>
      <c r="Q86" t="s">
        <v>847</v>
      </c>
      <c r="R86" t="s">
        <v>58</v>
      </c>
      <c r="T86" t="s">
        <v>848</v>
      </c>
      <c r="U86" t="s">
        <v>849</v>
      </c>
      <c r="W86" t="str">
        <v>Development and Preliminary Validation of the Assessment of Computing for Elementary Students (ACES)</v>
      </c>
      <c r="X86" t="s">
        <v>840</v>
      </c>
      <c r="Y86" t="s">
        <v>1791</v>
      </c>
    </row>
    <row r="87" spans="1:25" ht="14.5" x14ac:dyDescent="0.35">
      <c r="A87" t="s">
        <v>1313</v>
      </c>
      <c r="B87" t="s">
        <v>1314</v>
      </c>
      <c r="C87" t="s">
        <v>1315</v>
      </c>
      <c r="D87" t="s">
        <v>164</v>
      </c>
      <c r="F87" t="s">
        <v>99</v>
      </c>
      <c r="G87" t="s">
        <v>30</v>
      </c>
      <c r="H87" t="s">
        <v>1313</v>
      </c>
      <c r="I87" s="3" t="s">
        <v>1316</v>
      </c>
      <c r="J87" t="s">
        <v>1317</v>
      </c>
      <c r="K87" t="s">
        <v>33</v>
      </c>
      <c r="O87" t="s">
        <v>167</v>
      </c>
      <c r="P87" t="s">
        <v>69</v>
      </c>
      <c r="R87" t="s">
        <v>794</v>
      </c>
      <c r="S87" t="s">
        <v>36</v>
      </c>
      <c r="T87" t="s">
        <v>1318</v>
      </c>
      <c r="V87" t="s">
        <v>170</v>
      </c>
      <c r="W87" t="str">
        <v>Elementary Computational Thinking Instruction and Assessment: A Learning Trajectory Perspective</v>
      </c>
      <c r="X87" t="s">
        <v>1314</v>
      </c>
      <c r="Y87" t="s">
        <v>1791</v>
      </c>
    </row>
    <row r="88" spans="1:25" ht="14.5" x14ac:dyDescent="0.35">
      <c r="A88" t="s">
        <v>2270</v>
      </c>
      <c r="B88" t="s">
        <v>2271</v>
      </c>
      <c r="C88" t="s">
        <v>2272</v>
      </c>
      <c r="D88" t="s">
        <v>195</v>
      </c>
      <c r="E88" t="s">
        <v>842</v>
      </c>
      <c r="G88" t="s">
        <v>30</v>
      </c>
      <c r="H88" t="s">
        <v>2270</v>
      </c>
      <c r="I88" s="3" t="s">
        <v>2273</v>
      </c>
      <c r="J88" t="s">
        <v>2274</v>
      </c>
      <c r="K88" t="s">
        <v>33</v>
      </c>
      <c r="L88" t="s">
        <v>2275</v>
      </c>
      <c r="M88" t="s">
        <v>846</v>
      </c>
      <c r="Q88" t="s">
        <v>847</v>
      </c>
      <c r="R88" t="s">
        <v>58</v>
      </c>
      <c r="T88" t="s">
        <v>2276</v>
      </c>
      <c r="U88" t="s">
        <v>849</v>
      </c>
      <c r="W88" t="e">
        <v>#N/A</v>
      </c>
      <c r="X88" t="e">
        <f>#N/A</f>
        <v>#N/A</v>
      </c>
      <c r="Y88" t="s">
        <v>1791</v>
      </c>
    </row>
    <row r="89" spans="1:25" ht="14.5" x14ac:dyDescent="0.35">
      <c r="A89" t="s">
        <v>2277</v>
      </c>
      <c r="B89" t="s">
        <v>2278</v>
      </c>
      <c r="C89" t="s">
        <v>2103</v>
      </c>
      <c r="D89" t="s">
        <v>195</v>
      </c>
      <c r="E89" t="s">
        <v>196</v>
      </c>
      <c r="G89" t="s">
        <v>30</v>
      </c>
      <c r="H89" t="s">
        <v>2277</v>
      </c>
      <c r="I89" s="3" t="s">
        <v>2279</v>
      </c>
      <c r="J89" t="s">
        <v>2280</v>
      </c>
      <c r="K89" t="s">
        <v>33</v>
      </c>
      <c r="L89" t="s">
        <v>2281</v>
      </c>
      <c r="M89" t="s">
        <v>200</v>
      </c>
      <c r="Q89" t="s">
        <v>201</v>
      </c>
      <c r="R89" t="s">
        <v>58</v>
      </c>
      <c r="T89" t="s">
        <v>2282</v>
      </c>
      <c r="U89" t="s">
        <v>203</v>
      </c>
      <c r="W89" t="e">
        <v>#N/A</v>
      </c>
      <c r="X89" t="e">
        <f>#N/A</f>
        <v>#N/A</v>
      </c>
      <c r="Y89" t="s">
        <v>1791</v>
      </c>
    </row>
    <row r="90" spans="1:25" ht="14.5" x14ac:dyDescent="0.35">
      <c r="A90" t="s">
        <v>2283</v>
      </c>
      <c r="B90" t="s">
        <v>2284</v>
      </c>
      <c r="C90" t="s">
        <v>2285</v>
      </c>
      <c r="D90" t="s">
        <v>43</v>
      </c>
      <c r="E90" t="s">
        <v>141</v>
      </c>
      <c r="G90" t="s">
        <v>30</v>
      </c>
      <c r="H90" t="s">
        <v>2283</v>
      </c>
      <c r="I90" s="3" t="s">
        <v>2286</v>
      </c>
      <c r="J90" t="s">
        <v>2287</v>
      </c>
      <c r="K90" t="s">
        <v>33</v>
      </c>
      <c r="L90" t="s">
        <v>2288</v>
      </c>
      <c r="M90" t="s">
        <v>145</v>
      </c>
      <c r="Q90" t="s">
        <v>146</v>
      </c>
      <c r="R90" t="s">
        <v>58</v>
      </c>
      <c r="T90" t="s">
        <v>2289</v>
      </c>
      <c r="U90" t="s">
        <v>148</v>
      </c>
      <c r="W90" t="e">
        <v>#N/A</v>
      </c>
      <c r="X90" t="e">
        <f>#N/A</f>
        <v>#N/A</v>
      </c>
      <c r="Y90" t="s">
        <v>1791</v>
      </c>
    </row>
    <row r="91" spans="1:25" ht="14.5" x14ac:dyDescent="0.35">
      <c r="A91" t="s">
        <v>2290</v>
      </c>
      <c r="B91" t="s">
        <v>2291</v>
      </c>
      <c r="C91" t="s">
        <v>2292</v>
      </c>
      <c r="D91" t="s">
        <v>780</v>
      </c>
      <c r="E91" t="s">
        <v>781</v>
      </c>
      <c r="G91" t="s">
        <v>30</v>
      </c>
      <c r="H91" t="s">
        <v>2290</v>
      </c>
      <c r="I91" s="3" t="s">
        <v>2293</v>
      </c>
      <c r="J91" t="s">
        <v>2294</v>
      </c>
      <c r="K91" t="s">
        <v>33</v>
      </c>
      <c r="L91" t="s">
        <v>2295</v>
      </c>
      <c r="M91" t="s">
        <v>785</v>
      </c>
      <c r="Q91" t="s">
        <v>786</v>
      </c>
      <c r="R91" t="s">
        <v>50</v>
      </c>
      <c r="T91" t="s">
        <v>2296</v>
      </c>
      <c r="U91" t="s">
        <v>788</v>
      </c>
      <c r="W91" t="e">
        <v>#N/A</v>
      </c>
      <c r="X91" t="e">
        <f>#N/A</f>
        <v>#N/A</v>
      </c>
      <c r="Y91" t="s">
        <v>1791</v>
      </c>
    </row>
    <row r="92" spans="1:25" ht="14.5" x14ac:dyDescent="0.35">
      <c r="A92" t="s">
        <v>2297</v>
      </c>
      <c r="B92" t="s">
        <v>2298</v>
      </c>
      <c r="C92" t="s">
        <v>2299</v>
      </c>
      <c r="D92" t="s">
        <v>164</v>
      </c>
      <c r="E92" t="s">
        <v>2300</v>
      </c>
      <c r="G92" t="s">
        <v>30</v>
      </c>
      <c r="H92" t="s">
        <v>2297</v>
      </c>
      <c r="I92" s="3" t="s">
        <v>2301</v>
      </c>
      <c r="J92" t="s">
        <v>2302</v>
      </c>
      <c r="K92" t="s">
        <v>33</v>
      </c>
      <c r="L92" t="s">
        <v>2303</v>
      </c>
      <c r="M92" t="s">
        <v>2304</v>
      </c>
      <c r="Q92" t="s">
        <v>2305</v>
      </c>
      <c r="R92" t="s">
        <v>398</v>
      </c>
      <c r="U92" t="s">
        <v>460</v>
      </c>
      <c r="W92" t="e">
        <v>#N/A</v>
      </c>
      <c r="X92" t="e">
        <f>#N/A</f>
        <v>#N/A</v>
      </c>
      <c r="Y92" t="s">
        <v>1791</v>
      </c>
    </row>
    <row r="93" spans="1:25" ht="14.5" x14ac:dyDescent="0.35">
      <c r="A93" t="s">
        <v>2306</v>
      </c>
      <c r="B93" t="s">
        <v>2307</v>
      </c>
      <c r="C93" t="s">
        <v>2308</v>
      </c>
      <c r="D93" t="s">
        <v>239</v>
      </c>
      <c r="E93" t="s">
        <v>296</v>
      </c>
      <c r="G93" t="s">
        <v>30</v>
      </c>
      <c r="H93" t="s">
        <v>2306</v>
      </c>
      <c r="I93" s="3" t="s">
        <v>2309</v>
      </c>
      <c r="J93" t="s">
        <v>2310</v>
      </c>
      <c r="K93" t="s">
        <v>33</v>
      </c>
      <c r="L93" t="s">
        <v>2311</v>
      </c>
      <c r="M93" t="s">
        <v>300</v>
      </c>
      <c r="Q93" t="s">
        <v>301</v>
      </c>
      <c r="R93" t="s">
        <v>69</v>
      </c>
      <c r="T93" t="s">
        <v>2312</v>
      </c>
      <c r="U93" t="s">
        <v>292</v>
      </c>
      <c r="W93" t="e">
        <v>#N/A</v>
      </c>
      <c r="X93" t="e">
        <f>#N/A</f>
        <v>#N/A</v>
      </c>
      <c r="Y93" t="s">
        <v>1791</v>
      </c>
    </row>
    <row r="94" spans="1:25" ht="14.5" x14ac:dyDescent="0.35">
      <c r="A94" t="s">
        <v>84</v>
      </c>
      <c r="B94" t="s">
        <v>85</v>
      </c>
      <c r="C94" t="s">
        <v>86</v>
      </c>
      <c r="D94" t="s">
        <v>28</v>
      </c>
      <c r="E94" t="s">
        <v>87</v>
      </c>
      <c r="G94" t="s">
        <v>30</v>
      </c>
      <c r="H94" t="s">
        <v>84</v>
      </c>
      <c r="I94" s="3" t="s">
        <v>88</v>
      </c>
      <c r="J94" t="s">
        <v>89</v>
      </c>
      <c r="K94" t="s">
        <v>33</v>
      </c>
      <c r="M94" t="s">
        <v>90</v>
      </c>
      <c r="Q94" t="s">
        <v>91</v>
      </c>
      <c r="R94" t="s">
        <v>81</v>
      </c>
      <c r="S94" t="s">
        <v>92</v>
      </c>
      <c r="T94" t="s">
        <v>93</v>
      </c>
      <c r="U94" t="s">
        <v>94</v>
      </c>
      <c r="W94" t="str">
        <v>Improvement of Computational Thinking skills through unplugged activities in Upper Secondary Education</v>
      </c>
      <c r="X94" t="s">
        <v>85</v>
      </c>
      <c r="Y94" t="s">
        <v>1791</v>
      </c>
    </row>
    <row r="95" spans="1:25" ht="14.5" x14ac:dyDescent="0.35">
      <c r="A95" t="s">
        <v>2313</v>
      </c>
      <c r="B95" t="s">
        <v>2314</v>
      </c>
      <c r="C95" t="s">
        <v>2315</v>
      </c>
      <c r="D95" t="s">
        <v>195</v>
      </c>
      <c r="E95" t="s">
        <v>2316</v>
      </c>
      <c r="G95" t="s">
        <v>30</v>
      </c>
      <c r="H95" t="s">
        <v>2313</v>
      </c>
      <c r="I95" s="3" t="s">
        <v>2317</v>
      </c>
      <c r="J95" t="s">
        <v>2318</v>
      </c>
      <c r="K95" t="s">
        <v>33</v>
      </c>
      <c r="L95" t="s">
        <v>2319</v>
      </c>
      <c r="M95" t="s">
        <v>2320</v>
      </c>
      <c r="Q95" t="s">
        <v>201</v>
      </c>
      <c r="R95" t="s">
        <v>37</v>
      </c>
      <c r="T95" t="s">
        <v>2321</v>
      </c>
      <c r="U95" t="s">
        <v>203</v>
      </c>
      <c r="W95" t="e">
        <v>#N/A</v>
      </c>
      <c r="X95" t="e">
        <f>#N/A</f>
        <v>#N/A</v>
      </c>
      <c r="Y95" t="s">
        <v>1791</v>
      </c>
    </row>
    <row r="96" spans="1:25" ht="14.5" x14ac:dyDescent="0.35">
      <c r="A96" t="s">
        <v>2322</v>
      </c>
      <c r="B96" t="s">
        <v>2323</v>
      </c>
      <c r="C96" t="s">
        <v>2324</v>
      </c>
      <c r="D96" t="s">
        <v>28</v>
      </c>
      <c r="E96" t="s">
        <v>2325</v>
      </c>
      <c r="G96" t="s">
        <v>30</v>
      </c>
      <c r="H96" t="s">
        <v>2322</v>
      </c>
      <c r="I96" s="3" t="s">
        <v>2326</v>
      </c>
      <c r="J96" t="s">
        <v>2327</v>
      </c>
      <c r="K96" t="s">
        <v>33</v>
      </c>
      <c r="M96" t="s">
        <v>2328</v>
      </c>
      <c r="Q96" t="s">
        <v>2329</v>
      </c>
      <c r="R96" t="s">
        <v>180</v>
      </c>
      <c r="S96" t="s">
        <v>2330</v>
      </c>
      <c r="T96" t="s">
        <v>2331</v>
      </c>
      <c r="U96" t="s">
        <v>2332</v>
      </c>
      <c r="W96" t="e">
        <v>#N/A</v>
      </c>
      <c r="X96" t="e">
        <f>#N/A</f>
        <v>#N/A</v>
      </c>
      <c r="Y96" t="s">
        <v>1791</v>
      </c>
    </row>
    <row r="97" spans="1:25" ht="14.5" x14ac:dyDescent="0.35">
      <c r="A97" t="s">
        <v>2333</v>
      </c>
      <c r="B97" t="s">
        <v>2334</v>
      </c>
      <c r="C97" t="s">
        <v>2335</v>
      </c>
      <c r="D97" t="s">
        <v>195</v>
      </c>
      <c r="E97" t="s">
        <v>842</v>
      </c>
      <c r="G97" t="s">
        <v>30</v>
      </c>
      <c r="H97" t="s">
        <v>2333</v>
      </c>
      <c r="I97" s="3" t="s">
        <v>2336</v>
      </c>
      <c r="J97" t="s">
        <v>2337</v>
      </c>
      <c r="K97" t="s">
        <v>33</v>
      </c>
      <c r="L97" t="s">
        <v>2338</v>
      </c>
      <c r="M97" t="s">
        <v>846</v>
      </c>
      <c r="Q97" t="s">
        <v>847</v>
      </c>
      <c r="R97" t="s">
        <v>37</v>
      </c>
      <c r="T97" t="s">
        <v>2339</v>
      </c>
      <c r="U97" t="s">
        <v>849</v>
      </c>
      <c r="W97" t="e">
        <v>#N/A</v>
      </c>
      <c r="X97" t="e">
        <f>#N/A</f>
        <v>#N/A</v>
      </c>
      <c r="Y97" t="s">
        <v>1791</v>
      </c>
    </row>
    <row r="98" spans="1:25" ht="14.5" x14ac:dyDescent="0.35">
      <c r="A98" t="s">
        <v>2340</v>
      </c>
      <c r="B98" t="s">
        <v>2341</v>
      </c>
      <c r="C98" t="s">
        <v>2342</v>
      </c>
      <c r="D98" t="s">
        <v>239</v>
      </c>
      <c r="F98" t="s">
        <v>1167</v>
      </c>
      <c r="G98" t="s">
        <v>30</v>
      </c>
      <c r="H98" t="s">
        <v>2340</v>
      </c>
      <c r="I98" s="3" t="s">
        <v>2343</v>
      </c>
      <c r="K98" t="s">
        <v>33</v>
      </c>
      <c r="L98" t="s">
        <v>2344</v>
      </c>
      <c r="N98" t="s">
        <v>1170</v>
      </c>
      <c r="O98" t="s">
        <v>92</v>
      </c>
      <c r="P98" t="s">
        <v>37</v>
      </c>
      <c r="R98" t="s">
        <v>246</v>
      </c>
      <c r="V98" t="s">
        <v>2345</v>
      </c>
      <c r="W98" t="e">
        <v>#N/A</v>
      </c>
      <c r="X98" t="e">
        <f>#N/A</f>
        <v>#N/A</v>
      </c>
      <c r="Y98" t="s">
        <v>1791</v>
      </c>
    </row>
    <row r="99" spans="1:25" ht="14.5" x14ac:dyDescent="0.35">
      <c r="A99" t="s">
        <v>2346</v>
      </c>
      <c r="B99" t="s">
        <v>2347</v>
      </c>
      <c r="C99" t="s">
        <v>2348</v>
      </c>
      <c r="D99" t="s">
        <v>43</v>
      </c>
      <c r="E99" t="s">
        <v>141</v>
      </c>
      <c r="G99" t="s">
        <v>30</v>
      </c>
      <c r="H99" t="s">
        <v>2346</v>
      </c>
      <c r="I99" s="3" t="s">
        <v>2349</v>
      </c>
      <c r="J99" t="s">
        <v>2350</v>
      </c>
      <c r="K99" t="s">
        <v>33</v>
      </c>
      <c r="L99" t="s">
        <v>2351</v>
      </c>
      <c r="M99" t="s">
        <v>145</v>
      </c>
      <c r="Q99" t="s">
        <v>146</v>
      </c>
      <c r="R99" t="s">
        <v>58</v>
      </c>
      <c r="T99" t="s">
        <v>2352</v>
      </c>
      <c r="U99" t="s">
        <v>148</v>
      </c>
      <c r="W99" t="e">
        <v>#N/A</v>
      </c>
      <c r="X99" t="e">
        <f>#N/A</f>
        <v>#N/A</v>
      </c>
      <c r="Y99" t="s">
        <v>1791</v>
      </c>
    </row>
    <row r="100" spans="1:25" ht="14.5" x14ac:dyDescent="0.35">
      <c r="A100" t="s">
        <v>2353</v>
      </c>
      <c r="B100" t="s">
        <v>2354</v>
      </c>
      <c r="C100" t="s">
        <v>654</v>
      </c>
      <c r="D100" t="s">
        <v>28</v>
      </c>
      <c r="E100" t="s">
        <v>2355</v>
      </c>
      <c r="G100" t="s">
        <v>30</v>
      </c>
      <c r="H100" t="s">
        <v>2353</v>
      </c>
      <c r="I100" s="3" t="s">
        <v>2356</v>
      </c>
      <c r="J100" t="s">
        <v>2357</v>
      </c>
      <c r="K100" t="s">
        <v>33</v>
      </c>
      <c r="M100" t="s">
        <v>2358</v>
      </c>
      <c r="Q100" t="s">
        <v>2359</v>
      </c>
      <c r="R100" t="s">
        <v>50</v>
      </c>
      <c r="S100" t="s">
        <v>37</v>
      </c>
      <c r="T100" t="s">
        <v>2360</v>
      </c>
      <c r="U100" t="s">
        <v>2361</v>
      </c>
      <c r="W100" t="e">
        <v>#N/A</v>
      </c>
      <c r="X100" t="e">
        <f>#N/A</f>
        <v>#N/A</v>
      </c>
      <c r="Y100" t="s">
        <v>1791</v>
      </c>
    </row>
    <row r="101" spans="1:25" ht="14.5" x14ac:dyDescent="0.35">
      <c r="A101" t="s">
        <v>2362</v>
      </c>
      <c r="B101" t="s">
        <v>2363</v>
      </c>
      <c r="C101" t="s">
        <v>2364</v>
      </c>
      <c r="D101" t="s">
        <v>195</v>
      </c>
      <c r="E101" t="s">
        <v>842</v>
      </c>
      <c r="G101" t="s">
        <v>30</v>
      </c>
      <c r="H101" t="s">
        <v>2362</v>
      </c>
      <c r="I101" s="3" t="s">
        <v>2365</v>
      </c>
      <c r="J101" t="s">
        <v>2366</v>
      </c>
      <c r="K101" t="s">
        <v>33</v>
      </c>
      <c r="L101" t="s">
        <v>2367</v>
      </c>
      <c r="M101" t="s">
        <v>846</v>
      </c>
      <c r="Q101" t="s">
        <v>847</v>
      </c>
      <c r="R101" t="s">
        <v>58</v>
      </c>
      <c r="T101" t="s">
        <v>2368</v>
      </c>
      <c r="U101" t="s">
        <v>849</v>
      </c>
      <c r="W101" t="e">
        <v>#N/A</v>
      </c>
      <c r="X101" t="e">
        <f>#N/A</f>
        <v>#N/A</v>
      </c>
      <c r="Y101" t="s">
        <v>1791</v>
      </c>
    </row>
    <row r="102" spans="1:25" ht="14.5" x14ac:dyDescent="0.35">
      <c r="A102" t="s">
        <v>2369</v>
      </c>
      <c r="B102" t="s">
        <v>2370</v>
      </c>
      <c r="D102" t="s">
        <v>164</v>
      </c>
      <c r="G102" t="s">
        <v>30</v>
      </c>
      <c r="J102" t="s">
        <v>2371</v>
      </c>
      <c r="K102" t="s">
        <v>33</v>
      </c>
      <c r="M102" t="s">
        <v>2213</v>
      </c>
      <c r="U102" t="s">
        <v>2216</v>
      </c>
      <c r="W102" t="e">
        <v>#N/A</v>
      </c>
      <c r="X102" t="e">
        <f>#N/A</f>
        <v>#N/A</v>
      </c>
      <c r="Y102" t="s">
        <v>1791</v>
      </c>
    </row>
    <row r="103" spans="1:25" ht="14.5" x14ac:dyDescent="0.35">
      <c r="A103" t="s">
        <v>2372</v>
      </c>
      <c r="B103" t="s">
        <v>2373</v>
      </c>
      <c r="C103" t="s">
        <v>2374</v>
      </c>
      <c r="D103" t="s">
        <v>164</v>
      </c>
      <c r="E103" t="s">
        <v>2210</v>
      </c>
      <c r="G103" t="s">
        <v>30</v>
      </c>
      <c r="H103" t="s">
        <v>2372</v>
      </c>
      <c r="I103" s="3" t="s">
        <v>2375</v>
      </c>
      <c r="J103" t="s">
        <v>2376</v>
      </c>
      <c r="K103" t="s">
        <v>33</v>
      </c>
      <c r="M103" t="s">
        <v>2213</v>
      </c>
      <c r="Q103" t="s">
        <v>2214</v>
      </c>
      <c r="R103" t="s">
        <v>533</v>
      </c>
      <c r="S103" t="s">
        <v>269</v>
      </c>
      <c r="T103" t="s">
        <v>2377</v>
      </c>
      <c r="U103" t="s">
        <v>2216</v>
      </c>
      <c r="W103" t="e">
        <v>#N/A</v>
      </c>
      <c r="X103" t="e">
        <f>#N/A</f>
        <v>#N/A</v>
      </c>
      <c r="Y103" t="s">
        <v>1791</v>
      </c>
    </row>
    <row r="104" spans="1:25" ht="14.5" x14ac:dyDescent="0.35">
      <c r="A104" t="s">
        <v>2378</v>
      </c>
      <c r="B104" t="s">
        <v>2379</v>
      </c>
      <c r="C104" t="s">
        <v>1044</v>
      </c>
      <c r="D104" t="s">
        <v>263</v>
      </c>
      <c r="E104" t="s">
        <v>692</v>
      </c>
      <c r="G104" t="s">
        <v>30</v>
      </c>
      <c r="H104" t="s">
        <v>2378</v>
      </c>
      <c r="I104" s="3" t="s">
        <v>2380</v>
      </c>
      <c r="J104" t="s">
        <v>2381</v>
      </c>
      <c r="K104" t="s">
        <v>33</v>
      </c>
      <c r="L104" t="s">
        <v>2382</v>
      </c>
      <c r="M104" t="s">
        <v>696</v>
      </c>
      <c r="Q104" t="s">
        <v>697</v>
      </c>
      <c r="R104" t="s">
        <v>50</v>
      </c>
      <c r="T104" t="s">
        <v>2383</v>
      </c>
      <c r="U104" t="s">
        <v>336</v>
      </c>
      <c r="W104" t="e">
        <v>#N/A</v>
      </c>
      <c r="X104" t="e">
        <f>#N/A</f>
        <v>#N/A</v>
      </c>
      <c r="Y104" t="s">
        <v>1791</v>
      </c>
    </row>
    <row r="105" spans="1:25" ht="14.5" x14ac:dyDescent="0.35">
      <c r="A105" t="s">
        <v>2384</v>
      </c>
      <c r="B105" t="s">
        <v>2385</v>
      </c>
      <c r="C105" t="s">
        <v>2386</v>
      </c>
      <c r="D105" t="s">
        <v>28</v>
      </c>
      <c r="E105" t="s">
        <v>1801</v>
      </c>
      <c r="G105" t="s">
        <v>30</v>
      </c>
      <c r="H105" t="s">
        <v>2384</v>
      </c>
      <c r="I105" s="3" t="s">
        <v>2387</v>
      </c>
      <c r="J105" t="s">
        <v>2388</v>
      </c>
      <c r="K105" t="s">
        <v>33</v>
      </c>
      <c r="L105" t="s">
        <v>2389</v>
      </c>
      <c r="M105" t="s">
        <v>1805</v>
      </c>
      <c r="Q105" t="s">
        <v>1806</v>
      </c>
      <c r="R105" t="s">
        <v>398</v>
      </c>
      <c r="U105" t="s">
        <v>1808</v>
      </c>
      <c r="W105" t="e">
        <v>#N/A</v>
      </c>
      <c r="X105" t="e">
        <f>#N/A</f>
        <v>#N/A</v>
      </c>
      <c r="Y105" t="s">
        <v>1791</v>
      </c>
    </row>
    <row r="106" spans="1:25" ht="14.5" x14ac:dyDescent="0.35">
      <c r="A106" t="s">
        <v>903</v>
      </c>
      <c r="B106" t="s">
        <v>904</v>
      </c>
      <c r="C106" t="s">
        <v>905</v>
      </c>
      <c r="D106" t="s">
        <v>98</v>
      </c>
      <c r="E106" t="s">
        <v>612</v>
      </c>
      <c r="G106" t="s">
        <v>30</v>
      </c>
      <c r="H106" t="s">
        <v>903</v>
      </c>
      <c r="I106" s="3" t="s">
        <v>906</v>
      </c>
      <c r="J106" t="s">
        <v>907</v>
      </c>
      <c r="K106" t="s">
        <v>33</v>
      </c>
      <c r="M106" t="s">
        <v>615</v>
      </c>
      <c r="Q106" t="s">
        <v>616</v>
      </c>
      <c r="R106" t="s">
        <v>167</v>
      </c>
      <c r="S106" t="s">
        <v>908</v>
      </c>
      <c r="T106" t="s">
        <v>909</v>
      </c>
      <c r="U106" t="s">
        <v>137</v>
      </c>
      <c r="W106" t="str">
        <v>Cultivating Computational Thinking and Social Play among Neurodiverse Preschoolers in Inclusive Classrooms</v>
      </c>
      <c r="X106" t="s">
        <v>904</v>
      </c>
      <c r="Y106" t="s">
        <v>1791</v>
      </c>
    </row>
    <row r="107" spans="1:25" ht="14.5" x14ac:dyDescent="0.35">
      <c r="A107" t="s">
        <v>2390</v>
      </c>
      <c r="B107" t="s">
        <v>2391</v>
      </c>
      <c r="C107" t="s">
        <v>2392</v>
      </c>
      <c r="D107" t="s">
        <v>62</v>
      </c>
      <c r="E107" t="s">
        <v>274</v>
      </c>
      <c r="G107" t="s">
        <v>30</v>
      </c>
      <c r="H107" t="s">
        <v>2390</v>
      </c>
      <c r="I107" s="3" t="s">
        <v>2393</v>
      </c>
      <c r="J107" t="s">
        <v>2394</v>
      </c>
      <c r="K107" t="s">
        <v>33</v>
      </c>
      <c r="L107" t="s">
        <v>2395</v>
      </c>
      <c r="M107" t="s">
        <v>278</v>
      </c>
      <c r="Q107" t="s">
        <v>279</v>
      </c>
      <c r="R107" t="s">
        <v>58</v>
      </c>
      <c r="T107" t="s">
        <v>2396</v>
      </c>
      <c r="U107" t="s">
        <v>281</v>
      </c>
      <c r="W107" t="e">
        <v>#N/A</v>
      </c>
      <c r="X107" t="e">
        <f>#N/A</f>
        <v>#N/A</v>
      </c>
      <c r="Y107" t="s">
        <v>1791</v>
      </c>
    </row>
    <row r="108" spans="1:25" ht="14.5" x14ac:dyDescent="0.35">
      <c r="A108" t="s">
        <v>2397</v>
      </c>
      <c r="B108" t="s">
        <v>2398</v>
      </c>
      <c r="C108" t="s">
        <v>2399</v>
      </c>
      <c r="D108" t="s">
        <v>239</v>
      </c>
      <c r="F108" t="s">
        <v>99</v>
      </c>
      <c r="G108" t="s">
        <v>30</v>
      </c>
      <c r="H108" t="s">
        <v>2397</v>
      </c>
      <c r="I108" s="3" t="s">
        <v>2400</v>
      </c>
      <c r="J108" t="s">
        <v>2401</v>
      </c>
      <c r="K108" t="s">
        <v>33</v>
      </c>
      <c r="O108" t="s">
        <v>534</v>
      </c>
      <c r="P108" t="s">
        <v>433</v>
      </c>
      <c r="R108" t="s">
        <v>36</v>
      </c>
      <c r="S108" t="s">
        <v>507</v>
      </c>
      <c r="T108" t="s">
        <v>2402</v>
      </c>
      <c r="V108" t="s">
        <v>2403</v>
      </c>
      <c r="W108" t="e">
        <v>#N/A</v>
      </c>
      <c r="X108" t="e">
        <f>#N/A</f>
        <v>#N/A</v>
      </c>
      <c r="Y108" t="s">
        <v>1791</v>
      </c>
    </row>
    <row r="109" spans="1:25" ht="14.5" x14ac:dyDescent="0.35">
      <c r="A109" t="s">
        <v>2404</v>
      </c>
      <c r="B109" t="s">
        <v>2405</v>
      </c>
      <c r="C109" t="s">
        <v>1219</v>
      </c>
      <c r="D109" t="s">
        <v>43</v>
      </c>
      <c r="E109" t="s">
        <v>1995</v>
      </c>
      <c r="G109" t="s">
        <v>30</v>
      </c>
      <c r="H109" t="s">
        <v>2404</v>
      </c>
      <c r="I109" s="3" t="s">
        <v>2406</v>
      </c>
      <c r="J109" t="s">
        <v>2407</v>
      </c>
      <c r="K109" t="s">
        <v>33</v>
      </c>
      <c r="L109" t="s">
        <v>2408</v>
      </c>
      <c r="M109" t="s">
        <v>1999</v>
      </c>
      <c r="Q109" t="s">
        <v>2000</v>
      </c>
      <c r="R109" t="s">
        <v>58</v>
      </c>
      <c r="T109" t="s">
        <v>2409</v>
      </c>
      <c r="U109" t="s">
        <v>2002</v>
      </c>
      <c r="W109" t="e">
        <v>#N/A</v>
      </c>
      <c r="X109" t="e">
        <f>#N/A</f>
        <v>#N/A</v>
      </c>
      <c r="Y109" t="s">
        <v>1791</v>
      </c>
    </row>
    <row r="110" spans="1:25" ht="14.5" x14ac:dyDescent="0.35">
      <c r="A110" t="s">
        <v>1142</v>
      </c>
      <c r="B110" t="s">
        <v>1143</v>
      </c>
      <c r="D110" t="s">
        <v>98</v>
      </c>
      <c r="G110" t="s">
        <v>30</v>
      </c>
      <c r="J110" t="s">
        <v>1144</v>
      </c>
      <c r="K110" t="s">
        <v>33</v>
      </c>
      <c r="M110" t="s">
        <v>122</v>
      </c>
      <c r="U110" t="s">
        <v>125</v>
      </c>
      <c r="W110" t="str">
        <v>ITiCSE 2025: Proceedings of the 30th ACM Conference on Innovation and Technology in Computer Science Education V. 1</v>
      </c>
      <c r="X110" t="s">
        <v>1143</v>
      </c>
      <c r="Y110" t="s">
        <v>1791</v>
      </c>
    </row>
    <row r="111" spans="1:25" ht="14.5" x14ac:dyDescent="0.35">
      <c r="A111" t="s">
        <v>435</v>
      </c>
      <c r="B111" t="s">
        <v>436</v>
      </c>
      <c r="C111" t="s">
        <v>437</v>
      </c>
      <c r="D111" t="s">
        <v>43</v>
      </c>
      <c r="E111" t="s">
        <v>141</v>
      </c>
      <c r="G111" t="s">
        <v>30</v>
      </c>
      <c r="H111" t="s">
        <v>435</v>
      </c>
      <c r="I111" s="3" t="s">
        <v>438</v>
      </c>
      <c r="J111" t="s">
        <v>439</v>
      </c>
      <c r="K111" t="s">
        <v>33</v>
      </c>
      <c r="L111" t="s">
        <v>440</v>
      </c>
      <c r="M111" t="s">
        <v>145</v>
      </c>
      <c r="Q111" t="s">
        <v>146</v>
      </c>
      <c r="R111" t="s">
        <v>58</v>
      </c>
      <c r="T111" t="s">
        <v>441</v>
      </c>
      <c r="U111" t="s">
        <v>148</v>
      </c>
      <c r="W111" t="str">
        <v>Assessing In-service Teachers' Development of Computational Thinking Practices in Teacher Development Courses</v>
      </c>
      <c r="X111" t="s">
        <v>436</v>
      </c>
      <c r="Y111" t="s">
        <v>1791</v>
      </c>
    </row>
    <row r="112" spans="1:25" ht="14.5" x14ac:dyDescent="0.35">
      <c r="A112" t="s">
        <v>1058</v>
      </c>
      <c r="B112" t="s">
        <v>1059</v>
      </c>
      <c r="D112" t="s">
        <v>98</v>
      </c>
      <c r="G112" t="s">
        <v>30</v>
      </c>
      <c r="J112" t="s">
        <v>1060</v>
      </c>
      <c r="K112" t="s">
        <v>33</v>
      </c>
      <c r="M112" t="s">
        <v>111</v>
      </c>
      <c r="U112" t="s">
        <v>114</v>
      </c>
      <c r="W112" t="str">
        <v>SIGCSETS 2025: Proceedings of the 56th ACM Technical Symposium on Computer Science Education V. 2</v>
      </c>
      <c r="X112" t="s">
        <v>1059</v>
      </c>
      <c r="Y112" t="s">
        <v>1791</v>
      </c>
    </row>
    <row r="113" spans="1:25" ht="14.5" x14ac:dyDescent="0.35">
      <c r="A113" t="s">
        <v>2410</v>
      </c>
      <c r="B113" t="s">
        <v>2411</v>
      </c>
      <c r="C113" t="s">
        <v>2412</v>
      </c>
      <c r="D113" t="s">
        <v>62</v>
      </c>
      <c r="E113" t="s">
        <v>2413</v>
      </c>
      <c r="G113" t="s">
        <v>30</v>
      </c>
      <c r="H113" t="s">
        <v>2410</v>
      </c>
      <c r="I113" s="3" t="s">
        <v>2414</v>
      </c>
      <c r="J113" t="s">
        <v>2415</v>
      </c>
      <c r="K113" t="s">
        <v>33</v>
      </c>
      <c r="L113" t="s">
        <v>2416</v>
      </c>
      <c r="M113" t="s">
        <v>2417</v>
      </c>
      <c r="Q113" t="s">
        <v>2418</v>
      </c>
      <c r="R113" t="s">
        <v>246</v>
      </c>
      <c r="T113" t="s">
        <v>2419</v>
      </c>
      <c r="U113" t="s">
        <v>2420</v>
      </c>
      <c r="W113" t="e">
        <v>#N/A</v>
      </c>
      <c r="X113" t="e">
        <f>#N/A</f>
        <v>#N/A</v>
      </c>
      <c r="Y113" t="s">
        <v>1791</v>
      </c>
    </row>
    <row r="114" spans="1:25" ht="14.5" x14ac:dyDescent="0.35">
      <c r="A114" t="s">
        <v>2421</v>
      </c>
      <c r="B114" t="s">
        <v>2422</v>
      </c>
      <c r="C114" t="s">
        <v>2423</v>
      </c>
      <c r="D114" t="s">
        <v>62</v>
      </c>
      <c r="E114" t="s">
        <v>2424</v>
      </c>
      <c r="G114" t="s">
        <v>30</v>
      </c>
      <c r="H114" t="s">
        <v>2421</v>
      </c>
      <c r="I114" s="3" t="s">
        <v>2425</v>
      </c>
      <c r="J114" t="s">
        <v>2426</v>
      </c>
      <c r="K114" t="s">
        <v>33</v>
      </c>
      <c r="L114" t="s">
        <v>2427</v>
      </c>
      <c r="M114" t="s">
        <v>2428</v>
      </c>
      <c r="Q114" t="s">
        <v>2429</v>
      </c>
      <c r="R114" t="s">
        <v>398</v>
      </c>
      <c r="T114" t="s">
        <v>2430</v>
      </c>
      <c r="U114" t="s">
        <v>2431</v>
      </c>
      <c r="W114" t="e">
        <v>#N/A</v>
      </c>
      <c r="X114" t="e">
        <f>#N/A</f>
        <v>#N/A</v>
      </c>
      <c r="Y114" t="s">
        <v>1791</v>
      </c>
    </row>
    <row r="115" spans="1:25" ht="14.5" x14ac:dyDescent="0.35">
      <c r="A115" t="s">
        <v>2432</v>
      </c>
      <c r="B115" t="s">
        <v>2433</v>
      </c>
      <c r="C115" t="s">
        <v>2434</v>
      </c>
      <c r="D115" t="s">
        <v>529</v>
      </c>
      <c r="E115" t="s">
        <v>2435</v>
      </c>
      <c r="G115" t="s">
        <v>30</v>
      </c>
      <c r="H115" t="s">
        <v>2432</v>
      </c>
      <c r="I115" s="3" t="s">
        <v>2436</v>
      </c>
      <c r="J115" t="s">
        <v>2437</v>
      </c>
      <c r="K115" t="s">
        <v>33</v>
      </c>
      <c r="M115" t="s">
        <v>2438</v>
      </c>
      <c r="Q115" t="s">
        <v>2359</v>
      </c>
      <c r="R115" t="s">
        <v>69</v>
      </c>
      <c r="S115" t="s">
        <v>2439</v>
      </c>
      <c r="T115" t="s">
        <v>2440</v>
      </c>
      <c r="U115" t="s">
        <v>2441</v>
      </c>
      <c r="W115" t="e">
        <v>#N/A</v>
      </c>
      <c r="X115" t="e">
        <f>#N/A</f>
        <v>#N/A</v>
      </c>
      <c r="Y115" t="s">
        <v>1791</v>
      </c>
    </row>
    <row r="116" spans="1:25" ht="14.5" x14ac:dyDescent="0.35">
      <c r="A116" t="s">
        <v>1703</v>
      </c>
      <c r="B116" t="s">
        <v>1704</v>
      </c>
      <c r="D116" t="s">
        <v>62</v>
      </c>
      <c r="G116" t="s">
        <v>30</v>
      </c>
      <c r="K116" t="s">
        <v>33</v>
      </c>
      <c r="M116" t="s">
        <v>1067</v>
      </c>
      <c r="U116" t="s">
        <v>363</v>
      </c>
      <c r="W116" t="str">
        <v>WiPSCE '23: Proceedings of the 18th WiPSCE Conference on Primary and Secondary Computing Education Research</v>
      </c>
      <c r="X116" t="s">
        <v>1704</v>
      </c>
      <c r="Y116" t="s">
        <v>1791</v>
      </c>
    </row>
    <row r="117" spans="1:25" ht="14.5" x14ac:dyDescent="0.35">
      <c r="A117" t="s">
        <v>2442</v>
      </c>
      <c r="B117" t="s">
        <v>2443</v>
      </c>
      <c r="C117" t="s">
        <v>2444</v>
      </c>
      <c r="D117" t="s">
        <v>195</v>
      </c>
      <c r="E117" t="s">
        <v>228</v>
      </c>
      <c r="G117" t="s">
        <v>30</v>
      </c>
      <c r="H117" t="s">
        <v>2442</v>
      </c>
      <c r="I117" s="3" t="s">
        <v>2445</v>
      </c>
      <c r="J117" t="s">
        <v>2446</v>
      </c>
      <c r="K117" t="s">
        <v>33</v>
      </c>
      <c r="L117" t="s">
        <v>2447</v>
      </c>
      <c r="M117" t="s">
        <v>232</v>
      </c>
      <c r="Q117" t="s">
        <v>233</v>
      </c>
      <c r="R117" t="s">
        <v>135</v>
      </c>
      <c r="U117" t="s">
        <v>235</v>
      </c>
      <c r="W117" t="e">
        <v>#N/A</v>
      </c>
      <c r="X117" t="e">
        <f>#N/A</f>
        <v>#N/A</v>
      </c>
      <c r="Y117" t="s">
        <v>1791</v>
      </c>
    </row>
    <row r="118" spans="1:25" ht="14.5" x14ac:dyDescent="0.35">
      <c r="A118" t="s">
        <v>2448</v>
      </c>
      <c r="B118" t="s">
        <v>2449</v>
      </c>
      <c r="C118" t="s">
        <v>2079</v>
      </c>
      <c r="D118" t="s">
        <v>263</v>
      </c>
      <c r="F118" t="s">
        <v>426</v>
      </c>
      <c r="G118" t="s">
        <v>427</v>
      </c>
      <c r="J118" t="s">
        <v>2450</v>
      </c>
      <c r="K118" t="s">
        <v>429</v>
      </c>
      <c r="L118" t="s">
        <v>2451</v>
      </c>
      <c r="N118" t="s">
        <v>431</v>
      </c>
      <c r="O118" t="s">
        <v>432</v>
      </c>
      <c r="P118" t="s">
        <v>533</v>
      </c>
      <c r="R118" t="s">
        <v>58</v>
      </c>
      <c r="V118" t="s">
        <v>2452</v>
      </c>
      <c r="W118" t="e">
        <v>#N/A</v>
      </c>
      <c r="X118" t="e">
        <f>#N/A</f>
        <v>#N/A</v>
      </c>
      <c r="Y118" t="s">
        <v>1791</v>
      </c>
    </row>
    <row r="119" spans="1:25" ht="14.5" x14ac:dyDescent="0.35">
      <c r="A119" t="s">
        <v>2453</v>
      </c>
      <c r="B119" t="s">
        <v>2454</v>
      </c>
      <c r="D119" t="s">
        <v>164</v>
      </c>
      <c r="G119" t="s">
        <v>30</v>
      </c>
      <c r="K119" t="s">
        <v>33</v>
      </c>
      <c r="M119" t="s">
        <v>2136</v>
      </c>
      <c r="U119" t="s">
        <v>2139</v>
      </c>
      <c r="W119" t="e">
        <v>#N/A</v>
      </c>
      <c r="X119" t="e">
        <f>#N/A</f>
        <v>#N/A</v>
      </c>
      <c r="Y119" t="s">
        <v>1791</v>
      </c>
    </row>
    <row r="120" spans="1:25" ht="14.5" x14ac:dyDescent="0.35">
      <c r="A120" t="s">
        <v>2455</v>
      </c>
      <c r="B120" t="s">
        <v>2456</v>
      </c>
      <c r="C120" t="s">
        <v>2457</v>
      </c>
      <c r="D120" t="s">
        <v>164</v>
      </c>
      <c r="E120" t="s">
        <v>2458</v>
      </c>
      <c r="G120" t="s">
        <v>30</v>
      </c>
      <c r="H120" t="s">
        <v>2455</v>
      </c>
      <c r="I120" s="3" t="s">
        <v>2459</v>
      </c>
      <c r="J120" t="s">
        <v>2460</v>
      </c>
      <c r="K120" t="s">
        <v>33</v>
      </c>
      <c r="L120" t="s">
        <v>2461</v>
      </c>
      <c r="M120" t="s">
        <v>2462</v>
      </c>
      <c r="Q120" t="s">
        <v>2463</v>
      </c>
      <c r="R120" t="s">
        <v>50</v>
      </c>
      <c r="T120" t="s">
        <v>2464</v>
      </c>
      <c r="U120" t="s">
        <v>2465</v>
      </c>
      <c r="W120" t="e">
        <v>#N/A</v>
      </c>
      <c r="X120" t="e">
        <f>#N/A</f>
        <v>#N/A</v>
      </c>
      <c r="Y120" t="s">
        <v>1791</v>
      </c>
    </row>
    <row r="121" spans="1:25" ht="14.5" x14ac:dyDescent="0.35">
      <c r="A121" t="s">
        <v>2466</v>
      </c>
      <c r="B121" t="s">
        <v>2467</v>
      </c>
      <c r="C121" t="s">
        <v>2468</v>
      </c>
      <c r="D121" t="s">
        <v>239</v>
      </c>
      <c r="E121" t="s">
        <v>2469</v>
      </c>
      <c r="G121" t="s">
        <v>30</v>
      </c>
      <c r="H121" t="s">
        <v>2466</v>
      </c>
      <c r="I121" s="3" t="s">
        <v>2470</v>
      </c>
      <c r="J121" t="s">
        <v>2471</v>
      </c>
      <c r="K121" t="s">
        <v>33</v>
      </c>
      <c r="L121" t="s">
        <v>2472</v>
      </c>
      <c r="M121" t="s">
        <v>2473</v>
      </c>
      <c r="Q121" t="s">
        <v>2474</v>
      </c>
      <c r="R121" t="s">
        <v>92</v>
      </c>
      <c r="T121" t="s">
        <v>2475</v>
      </c>
      <c r="U121" t="s">
        <v>2476</v>
      </c>
      <c r="W121" t="e">
        <v>#N/A</v>
      </c>
      <c r="X121" t="e">
        <f>#N/A</f>
        <v>#N/A</v>
      </c>
      <c r="Y121" t="s">
        <v>1791</v>
      </c>
    </row>
    <row r="122" spans="1:25" ht="14.5" x14ac:dyDescent="0.35">
      <c r="A122" t="s">
        <v>2477</v>
      </c>
      <c r="B122" t="s">
        <v>2478</v>
      </c>
      <c r="C122" t="s">
        <v>2479</v>
      </c>
      <c r="D122" t="s">
        <v>28</v>
      </c>
      <c r="F122" t="s">
        <v>1185</v>
      </c>
      <c r="G122" t="s">
        <v>30</v>
      </c>
      <c r="H122" t="s">
        <v>2477</v>
      </c>
      <c r="I122" s="3" t="s">
        <v>2480</v>
      </c>
      <c r="J122" t="s">
        <v>2481</v>
      </c>
      <c r="K122" t="s">
        <v>33</v>
      </c>
      <c r="N122" t="s">
        <v>1188</v>
      </c>
      <c r="O122" t="s">
        <v>507</v>
      </c>
      <c r="P122" t="s">
        <v>37</v>
      </c>
      <c r="R122" t="s">
        <v>2058</v>
      </c>
      <c r="S122" t="s">
        <v>379</v>
      </c>
      <c r="T122" t="s">
        <v>2482</v>
      </c>
      <c r="V122" t="s">
        <v>796</v>
      </c>
      <c r="W122" t="e">
        <v>#N/A</v>
      </c>
      <c r="X122" t="e">
        <f>#N/A</f>
        <v>#N/A</v>
      </c>
      <c r="Y122" t="s">
        <v>1791</v>
      </c>
    </row>
    <row r="123" spans="1:25" ht="14.5" x14ac:dyDescent="0.35">
      <c r="A123" t="s">
        <v>2483</v>
      </c>
      <c r="B123" t="s">
        <v>2484</v>
      </c>
      <c r="C123" t="s">
        <v>2485</v>
      </c>
      <c r="D123" t="s">
        <v>28</v>
      </c>
      <c r="E123" t="s">
        <v>87</v>
      </c>
      <c r="G123" t="s">
        <v>30</v>
      </c>
      <c r="H123" t="s">
        <v>2483</v>
      </c>
      <c r="I123" s="3" t="s">
        <v>2486</v>
      </c>
      <c r="J123" t="s">
        <v>2487</v>
      </c>
      <c r="K123" t="s">
        <v>33</v>
      </c>
      <c r="M123" t="s">
        <v>90</v>
      </c>
      <c r="Q123" t="s">
        <v>91</v>
      </c>
      <c r="R123" t="s">
        <v>246</v>
      </c>
      <c r="S123" t="s">
        <v>180</v>
      </c>
      <c r="T123" t="s">
        <v>2488</v>
      </c>
      <c r="U123" t="s">
        <v>94</v>
      </c>
      <c r="W123" t="e">
        <v>#N/A</v>
      </c>
      <c r="X123" t="e">
        <f>#N/A</f>
        <v>#N/A</v>
      </c>
      <c r="Y123" t="s">
        <v>1791</v>
      </c>
    </row>
    <row r="124" spans="1:25" ht="14.5" x14ac:dyDescent="0.35">
      <c r="A124" t="s">
        <v>676</v>
      </c>
      <c r="B124" t="s">
        <v>677</v>
      </c>
      <c r="C124" t="s">
        <v>678</v>
      </c>
      <c r="D124" t="s">
        <v>62</v>
      </c>
      <c r="E124" t="s">
        <v>679</v>
      </c>
      <c r="G124" t="s">
        <v>30</v>
      </c>
      <c r="H124" t="s">
        <v>676</v>
      </c>
      <c r="I124" s="3" t="s">
        <v>680</v>
      </c>
      <c r="J124" t="s">
        <v>681</v>
      </c>
      <c r="K124" t="s">
        <v>33</v>
      </c>
      <c r="L124" t="s">
        <v>682</v>
      </c>
      <c r="M124" t="s">
        <v>683</v>
      </c>
      <c r="Q124" t="s">
        <v>684</v>
      </c>
      <c r="R124" t="s">
        <v>50</v>
      </c>
      <c r="T124" t="s">
        <v>685</v>
      </c>
      <c r="U124" t="s">
        <v>686</v>
      </c>
      <c r="W124" t="str">
        <v>Algorithmic thinking in early childhood</v>
      </c>
      <c r="X124" t="s">
        <v>677</v>
      </c>
      <c r="Y124" t="s">
        <v>1791</v>
      </c>
    </row>
    <row r="125" spans="1:25" ht="14.5" x14ac:dyDescent="0.35">
      <c r="A125" t="s">
        <v>2489</v>
      </c>
      <c r="B125" t="s">
        <v>2490</v>
      </c>
      <c r="D125" t="s">
        <v>28</v>
      </c>
      <c r="G125" t="s">
        <v>30</v>
      </c>
      <c r="J125" t="s">
        <v>2491</v>
      </c>
      <c r="K125" t="s">
        <v>33</v>
      </c>
      <c r="M125" t="s">
        <v>2125</v>
      </c>
      <c r="U125" t="s">
        <v>2128</v>
      </c>
      <c r="W125" t="e">
        <v>#N/A</v>
      </c>
      <c r="X125" t="e">
        <f>#N/A</f>
        <v>#N/A</v>
      </c>
      <c r="Y125" t="s">
        <v>1791</v>
      </c>
    </row>
    <row r="126" spans="1:25" ht="14.5" x14ac:dyDescent="0.35">
      <c r="A126" t="s">
        <v>2492</v>
      </c>
      <c r="B126" t="s">
        <v>2493</v>
      </c>
      <c r="C126" t="s">
        <v>2494</v>
      </c>
      <c r="D126" t="s">
        <v>62</v>
      </c>
      <c r="E126" t="s">
        <v>2495</v>
      </c>
      <c r="G126" t="s">
        <v>30</v>
      </c>
      <c r="H126" t="s">
        <v>2492</v>
      </c>
      <c r="I126" s="3" t="s">
        <v>2496</v>
      </c>
      <c r="J126" t="s">
        <v>2497</v>
      </c>
      <c r="K126" t="s">
        <v>33</v>
      </c>
      <c r="L126" t="s">
        <v>2427</v>
      </c>
      <c r="M126" t="s">
        <v>2498</v>
      </c>
      <c r="Q126" t="s">
        <v>2499</v>
      </c>
      <c r="R126" t="s">
        <v>398</v>
      </c>
      <c r="T126" t="s">
        <v>2500</v>
      </c>
      <c r="U126" t="s">
        <v>400</v>
      </c>
      <c r="W126" t="e">
        <v>#N/A</v>
      </c>
      <c r="X126" t="e">
        <f>#N/A</f>
        <v>#N/A</v>
      </c>
      <c r="Y126" t="s">
        <v>1791</v>
      </c>
    </row>
    <row r="127" spans="1:25" ht="14.5" x14ac:dyDescent="0.35">
      <c r="A127" t="s">
        <v>2501</v>
      </c>
      <c r="B127" t="s">
        <v>2502</v>
      </c>
      <c r="C127" t="s">
        <v>2503</v>
      </c>
      <c r="D127" t="s">
        <v>239</v>
      </c>
      <c r="E127" t="s">
        <v>296</v>
      </c>
      <c r="G127" t="s">
        <v>30</v>
      </c>
      <c r="H127" t="s">
        <v>2501</v>
      </c>
      <c r="I127" s="3" t="s">
        <v>2504</v>
      </c>
      <c r="J127" t="s">
        <v>2505</v>
      </c>
      <c r="K127" t="s">
        <v>33</v>
      </c>
      <c r="L127" t="s">
        <v>2506</v>
      </c>
      <c r="M127" t="s">
        <v>300</v>
      </c>
      <c r="Q127" t="s">
        <v>301</v>
      </c>
      <c r="R127" t="s">
        <v>58</v>
      </c>
      <c r="T127" t="s">
        <v>2507</v>
      </c>
      <c r="U127" t="s">
        <v>292</v>
      </c>
      <c r="W127" t="e">
        <v>#N/A</v>
      </c>
      <c r="X127" t="e">
        <f>#N/A</f>
        <v>#N/A</v>
      </c>
      <c r="Y127" t="s">
        <v>1791</v>
      </c>
    </row>
    <row r="128" spans="1:25" ht="14.5" x14ac:dyDescent="0.35">
      <c r="A128" t="s">
        <v>2508</v>
      </c>
      <c r="B128" t="s">
        <v>2509</v>
      </c>
      <c r="D128" t="s">
        <v>98</v>
      </c>
      <c r="G128" t="s">
        <v>30</v>
      </c>
      <c r="J128" t="s">
        <v>2510</v>
      </c>
      <c r="K128" t="s">
        <v>33</v>
      </c>
      <c r="M128" t="s">
        <v>2108</v>
      </c>
      <c r="U128" t="s">
        <v>2111</v>
      </c>
      <c r="W128" t="e">
        <v>#N/A</v>
      </c>
      <c r="X128" t="e">
        <f>#N/A</f>
        <v>#N/A</v>
      </c>
      <c r="Y128" t="s">
        <v>1791</v>
      </c>
    </row>
    <row r="129" spans="1:25" ht="14.5" x14ac:dyDescent="0.35">
      <c r="A129" t="s">
        <v>326</v>
      </c>
      <c r="B129" t="s">
        <v>327</v>
      </c>
      <c r="C129" t="s">
        <v>328</v>
      </c>
      <c r="D129" t="s">
        <v>239</v>
      </c>
      <c r="E129" t="s">
        <v>329</v>
      </c>
      <c r="G129" t="s">
        <v>30</v>
      </c>
      <c r="H129" t="s">
        <v>326</v>
      </c>
      <c r="I129" s="3" t="s">
        <v>330</v>
      </c>
      <c r="J129" t="s">
        <v>331</v>
      </c>
      <c r="K129" t="s">
        <v>33</v>
      </c>
      <c r="L129" t="s">
        <v>332</v>
      </c>
      <c r="M129" t="s">
        <v>333</v>
      </c>
      <c r="Q129" t="s">
        <v>334</v>
      </c>
      <c r="R129" t="s">
        <v>69</v>
      </c>
      <c r="T129" t="s">
        <v>335</v>
      </c>
      <c r="U129" t="s">
        <v>336</v>
      </c>
      <c r="W129" t="str">
        <v>The Design, Development, and Evaluation of a Novel Computer-based Competency Assessment of Computational Thinking</v>
      </c>
      <c r="X129" t="s">
        <v>327</v>
      </c>
      <c r="Y129" t="s">
        <v>1791</v>
      </c>
    </row>
    <row r="130" spans="1:25" ht="14.5" x14ac:dyDescent="0.35">
      <c r="A130" t="s">
        <v>2511</v>
      </c>
      <c r="B130" t="s">
        <v>2512</v>
      </c>
      <c r="C130" t="s">
        <v>2513</v>
      </c>
      <c r="D130" t="s">
        <v>195</v>
      </c>
      <c r="E130" t="s">
        <v>842</v>
      </c>
      <c r="G130" t="s">
        <v>30</v>
      </c>
      <c r="H130" t="s">
        <v>2511</v>
      </c>
      <c r="I130" s="3" t="s">
        <v>2514</v>
      </c>
      <c r="J130" t="s">
        <v>2515</v>
      </c>
      <c r="K130" t="s">
        <v>33</v>
      </c>
      <c r="L130" t="s">
        <v>2516</v>
      </c>
      <c r="M130" t="s">
        <v>846</v>
      </c>
      <c r="Q130" t="s">
        <v>847</v>
      </c>
      <c r="R130" t="s">
        <v>58</v>
      </c>
      <c r="T130" t="s">
        <v>2517</v>
      </c>
      <c r="U130" t="s">
        <v>849</v>
      </c>
      <c r="W130" t="e">
        <v>#N/A</v>
      </c>
      <c r="X130" t="e">
        <f>#N/A</f>
        <v>#N/A</v>
      </c>
      <c r="Y130" t="s">
        <v>1791</v>
      </c>
    </row>
    <row r="131" spans="1:25" ht="14.5" x14ac:dyDescent="0.35">
      <c r="A131" t="s">
        <v>2518</v>
      </c>
      <c r="B131" t="s">
        <v>2519</v>
      </c>
      <c r="D131" t="s">
        <v>62</v>
      </c>
      <c r="G131" t="s">
        <v>30</v>
      </c>
      <c r="J131" t="s">
        <v>2520</v>
      </c>
      <c r="K131" t="s">
        <v>33</v>
      </c>
      <c r="M131" t="s">
        <v>1988</v>
      </c>
      <c r="U131" t="s">
        <v>1991</v>
      </c>
      <c r="W131" t="e">
        <v>#N/A</v>
      </c>
      <c r="X131" t="e">
        <f>#N/A</f>
        <v>#N/A</v>
      </c>
      <c r="Y131" t="s">
        <v>1791</v>
      </c>
    </row>
    <row r="132" spans="1:25" ht="14.5" x14ac:dyDescent="0.35">
      <c r="A132" t="s">
        <v>2521</v>
      </c>
      <c r="B132" t="s">
        <v>2522</v>
      </c>
      <c r="C132" t="s">
        <v>2523</v>
      </c>
      <c r="D132" t="s">
        <v>62</v>
      </c>
      <c r="E132" t="s">
        <v>2524</v>
      </c>
      <c r="G132" t="s">
        <v>30</v>
      </c>
      <c r="H132" t="s">
        <v>2521</v>
      </c>
      <c r="I132" s="3" t="s">
        <v>2525</v>
      </c>
      <c r="J132" t="s">
        <v>2526</v>
      </c>
      <c r="K132" t="s">
        <v>33</v>
      </c>
      <c r="L132" t="s">
        <v>2527</v>
      </c>
      <c r="M132" t="s">
        <v>2528</v>
      </c>
      <c r="Q132" t="s">
        <v>2529</v>
      </c>
      <c r="R132" t="s">
        <v>58</v>
      </c>
      <c r="T132" t="s">
        <v>2530</v>
      </c>
      <c r="U132" t="s">
        <v>2531</v>
      </c>
      <c r="W132" t="e">
        <v>#N/A</v>
      </c>
      <c r="X132" t="e">
        <f>#N/A</f>
        <v>#N/A</v>
      </c>
      <c r="Y132" t="s">
        <v>1791</v>
      </c>
    </row>
    <row r="133" spans="1:25" ht="14.5" x14ac:dyDescent="0.35">
      <c r="A133" t="s">
        <v>2532</v>
      </c>
      <c r="B133" t="s">
        <v>2533</v>
      </c>
      <c r="C133" t="s">
        <v>2534</v>
      </c>
      <c r="D133" t="s">
        <v>263</v>
      </c>
      <c r="E133" t="s">
        <v>1612</v>
      </c>
      <c r="G133" t="s">
        <v>30</v>
      </c>
      <c r="H133" t="s">
        <v>2532</v>
      </c>
      <c r="I133" s="3" t="s">
        <v>2535</v>
      </c>
      <c r="J133" t="s">
        <v>2536</v>
      </c>
      <c r="K133" t="s">
        <v>33</v>
      </c>
      <c r="L133" t="s">
        <v>2537</v>
      </c>
      <c r="M133" t="s">
        <v>1616</v>
      </c>
      <c r="Q133" t="s">
        <v>1617</v>
      </c>
      <c r="R133" t="s">
        <v>69</v>
      </c>
      <c r="T133" t="s">
        <v>2538</v>
      </c>
      <c r="U133" t="s">
        <v>1619</v>
      </c>
      <c r="W133" t="e">
        <v>#N/A</v>
      </c>
      <c r="X133" t="e">
        <f>#N/A</f>
        <v>#N/A</v>
      </c>
      <c r="Y133" t="s">
        <v>1791</v>
      </c>
    </row>
    <row r="134" spans="1:25" ht="14.5" x14ac:dyDescent="0.35">
      <c r="A134" t="s">
        <v>1666</v>
      </c>
      <c r="B134" t="s">
        <v>1667</v>
      </c>
      <c r="D134" t="s">
        <v>28</v>
      </c>
      <c r="G134" t="s">
        <v>30</v>
      </c>
      <c r="K134" t="s">
        <v>33</v>
      </c>
      <c r="M134" t="s">
        <v>90</v>
      </c>
      <c r="U134" t="s">
        <v>94</v>
      </c>
      <c r="W134" t="str">
        <v>WiPSCE '24: Proceedings of the 19th WiPSCE Conference on Primary and Secondary Computing Education Research</v>
      </c>
      <c r="X134" t="s">
        <v>1667</v>
      </c>
      <c r="Y134" t="s">
        <v>1791</v>
      </c>
    </row>
    <row r="135" spans="1:25" ht="14.5" x14ac:dyDescent="0.35">
      <c r="A135" t="s">
        <v>1277</v>
      </c>
      <c r="B135" t="s">
        <v>1278</v>
      </c>
      <c r="C135" t="s">
        <v>1279</v>
      </c>
      <c r="D135" t="s">
        <v>529</v>
      </c>
      <c r="F135" t="s">
        <v>99</v>
      </c>
      <c r="G135" t="s">
        <v>30</v>
      </c>
      <c r="H135" t="s">
        <v>1277</v>
      </c>
      <c r="I135" s="3" t="s">
        <v>1280</v>
      </c>
      <c r="J135" t="s">
        <v>1281</v>
      </c>
      <c r="K135" t="s">
        <v>33</v>
      </c>
      <c r="O135" t="s">
        <v>507</v>
      </c>
      <c r="P135" t="s">
        <v>533</v>
      </c>
      <c r="R135" t="s">
        <v>1189</v>
      </c>
      <c r="S135" t="s">
        <v>36</v>
      </c>
      <c r="T135" t="s">
        <v>1282</v>
      </c>
      <c r="V135" t="s">
        <v>1283</v>
      </c>
      <c r="W135" t="str">
        <v>Teaching Computational Thinking Using Agile Software Engineering Methods: A Framework for Middle Schools</v>
      </c>
      <c r="X135" t="s">
        <v>1278</v>
      </c>
      <c r="Y135" t="s">
        <v>1791</v>
      </c>
    </row>
    <row r="136" spans="1:25" ht="14.5" x14ac:dyDescent="0.35">
      <c r="A136" t="s">
        <v>1473</v>
      </c>
      <c r="B136" t="s">
        <v>1474</v>
      </c>
      <c r="D136" t="s">
        <v>98</v>
      </c>
      <c r="G136" t="s">
        <v>30</v>
      </c>
      <c r="J136" t="s">
        <v>1060</v>
      </c>
      <c r="K136" t="s">
        <v>33</v>
      </c>
      <c r="M136" t="s">
        <v>190</v>
      </c>
      <c r="U136" t="s">
        <v>114</v>
      </c>
      <c r="W136" t="str">
        <v>SIGCSETS 2025: Proceedings of the 56th ACM Technical Symposium on Computer Science Education V. 1</v>
      </c>
      <c r="X136" t="s">
        <v>1474</v>
      </c>
      <c r="Y136" t="s">
        <v>1791</v>
      </c>
    </row>
    <row r="137" spans="1:25" ht="14.5" x14ac:dyDescent="0.35">
      <c r="A137" t="s">
        <v>2539</v>
      </c>
      <c r="B137" t="s">
        <v>2540</v>
      </c>
      <c r="C137" t="s">
        <v>2541</v>
      </c>
      <c r="D137" t="s">
        <v>43</v>
      </c>
      <c r="E137" t="s">
        <v>2542</v>
      </c>
      <c r="G137" t="s">
        <v>30</v>
      </c>
      <c r="H137" t="s">
        <v>2539</v>
      </c>
      <c r="I137" s="3" t="s">
        <v>2543</v>
      </c>
      <c r="J137" t="s">
        <v>2544</v>
      </c>
      <c r="K137" t="s">
        <v>33</v>
      </c>
      <c r="L137" t="s">
        <v>2545</v>
      </c>
      <c r="M137" t="s">
        <v>2546</v>
      </c>
      <c r="Q137" t="s">
        <v>2547</v>
      </c>
      <c r="R137" t="s">
        <v>246</v>
      </c>
      <c r="T137" t="s">
        <v>2548</v>
      </c>
      <c r="U137" t="s">
        <v>2549</v>
      </c>
      <c r="W137" t="e">
        <v>#N/A</v>
      </c>
      <c r="X137" t="e">
        <f>#N/A</f>
        <v>#N/A</v>
      </c>
      <c r="Y137" t="s">
        <v>1791</v>
      </c>
    </row>
    <row r="138" spans="1:25" ht="14.5" x14ac:dyDescent="0.35">
      <c r="A138" t="s">
        <v>1002</v>
      </c>
      <c r="B138" t="s">
        <v>1003</v>
      </c>
      <c r="C138" t="s">
        <v>1004</v>
      </c>
      <c r="D138" t="s">
        <v>263</v>
      </c>
      <c r="E138" t="s">
        <v>1005</v>
      </c>
      <c r="G138" t="s">
        <v>30</v>
      </c>
      <c r="H138" t="s">
        <v>1002</v>
      </c>
      <c r="I138" s="3" t="s">
        <v>1006</v>
      </c>
      <c r="J138" t="s">
        <v>1007</v>
      </c>
      <c r="K138" t="s">
        <v>33</v>
      </c>
      <c r="M138" t="s">
        <v>1008</v>
      </c>
      <c r="Q138" t="s">
        <v>1009</v>
      </c>
      <c r="R138" t="s">
        <v>50</v>
      </c>
      <c r="S138" t="s">
        <v>168</v>
      </c>
      <c r="T138" t="s">
        <v>1010</v>
      </c>
      <c r="U138" t="s">
        <v>1011</v>
      </c>
      <c r="W138" t="str">
        <v>Infusing computational thinking into middle grade science classrooms: lessons learned</v>
      </c>
      <c r="X138" t="s">
        <v>1003</v>
      </c>
      <c r="Y138" t="s">
        <v>1791</v>
      </c>
    </row>
    <row r="139" spans="1:25" ht="14.5" x14ac:dyDescent="0.35">
      <c r="A139" t="s">
        <v>1295</v>
      </c>
      <c r="B139" t="s">
        <v>1296</v>
      </c>
      <c r="C139" t="s">
        <v>1297</v>
      </c>
      <c r="D139" t="s">
        <v>306</v>
      </c>
      <c r="E139" t="s">
        <v>1298</v>
      </c>
      <c r="G139" t="s">
        <v>30</v>
      </c>
      <c r="H139" t="s">
        <v>1295</v>
      </c>
      <c r="I139" s="3" t="s">
        <v>1299</v>
      </c>
      <c r="J139" t="s">
        <v>1300</v>
      </c>
      <c r="K139" t="s">
        <v>33</v>
      </c>
      <c r="L139" t="s">
        <v>1301</v>
      </c>
      <c r="M139" t="s">
        <v>1302</v>
      </c>
      <c r="Q139" t="s">
        <v>1303</v>
      </c>
      <c r="R139" t="s">
        <v>58</v>
      </c>
      <c r="T139" t="s">
        <v>1304</v>
      </c>
      <c r="U139" t="s">
        <v>1305</v>
      </c>
      <c r="W139" t="str">
        <v>Assessing Computational Thinking in Students' Game Designs</v>
      </c>
      <c r="X139" t="s">
        <v>1296</v>
      </c>
      <c r="Y139" t="s">
        <v>1791</v>
      </c>
    </row>
    <row r="140" spans="1:25" ht="14.5" x14ac:dyDescent="0.35">
      <c r="A140" t="s">
        <v>2550</v>
      </c>
      <c r="B140" t="s">
        <v>2551</v>
      </c>
      <c r="D140" t="s">
        <v>28</v>
      </c>
      <c r="G140" t="s">
        <v>30</v>
      </c>
      <c r="K140" t="s">
        <v>33</v>
      </c>
      <c r="M140" t="s">
        <v>1805</v>
      </c>
      <c r="U140" t="s">
        <v>1808</v>
      </c>
      <c r="W140" t="e">
        <v>#N/A</v>
      </c>
      <c r="X140" t="e">
        <f>#N/A</f>
        <v>#N/A</v>
      </c>
      <c r="Y140" t="s">
        <v>1791</v>
      </c>
    </row>
    <row r="141" spans="1:25" ht="14.5" x14ac:dyDescent="0.35">
      <c r="A141" t="s">
        <v>2552</v>
      </c>
      <c r="B141" t="s">
        <v>2553</v>
      </c>
      <c r="C141" t="s">
        <v>2554</v>
      </c>
      <c r="D141" t="s">
        <v>43</v>
      </c>
      <c r="E141" t="s">
        <v>141</v>
      </c>
      <c r="G141" t="s">
        <v>30</v>
      </c>
      <c r="H141" t="s">
        <v>2552</v>
      </c>
      <c r="I141" s="3" t="s">
        <v>2555</v>
      </c>
      <c r="J141" t="s">
        <v>2556</v>
      </c>
      <c r="K141" t="s">
        <v>33</v>
      </c>
      <c r="L141" t="s">
        <v>2557</v>
      </c>
      <c r="M141" t="s">
        <v>145</v>
      </c>
      <c r="Q141" t="s">
        <v>146</v>
      </c>
      <c r="R141" t="s">
        <v>58</v>
      </c>
      <c r="T141" t="s">
        <v>2558</v>
      </c>
      <c r="U141" t="s">
        <v>148</v>
      </c>
      <c r="W141" t="e">
        <v>#N/A</v>
      </c>
      <c r="X141" t="e">
        <f>#N/A</f>
        <v>#N/A</v>
      </c>
      <c r="Y141" t="s">
        <v>1791</v>
      </c>
    </row>
    <row r="142" spans="1:25" ht="14.5" x14ac:dyDescent="0.35">
      <c r="A142" t="s">
        <v>1012</v>
      </c>
      <c r="B142" t="s">
        <v>1013</v>
      </c>
      <c r="C142" t="s">
        <v>1014</v>
      </c>
      <c r="D142" t="s">
        <v>43</v>
      </c>
      <c r="E142" t="s">
        <v>1015</v>
      </c>
      <c r="G142" t="s">
        <v>30</v>
      </c>
      <c r="H142" t="s">
        <v>1012</v>
      </c>
      <c r="I142" s="3" t="s">
        <v>1016</v>
      </c>
      <c r="J142" t="s">
        <v>1017</v>
      </c>
      <c r="K142" t="s">
        <v>33</v>
      </c>
      <c r="L142" t="s">
        <v>1018</v>
      </c>
      <c r="M142" t="s">
        <v>1019</v>
      </c>
      <c r="Q142" t="s">
        <v>1020</v>
      </c>
      <c r="R142" t="s">
        <v>135</v>
      </c>
      <c r="T142" t="s">
        <v>1021</v>
      </c>
      <c r="U142" t="s">
        <v>1022</v>
      </c>
      <c r="W142" t="str">
        <v>Integrating Computational Thinking into the Process of Learning Artificial Intelligence</v>
      </c>
      <c r="X142" t="s">
        <v>1013</v>
      </c>
      <c r="Y142" t="s">
        <v>1791</v>
      </c>
    </row>
    <row r="143" spans="1:25" ht="14.5" x14ac:dyDescent="0.35">
      <c r="A143" t="s">
        <v>1363</v>
      </c>
      <c r="B143" t="s">
        <v>1364</v>
      </c>
      <c r="C143" t="s">
        <v>1365</v>
      </c>
      <c r="D143" t="s">
        <v>529</v>
      </c>
      <c r="E143" t="s">
        <v>1366</v>
      </c>
      <c r="G143" t="s">
        <v>30</v>
      </c>
      <c r="H143" t="s">
        <v>1363</v>
      </c>
      <c r="I143" s="3" t="s">
        <v>1367</v>
      </c>
      <c r="J143" t="s">
        <v>1368</v>
      </c>
      <c r="K143" t="s">
        <v>33</v>
      </c>
      <c r="L143" t="s">
        <v>1369</v>
      </c>
      <c r="M143" t="s">
        <v>1370</v>
      </c>
      <c r="Q143" t="s">
        <v>1371</v>
      </c>
      <c r="R143" t="s">
        <v>81</v>
      </c>
      <c r="T143" t="s">
        <v>1372</v>
      </c>
      <c r="U143" t="s">
        <v>1373</v>
      </c>
      <c r="W143" t="str">
        <v>Conceptions and Misconceptions about Computational Thinking among Italian Primary School Teachers</v>
      </c>
      <c r="X143" t="s">
        <v>1364</v>
      </c>
      <c r="Y143" t="s">
        <v>1791</v>
      </c>
    </row>
    <row r="144" spans="1:25" ht="14.5" x14ac:dyDescent="0.35">
      <c r="A144" t="s">
        <v>2559</v>
      </c>
      <c r="B144" t="s">
        <v>2560</v>
      </c>
      <c r="C144" t="s">
        <v>2561</v>
      </c>
      <c r="D144" t="s">
        <v>600</v>
      </c>
      <c r="E144" t="s">
        <v>2562</v>
      </c>
      <c r="G144" t="s">
        <v>30</v>
      </c>
      <c r="H144" t="s">
        <v>2559</v>
      </c>
      <c r="I144" s="3" t="s">
        <v>2563</v>
      </c>
      <c r="J144" t="s">
        <v>2564</v>
      </c>
      <c r="K144" t="s">
        <v>33</v>
      </c>
      <c r="L144" t="s">
        <v>2565</v>
      </c>
      <c r="M144" t="s">
        <v>2566</v>
      </c>
      <c r="Q144" t="s">
        <v>2567</v>
      </c>
      <c r="R144" t="s">
        <v>50</v>
      </c>
      <c r="T144" t="s">
        <v>2568</v>
      </c>
      <c r="U144" t="s">
        <v>2569</v>
      </c>
      <c r="W144" t="e">
        <v>#N/A</v>
      </c>
      <c r="X144" t="e">
        <f>#N/A</f>
        <v>#N/A</v>
      </c>
      <c r="Y144" t="s">
        <v>1791</v>
      </c>
    </row>
    <row r="145" spans="1:25" ht="14.5" x14ac:dyDescent="0.35">
      <c r="A145" t="s">
        <v>1552</v>
      </c>
      <c r="B145" t="s">
        <v>1553</v>
      </c>
      <c r="D145" t="s">
        <v>28</v>
      </c>
      <c r="G145" t="s">
        <v>30</v>
      </c>
      <c r="J145" t="s">
        <v>1257</v>
      </c>
      <c r="K145" t="s">
        <v>33</v>
      </c>
      <c r="M145" t="s">
        <v>289</v>
      </c>
      <c r="U145" t="s">
        <v>292</v>
      </c>
      <c r="W145" t="str">
        <v>SIGCSE 2024: Proceedings of the 55th ACM Technical Symposium on Computer Science Education V. 1</v>
      </c>
      <c r="X145" t="s">
        <v>1553</v>
      </c>
      <c r="Y145" t="s">
        <v>1791</v>
      </c>
    </row>
    <row r="146" spans="1:25" ht="14.5" x14ac:dyDescent="0.35">
      <c r="A146" t="s">
        <v>2570</v>
      </c>
      <c r="B146" t="s">
        <v>2571</v>
      </c>
      <c r="D146" t="s">
        <v>62</v>
      </c>
      <c r="G146" t="s">
        <v>30</v>
      </c>
      <c r="K146" t="s">
        <v>33</v>
      </c>
      <c r="M146" t="s">
        <v>1873</v>
      </c>
      <c r="U146" t="s">
        <v>1876</v>
      </c>
      <c r="W146" t="e">
        <v>#N/A</v>
      </c>
      <c r="X146" t="e">
        <f>#N/A</f>
        <v>#N/A</v>
      </c>
      <c r="Y146" t="s">
        <v>1791</v>
      </c>
    </row>
    <row r="147" spans="1:25" ht="14.5" x14ac:dyDescent="0.35">
      <c r="A147" t="s">
        <v>1319</v>
      </c>
      <c r="B147" t="s">
        <v>1320</v>
      </c>
      <c r="D147" t="s">
        <v>98</v>
      </c>
      <c r="G147" t="s">
        <v>30</v>
      </c>
      <c r="J147" t="s">
        <v>1321</v>
      </c>
      <c r="K147" t="s">
        <v>33</v>
      </c>
      <c r="M147" t="s">
        <v>419</v>
      </c>
      <c r="U147" t="s">
        <v>487</v>
      </c>
      <c r="W147" t="str">
        <v>RESPECT 2025: Proceedings of the 2025 Conference on Research on Equitable and Sustained Participation in Engineering, Computing, and Technology</v>
      </c>
      <c r="X147" t="s">
        <v>1320</v>
      </c>
      <c r="Y147" t="s">
        <v>1791</v>
      </c>
    </row>
    <row r="148" spans="1:25" ht="14.5" x14ac:dyDescent="0.35">
      <c r="A148" t="s">
        <v>2572</v>
      </c>
      <c r="B148" t="s">
        <v>2573</v>
      </c>
      <c r="C148" t="s">
        <v>2574</v>
      </c>
      <c r="D148" t="s">
        <v>2575</v>
      </c>
      <c r="E148" t="s">
        <v>2576</v>
      </c>
      <c r="G148" t="s">
        <v>30</v>
      </c>
      <c r="H148" t="s">
        <v>2572</v>
      </c>
      <c r="I148" s="3" t="s">
        <v>2577</v>
      </c>
      <c r="J148" t="s">
        <v>2578</v>
      </c>
      <c r="K148" t="s">
        <v>33</v>
      </c>
      <c r="L148" t="s">
        <v>2579</v>
      </c>
      <c r="M148" t="s">
        <v>2580</v>
      </c>
      <c r="Q148" t="s">
        <v>2581</v>
      </c>
      <c r="R148" t="s">
        <v>135</v>
      </c>
      <c r="T148" t="s">
        <v>2582</v>
      </c>
      <c r="U148" t="s">
        <v>2583</v>
      </c>
      <c r="W148" t="e">
        <v>#N/A</v>
      </c>
      <c r="X148" t="e">
        <f>#N/A</f>
        <v>#N/A</v>
      </c>
      <c r="Y148" t="s">
        <v>1791</v>
      </c>
    </row>
    <row r="149" spans="1:25" ht="14.5" x14ac:dyDescent="0.35">
      <c r="A149" t="s">
        <v>2584</v>
      </c>
      <c r="B149" t="s">
        <v>2585</v>
      </c>
      <c r="D149" t="s">
        <v>62</v>
      </c>
      <c r="G149" t="s">
        <v>30</v>
      </c>
      <c r="K149" t="s">
        <v>33</v>
      </c>
      <c r="M149" t="s">
        <v>2167</v>
      </c>
      <c r="U149" t="s">
        <v>235</v>
      </c>
      <c r="W149" t="e">
        <v>#N/A</v>
      </c>
      <c r="X149" t="e">
        <f>#N/A</f>
        <v>#N/A</v>
      </c>
      <c r="Y149" t="s">
        <v>1791</v>
      </c>
    </row>
    <row r="150" spans="1:25" ht="14.5" x14ac:dyDescent="0.35">
      <c r="A150" t="s">
        <v>2586</v>
      </c>
      <c r="B150" t="s">
        <v>2587</v>
      </c>
      <c r="C150" t="s">
        <v>2588</v>
      </c>
      <c r="D150" t="s">
        <v>2575</v>
      </c>
      <c r="E150" t="s">
        <v>2589</v>
      </c>
      <c r="G150" t="s">
        <v>30</v>
      </c>
      <c r="H150" t="s">
        <v>2586</v>
      </c>
      <c r="I150" s="3" t="s">
        <v>2590</v>
      </c>
      <c r="J150" t="s">
        <v>2591</v>
      </c>
      <c r="K150" t="s">
        <v>33</v>
      </c>
      <c r="L150" t="s">
        <v>2592</v>
      </c>
      <c r="M150" t="s">
        <v>2593</v>
      </c>
      <c r="Q150" t="s">
        <v>2594</v>
      </c>
      <c r="R150" t="s">
        <v>246</v>
      </c>
      <c r="T150" t="s">
        <v>2595</v>
      </c>
      <c r="U150" t="s">
        <v>2596</v>
      </c>
      <c r="W150" t="e">
        <v>#N/A</v>
      </c>
      <c r="X150" t="e">
        <f>#N/A</f>
        <v>#N/A</v>
      </c>
      <c r="Y150" t="s">
        <v>1791</v>
      </c>
    </row>
    <row r="151" spans="1:25" ht="14.5" x14ac:dyDescent="0.35">
      <c r="A151" t="s">
        <v>2597</v>
      </c>
      <c r="B151" t="s">
        <v>2598</v>
      </c>
      <c r="D151" t="s">
        <v>164</v>
      </c>
      <c r="G151" t="s">
        <v>30</v>
      </c>
      <c r="K151" t="s">
        <v>33</v>
      </c>
      <c r="M151" t="s">
        <v>2050</v>
      </c>
      <c r="U151" t="s">
        <v>235</v>
      </c>
      <c r="W151" t="e">
        <v>#N/A</v>
      </c>
      <c r="X151" t="e">
        <f>#N/A</f>
        <v>#N/A</v>
      </c>
      <c r="Y151" t="s">
        <v>1791</v>
      </c>
    </row>
    <row r="152" spans="1:25" ht="14.5" x14ac:dyDescent="0.35">
      <c r="A152" t="s">
        <v>1731</v>
      </c>
      <c r="B152" t="s">
        <v>1732</v>
      </c>
      <c r="D152" t="s">
        <v>164</v>
      </c>
      <c r="G152" t="s">
        <v>30</v>
      </c>
      <c r="K152" t="s">
        <v>33</v>
      </c>
      <c r="M152" t="s">
        <v>683</v>
      </c>
      <c r="U152" t="s">
        <v>686</v>
      </c>
      <c r="W152" t="str">
        <v>ICDTE '22: Proceedings of the 6th International Conference on Digital Technology in Education</v>
      </c>
      <c r="X152" t="s">
        <v>1732</v>
      </c>
      <c r="Y152" t="s">
        <v>1791</v>
      </c>
    </row>
    <row r="153" spans="1:25" ht="14.5" x14ac:dyDescent="0.35">
      <c r="A153" t="s">
        <v>1690</v>
      </c>
      <c r="B153" t="s">
        <v>1691</v>
      </c>
      <c r="D153" t="s">
        <v>28</v>
      </c>
      <c r="G153" t="s">
        <v>30</v>
      </c>
      <c r="K153" t="s">
        <v>33</v>
      </c>
      <c r="M153" t="s">
        <v>555</v>
      </c>
      <c r="U153" t="s">
        <v>137</v>
      </c>
      <c r="W153" t="str">
        <v>ICETC '24: Proceedings of the 2024 16th International Conference on Education Technology and Computers</v>
      </c>
      <c r="X153" t="s">
        <v>1691</v>
      </c>
      <c r="Y153" t="s">
        <v>1791</v>
      </c>
    </row>
    <row r="154" spans="1:25" ht="14.5" x14ac:dyDescent="0.35">
      <c r="A154" t="s">
        <v>1729</v>
      </c>
      <c r="B154" t="s">
        <v>1730</v>
      </c>
      <c r="D154" t="s">
        <v>98</v>
      </c>
      <c r="G154" t="s">
        <v>30</v>
      </c>
      <c r="K154" t="s">
        <v>33</v>
      </c>
      <c r="M154" t="s">
        <v>585</v>
      </c>
      <c r="U154" t="s">
        <v>137</v>
      </c>
      <c r="W154" t="str">
        <v>IDC '25: Proceedings of the 24th Interaction Design and Children</v>
      </c>
      <c r="X154" t="s">
        <v>1730</v>
      </c>
      <c r="Y154" t="s">
        <v>1791</v>
      </c>
    </row>
    <row r="155" spans="1:25" ht="14.5" x14ac:dyDescent="0.35">
      <c r="A155" t="s">
        <v>1713</v>
      </c>
      <c r="B155" t="s">
        <v>1714</v>
      </c>
      <c r="D155" t="s">
        <v>98</v>
      </c>
      <c r="G155" t="s">
        <v>30</v>
      </c>
      <c r="K155" t="s">
        <v>33</v>
      </c>
      <c r="M155" t="s">
        <v>1715</v>
      </c>
      <c r="U155" t="s">
        <v>137</v>
      </c>
      <c r="W155" t="str">
        <v>ECCE '25: Proceedings of the 36th Annual Conference of the European Association of Cognitive Ergonomics</v>
      </c>
      <c r="X155" t="s">
        <v>1714</v>
      </c>
      <c r="Y155" t="s">
        <v>1791</v>
      </c>
    </row>
    <row r="156" spans="1:25" ht="14.5" x14ac:dyDescent="0.35">
      <c r="A156" t="s">
        <v>2599</v>
      </c>
      <c r="B156" t="s">
        <v>2600</v>
      </c>
      <c r="D156" t="s">
        <v>28</v>
      </c>
      <c r="G156" t="s">
        <v>30</v>
      </c>
      <c r="K156" t="s">
        <v>33</v>
      </c>
      <c r="M156" t="s">
        <v>2177</v>
      </c>
      <c r="U156" t="s">
        <v>2180</v>
      </c>
      <c r="W156" t="e">
        <v>#N/A</v>
      </c>
      <c r="X156" t="e">
        <f>#N/A</f>
        <v>#N/A</v>
      </c>
      <c r="Y156" t="s">
        <v>1791</v>
      </c>
    </row>
    <row r="157" spans="1:25" ht="14.5" x14ac:dyDescent="0.35">
      <c r="A157" t="s">
        <v>2601</v>
      </c>
      <c r="B157" t="s">
        <v>2602</v>
      </c>
      <c r="D157" t="s">
        <v>62</v>
      </c>
      <c r="G157" t="s">
        <v>30</v>
      </c>
      <c r="K157" t="s">
        <v>33</v>
      </c>
      <c r="M157" t="s">
        <v>2603</v>
      </c>
      <c r="U157" t="s">
        <v>2604</v>
      </c>
      <c r="W157" t="e">
        <v>#N/A</v>
      </c>
      <c r="X157" t="e">
        <f>#N/A</f>
        <v>#N/A</v>
      </c>
      <c r="Y157" t="s">
        <v>1791</v>
      </c>
    </row>
    <row r="158" spans="1:25" ht="14.5" x14ac:dyDescent="0.35">
      <c r="A158" t="s">
        <v>1735</v>
      </c>
      <c r="B158" t="s">
        <v>1736</v>
      </c>
      <c r="D158" t="s">
        <v>98</v>
      </c>
      <c r="G158" t="s">
        <v>30</v>
      </c>
      <c r="K158" t="s">
        <v>33</v>
      </c>
      <c r="M158" t="s">
        <v>728</v>
      </c>
      <c r="U158" t="s">
        <v>137</v>
      </c>
      <c r="W158" t="str">
        <v>LAK '25: Proceedings of the 15th International Learning Analytics and Knowledge Conference</v>
      </c>
      <c r="X158" t="s">
        <v>1736</v>
      </c>
      <c r="Y158" t="s">
        <v>1791</v>
      </c>
    </row>
    <row r="159" spans="1:25" ht="14.5" x14ac:dyDescent="0.35">
      <c r="A159" t="s">
        <v>2605</v>
      </c>
      <c r="B159" t="s">
        <v>2606</v>
      </c>
      <c r="D159" t="s">
        <v>164</v>
      </c>
      <c r="G159" t="s">
        <v>30</v>
      </c>
      <c r="K159" t="s">
        <v>33</v>
      </c>
      <c r="M159" t="s">
        <v>2528</v>
      </c>
      <c r="U159" t="s">
        <v>2531</v>
      </c>
      <c r="W159" t="e">
        <v>#N/A</v>
      </c>
      <c r="X159" t="e">
        <f>#N/A</f>
        <v>#N/A</v>
      </c>
      <c r="Y159" t="s">
        <v>1791</v>
      </c>
    </row>
    <row r="160" spans="1:25" ht="14.5" x14ac:dyDescent="0.35">
      <c r="A160" t="s">
        <v>2607</v>
      </c>
      <c r="B160" t="s">
        <v>2608</v>
      </c>
      <c r="D160" t="s">
        <v>164</v>
      </c>
      <c r="G160" t="s">
        <v>30</v>
      </c>
      <c r="K160" t="s">
        <v>33</v>
      </c>
      <c r="M160" t="s">
        <v>2304</v>
      </c>
      <c r="U160" t="s">
        <v>460</v>
      </c>
      <c r="W160" t="e">
        <v>#N/A</v>
      </c>
      <c r="X160" t="e">
        <f>#N/A</f>
        <v>#N/A</v>
      </c>
      <c r="Y160" t="s">
        <v>1791</v>
      </c>
    </row>
    <row r="161" spans="1:25" ht="14.5" x14ac:dyDescent="0.35">
      <c r="A161" t="s">
        <v>2609</v>
      </c>
      <c r="B161" t="s">
        <v>2359</v>
      </c>
      <c r="D161" t="s">
        <v>62</v>
      </c>
      <c r="G161" t="s">
        <v>30</v>
      </c>
      <c r="K161" t="s">
        <v>33</v>
      </c>
      <c r="M161" t="s">
        <v>2358</v>
      </c>
      <c r="U161" t="s">
        <v>2361</v>
      </c>
      <c r="W161" t="e">
        <v>#N/A</v>
      </c>
      <c r="X161" t="e">
        <f>#N/A</f>
        <v>#N/A</v>
      </c>
      <c r="Y161" t="s">
        <v>1791</v>
      </c>
    </row>
    <row r="162" spans="1:25" ht="14.5" x14ac:dyDescent="0.35">
      <c r="A162" t="s">
        <v>2610</v>
      </c>
      <c r="B162" t="s">
        <v>2611</v>
      </c>
      <c r="D162" t="s">
        <v>62</v>
      </c>
      <c r="G162" t="s">
        <v>30</v>
      </c>
      <c r="K162" t="s">
        <v>33</v>
      </c>
      <c r="M162" t="s">
        <v>2417</v>
      </c>
      <c r="U162" t="s">
        <v>2420</v>
      </c>
      <c r="W162" t="e">
        <v>#N/A</v>
      </c>
      <c r="X162" t="e">
        <f>#N/A</f>
        <v>#N/A</v>
      </c>
      <c r="Y162" t="s">
        <v>1791</v>
      </c>
    </row>
    <row r="163" spans="1:25" ht="14.5" x14ac:dyDescent="0.35">
      <c r="A163" t="s">
        <v>2612</v>
      </c>
      <c r="B163" t="s">
        <v>2613</v>
      </c>
      <c r="D163" t="s">
        <v>62</v>
      </c>
      <c r="G163" t="s">
        <v>30</v>
      </c>
      <c r="K163" t="s">
        <v>33</v>
      </c>
      <c r="M163" t="s">
        <v>2428</v>
      </c>
      <c r="U163" t="s">
        <v>2431</v>
      </c>
      <c r="W163" t="e">
        <v>#N/A</v>
      </c>
      <c r="X163" t="e">
        <f>#N/A</f>
        <v>#N/A</v>
      </c>
      <c r="Y163" t="s">
        <v>1791</v>
      </c>
    </row>
    <row r="164" spans="1:25" ht="14.5" x14ac:dyDescent="0.35">
      <c r="A164" t="s">
        <v>1767</v>
      </c>
      <c r="B164" t="s">
        <v>1768</v>
      </c>
      <c r="D164" t="s">
        <v>62</v>
      </c>
      <c r="G164" t="s">
        <v>30</v>
      </c>
      <c r="K164" t="s">
        <v>33</v>
      </c>
      <c r="M164" t="s">
        <v>564</v>
      </c>
      <c r="U164" t="s">
        <v>569</v>
      </c>
      <c r="W164" t="str">
        <v>CHI '23: Proceedings of the 2023 CHI Conference on Human Factors in Computing Systems</v>
      </c>
      <c r="X164" t="s">
        <v>1768</v>
      </c>
      <c r="Y164" t="s">
        <v>1791</v>
      </c>
    </row>
    <row r="165" spans="1:25" ht="14.5" x14ac:dyDescent="0.35">
      <c r="A165" t="s">
        <v>2614</v>
      </c>
      <c r="B165" t="s">
        <v>2615</v>
      </c>
      <c r="C165" t="s">
        <v>2616</v>
      </c>
      <c r="D165" t="s">
        <v>2617</v>
      </c>
      <c r="F165" t="s">
        <v>890</v>
      </c>
      <c r="G165" t="s">
        <v>30</v>
      </c>
      <c r="H165" t="s">
        <v>2614</v>
      </c>
      <c r="I165" s="3" t="s">
        <v>2618</v>
      </c>
      <c r="K165" t="s">
        <v>33</v>
      </c>
      <c r="L165" t="s">
        <v>2619</v>
      </c>
      <c r="N165" t="s">
        <v>894</v>
      </c>
      <c r="O165" t="s">
        <v>2620</v>
      </c>
      <c r="P165" t="s">
        <v>533</v>
      </c>
      <c r="R165" t="s">
        <v>269</v>
      </c>
      <c r="V165" t="s">
        <v>2621</v>
      </c>
      <c r="W165" t="e">
        <v>#N/A</v>
      </c>
      <c r="X165" t="e">
        <f>#N/A</f>
        <v>#N/A</v>
      </c>
      <c r="Y165" t="s">
        <v>1791</v>
      </c>
    </row>
    <row r="166" spans="1:25" ht="14.5" x14ac:dyDescent="0.35">
      <c r="A166" t="s">
        <v>2622</v>
      </c>
      <c r="B166" t="s">
        <v>2623</v>
      </c>
      <c r="D166" t="s">
        <v>28</v>
      </c>
      <c r="G166" t="s">
        <v>30</v>
      </c>
      <c r="K166" t="s">
        <v>33</v>
      </c>
      <c r="M166" t="s">
        <v>2328</v>
      </c>
      <c r="U166" t="s">
        <v>2332</v>
      </c>
      <c r="W166" t="e">
        <v>#N/A</v>
      </c>
      <c r="X166" t="e">
        <f>#N/A</f>
        <v>#N/A</v>
      </c>
      <c r="Y166" t="s">
        <v>1791</v>
      </c>
    </row>
    <row r="167" spans="1:25" ht="14.5" x14ac:dyDescent="0.35">
      <c r="A167" t="s">
        <v>2624</v>
      </c>
      <c r="B167" t="s">
        <v>2625</v>
      </c>
      <c r="D167" t="s">
        <v>62</v>
      </c>
      <c r="G167" t="s">
        <v>30</v>
      </c>
      <c r="K167" t="s">
        <v>33</v>
      </c>
      <c r="M167" t="s">
        <v>2498</v>
      </c>
      <c r="U167" t="s">
        <v>400</v>
      </c>
      <c r="W167" t="e">
        <v>#N/A</v>
      </c>
      <c r="X167" t="e">
        <f>#N/A</f>
        <v>#N/A</v>
      </c>
      <c r="Y167" t="s">
        <v>1791</v>
      </c>
    </row>
    <row r="168" spans="1:25" ht="14.5" x14ac:dyDescent="0.35">
      <c r="W168" s="4" t="s">
        <v>2626</v>
      </c>
      <c r="X168" s="4">
        <f>COUNTIF(X2:X167,"&lt;&gt;#N/A")</f>
        <v>48</v>
      </c>
    </row>
    <row r="169" spans="1:25" ht="14.5" x14ac:dyDescent="0.35">
      <c r="W169" s="4" t="s">
        <v>2627</v>
      </c>
      <c r="X169" s="4">
        <f>COUNTIF(X3:X168,#N/A)</f>
        <v>118</v>
      </c>
    </row>
    <row r="170" spans="1:25" ht="14.5" x14ac:dyDescent="0.35">
      <c r="W170" s="4" t="s">
        <v>2628</v>
      </c>
      <c r="X170" s="4">
        <f>214-48</f>
        <v>166</v>
      </c>
    </row>
    <row r="171" spans="1:25" ht="14.5" x14ac:dyDescent="0.35">
      <c r="W171" s="4"/>
      <c r="X171" s="4">
        <f>SUM(X168:X170)</f>
        <v>332</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70" r:id="rId68"/>
    <hyperlink ref="I71" r:id="rId69"/>
    <hyperlink ref="I73" r:id="rId70"/>
    <hyperlink ref="I75" r:id="rId71"/>
    <hyperlink ref="I76" r:id="rId72"/>
    <hyperlink ref="I77" r:id="rId73"/>
    <hyperlink ref="I78" r:id="rId74"/>
    <hyperlink ref="I79" r:id="rId75"/>
    <hyperlink ref="I80" r:id="rId76"/>
    <hyperlink ref="I81" r:id="rId77"/>
    <hyperlink ref="I82" r:id="rId78"/>
    <hyperlink ref="I83" r:id="rId79"/>
    <hyperlink ref="I84" r:id="rId80"/>
    <hyperlink ref="I85" r:id="rId81"/>
    <hyperlink ref="I86" r:id="rId82"/>
    <hyperlink ref="I87" r:id="rId83"/>
    <hyperlink ref="I88" r:id="rId84"/>
    <hyperlink ref="I89" r:id="rId85"/>
    <hyperlink ref="I90" r:id="rId86"/>
    <hyperlink ref="I91" r:id="rId87"/>
    <hyperlink ref="I92" r:id="rId88"/>
    <hyperlink ref="I93" r:id="rId89"/>
    <hyperlink ref="I94" r:id="rId90"/>
    <hyperlink ref="I95" r:id="rId91"/>
    <hyperlink ref="I96" r:id="rId92"/>
    <hyperlink ref="I97" r:id="rId93"/>
    <hyperlink ref="I98" r:id="rId94"/>
    <hyperlink ref="I99" r:id="rId95"/>
    <hyperlink ref="I100" r:id="rId96"/>
    <hyperlink ref="I101" r:id="rId97"/>
    <hyperlink ref="I103" r:id="rId98"/>
    <hyperlink ref="I104" r:id="rId99"/>
    <hyperlink ref="I105" r:id="rId100"/>
    <hyperlink ref="I106" r:id="rId101"/>
    <hyperlink ref="I107" r:id="rId102"/>
    <hyperlink ref="I108" r:id="rId103"/>
    <hyperlink ref="I109" r:id="rId104"/>
    <hyperlink ref="I111" r:id="rId105"/>
    <hyperlink ref="I113" r:id="rId106"/>
    <hyperlink ref="I114" r:id="rId107"/>
    <hyperlink ref="I115" r:id="rId108"/>
    <hyperlink ref="I117" r:id="rId109"/>
    <hyperlink ref="I120" r:id="rId110"/>
    <hyperlink ref="I121" r:id="rId111"/>
    <hyperlink ref="I122" r:id="rId112"/>
    <hyperlink ref="I123" r:id="rId113"/>
    <hyperlink ref="I124" r:id="rId114"/>
    <hyperlink ref="I126" r:id="rId115"/>
    <hyperlink ref="I127" r:id="rId116"/>
    <hyperlink ref="I129" r:id="rId117"/>
    <hyperlink ref="I130" r:id="rId118"/>
    <hyperlink ref="I132" r:id="rId119"/>
    <hyperlink ref="I133" r:id="rId120"/>
    <hyperlink ref="I135" r:id="rId121"/>
    <hyperlink ref="I137" r:id="rId122"/>
    <hyperlink ref="I138" r:id="rId123"/>
    <hyperlink ref="I139" r:id="rId124"/>
    <hyperlink ref="I141" r:id="rId125"/>
    <hyperlink ref="I142" r:id="rId126"/>
    <hyperlink ref="I143" r:id="rId127"/>
    <hyperlink ref="I144" r:id="rId128"/>
    <hyperlink ref="I148" r:id="rId129"/>
    <hyperlink ref="I150" r:id="rId130"/>
    <hyperlink ref="I165" r:id="rId131"/>
  </hyperlinks>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ACM_evaluation</vt:lpstr>
      <vt:lpstr>ACM_intervention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Fernanda Ugarte Guzmán</dc:creator>
  <cp:lastModifiedBy>Tania Fernanda Ugarte Guzmán</cp:lastModifiedBy>
  <dcterms:created xsi:type="dcterms:W3CDTF">2025-10-30T10:54:53Z</dcterms:created>
  <dcterms:modified xsi:type="dcterms:W3CDTF">2026-05-22T21:48:05Z</dcterms:modified>
</cp:coreProperties>
</file>