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ania\Desktop\programino\papers\Systematic LR\Authomatic initial analysis\"/>
    </mc:Choice>
  </mc:AlternateContent>
  <xr:revisionPtr revIDLastSave="0" documentId="13_ncr:1_{FFE1334B-2DA6-49DE-825D-4753790B6CC1}" xr6:coauthVersionLast="47" xr6:coauthVersionMax="47" xr10:uidLastSave="{00000000-0000-0000-0000-000000000000}"/>
  <bookViews>
    <workbookView xWindow="-110" yWindow="-110" windowWidth="19420" windowHeight="10300" activeTab="1" xr2:uid="{00000000-000D-0000-FFFF-FFFF00000000}"/>
  </bookViews>
  <sheets>
    <sheet name="ERIC_evaluation" sheetId="13" r:id="rId1"/>
    <sheet name="ERIC_intervention" sheetId="14" r:id="rId2"/>
  </sheets>
  <definedNames>
    <definedName name="_xlnm._FilterDatabase" localSheetId="0" hidden="1">ERIC_evaluation!$A$1:$Y$31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2" i="13" l="1"/>
  <c r="Y14" i="13"/>
  <c r="Y6" i="13"/>
  <c r="Y2" i="13" a="1"/>
  <c r="Y28" i="13" s="1"/>
  <c r="Y5" i="13" l="1"/>
  <c r="Y13" i="13"/>
  <c r="Y21" i="13"/>
  <c r="Y7" i="13"/>
  <c r="Y15" i="13"/>
  <c r="Y23" i="13"/>
  <c r="Y8" i="13"/>
  <c r="Y16" i="13"/>
  <c r="Y24" i="13"/>
  <c r="Y2" i="13"/>
  <c r="Y9" i="13"/>
  <c r="Y17" i="13"/>
  <c r="Y25" i="13"/>
  <c r="Y10" i="13"/>
  <c r="Y18" i="13"/>
  <c r="Y26" i="13"/>
  <c r="Y3" i="13"/>
  <c r="Y11" i="13"/>
  <c r="Y19" i="13"/>
  <c r="Y27" i="13"/>
  <c r="Y4" i="13"/>
  <c r="Y12" i="13"/>
  <c r="Y20" i="13"/>
  <c r="Y30" i="13" l="1"/>
  <c r="Y29" i="13"/>
  <c r="Y31" i="13" s="1"/>
</calcChain>
</file>

<file path=xl/sharedStrings.xml><?xml version="1.0" encoding="utf-8"?>
<sst xmlns="http://schemas.openxmlformats.org/spreadsheetml/2006/main" count="2143" uniqueCount="972">
  <si>
    <t>2024</t>
  </si>
  <si>
    <t>19</t>
  </si>
  <si>
    <t>1</t>
  </si>
  <si>
    <t>2019</t>
  </si>
  <si>
    <t>6</t>
  </si>
  <si>
    <t>7</t>
  </si>
  <si>
    <t>2023</t>
  </si>
  <si>
    <t>2</t>
  </si>
  <si>
    <t>24</t>
  </si>
  <si>
    <t>9</t>
  </si>
  <si>
    <t>11</t>
  </si>
  <si>
    <t>2025</t>
  </si>
  <si>
    <t>5</t>
  </si>
  <si>
    <t>2022</t>
  </si>
  <si>
    <t>22</t>
  </si>
  <si>
    <t>21</t>
  </si>
  <si>
    <t>14</t>
  </si>
  <si>
    <t>2021</t>
  </si>
  <si>
    <t>13</t>
  </si>
  <si>
    <t>2020</t>
  </si>
  <si>
    <t>10</t>
  </si>
  <si>
    <t>38</t>
  </si>
  <si>
    <t>2018</t>
  </si>
  <si>
    <t>Beyond Programming: A Computer-Based Assessment of Computational Thinking Competency</t>
  </si>
  <si>
    <t>Lai, Rina P. 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</si>
  <si>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</si>
  <si>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27</t>
  </si>
  <si>
    <t>12</t>
  </si>
  <si>
    <t>8</t>
  </si>
  <si>
    <t>33</t>
  </si>
  <si>
    <t>3</t>
  </si>
  <si>
    <t>30</t>
  </si>
  <si>
    <t>17</t>
  </si>
  <si>
    <t>4</t>
  </si>
  <si>
    <t>16</t>
  </si>
  <si>
    <t>40</t>
  </si>
  <si>
    <t>23</t>
  </si>
  <si>
    <t>29</t>
  </si>
  <si>
    <t>26</t>
  </si>
  <si>
    <t>41</t>
  </si>
  <si>
    <t>32</t>
  </si>
  <si>
    <t>28</t>
  </si>
  <si>
    <t>Elementary Computational Thinking Instruction and Assessment: A Learning Trajectory Perspective</t>
  </si>
  <si>
    <t>61</t>
  </si>
  <si>
    <t>60</t>
  </si>
  <si>
    <t>35</t>
  </si>
  <si>
    <t>54</t>
  </si>
  <si>
    <t>31</t>
  </si>
  <si>
    <t>53</t>
  </si>
  <si>
    <t>34</t>
  </si>
  <si>
    <t>2012</t>
  </si>
  <si>
    <t>62</t>
  </si>
  <si>
    <t>64</t>
  </si>
  <si>
    <t>58</t>
  </si>
  <si>
    <t>63</t>
  </si>
  <si>
    <t>Title</t>
  </si>
  <si>
    <t>Authors</t>
  </si>
  <si>
    <t>DOI</t>
  </si>
  <si>
    <t>Source</t>
  </si>
  <si>
    <t>URL</t>
  </si>
  <si>
    <t>Abstract</t>
  </si>
  <si>
    <t>Keywords</t>
  </si>
  <si>
    <t>Notes</t>
  </si>
  <si>
    <t>Language</t>
  </si>
  <si>
    <t>Pages</t>
  </si>
  <si>
    <t>Publisher</t>
  </si>
  <si>
    <t>Volume</t>
  </si>
  <si>
    <t>English</t>
  </si>
  <si>
    <t>European Journal of Educational Research</t>
  </si>
  <si>
    <t>Education and Information Technologies</t>
  </si>
  <si>
    <t>Informatics in Education</t>
  </si>
  <si>
    <t>Educational Technology Research and Development</t>
  </si>
  <si>
    <t>72</t>
  </si>
  <si>
    <t>Computer Science Education</t>
  </si>
  <si>
    <t>A Normative Analysis of the TechCheck Computational Thinking Assessment</t>
  </si>
  <si>
    <t>Journal of Computing in Higher Education</t>
  </si>
  <si>
    <t>British Journal of Educational Technology</t>
  </si>
  <si>
    <t>Sun, Lihui; Hu, Linlin; Zhou, Danhua</t>
  </si>
  <si>
    <t>Journal of Computer Assisted Learning</t>
  </si>
  <si>
    <t>World Journal on Educational Technology: Current Issues</t>
  </si>
  <si>
    <t>Bers, Marina Umaschi</t>
  </si>
  <si>
    <t>Journal of Science Education and Technology</t>
  </si>
  <si>
    <t>Journal of Educational Computing Research</t>
  </si>
  <si>
    <t>Developing the Computer Programming Self-Efficacy Scale for Computer Literacy Education</t>
  </si>
  <si>
    <t>56</t>
  </si>
  <si>
    <t>ACM Transactions on Computing Education</t>
  </si>
  <si>
    <t>2011</t>
  </si>
  <si>
    <t>59</t>
  </si>
  <si>
    <t>Impact of Integrating Computational Thinking in STEM Education on Students' Cognitive and Non-Cognitive Skills: A Meta-Analysis</t>
  </si>
  <si>
    <t>Contemporary Educational Technology</t>
  </si>
  <si>
    <t>From Programming to Prompting: Developing Computational Thinking through Large Language Model-Based Generative Artificial Intelligence</t>
  </si>
  <si>
    <t>69</t>
  </si>
  <si>
    <t>Interactive Technology and Smart Education</t>
  </si>
  <si>
    <t>Atman Uslu, Nilüfer</t>
  </si>
  <si>
    <t>Journal for STEM Education Research</t>
  </si>
  <si>
    <t>Lv, Lin; Zhong, Baichang; Liu, Xiaofan</t>
  </si>
  <si>
    <t>Tikva, Christina; Tambouris, Efthimios</t>
  </si>
  <si>
    <t>Education 3-13</t>
  </si>
  <si>
    <t>51</t>
  </si>
  <si>
    <t>Katchapakirin, Kantinee; Anutariya, Chutiporn; Supnithi, Thepchai</t>
  </si>
  <si>
    <t>Tendencies towards Computational Thinking: A Content Analysis Study</t>
  </si>
  <si>
    <t>Participatory Educational Research</t>
  </si>
  <si>
    <t>A Collaborative Learning Framework for Computational Thinking Development through Game Programming</t>
  </si>
  <si>
    <t>de Jesus, Ângelo Magno; Silveira, Ismar Frango</t>
  </si>
  <si>
    <t>Merino-Armero, José Miguel; González-Calero, José Antonio; Cózar-Gutiérrez, Ramón</t>
  </si>
  <si>
    <t>Journal of Research on Technology in Education</t>
  </si>
  <si>
    <t>International Journal of Mobile and Blended Learning</t>
  </si>
  <si>
    <t>Xing, Wanli</t>
  </si>
  <si>
    <t>Interactive Learning Environments</t>
  </si>
  <si>
    <t>Litts, Breanne K.; Lewis, Whitney E.; Mortensen, Chase K.</t>
  </si>
  <si>
    <t>How to Develop Computational Thinking: A Systematic Review of Empirical Studies</t>
  </si>
  <si>
    <t>Publication_Year</t>
  </si>
  <si>
    <t>ISSN</t>
  </si>
  <si>
    <t>Best_Access_URL</t>
  </si>
  <si>
    <t>TI</t>
  </si>
  <si>
    <t>AU</t>
  </si>
  <si>
    <t>OT</t>
  </si>
  <si>
    <t>JT</t>
  </si>
  <si>
    <t>SO</t>
  </si>
  <si>
    <t>VI</t>
  </si>
  <si>
    <t>IP</t>
  </si>
  <si>
    <t>PG</t>
  </si>
  <si>
    <t>DP</t>
  </si>
  <si>
    <t>AB</t>
  </si>
  <si>
    <t>LA</t>
  </si>
  <si>
    <t>PT</t>
  </si>
  <si>
    <t>GR</t>
  </si>
  <si>
    <t>Repetead Articles</t>
  </si>
  <si>
    <t>Developing a Robot-Based Computational Thinking Assessment for Young Children</t>
  </si>
  <si>
    <t>Weipeng Yang</t>
  </si>
  <si>
    <t>v30 n10 p14447-14469 2025</t>
  </si>
  <si>
    <t>This study aims to develop and validate an age-appropriate, easily manipulated, and robot-based assessment named Computational Thinking Observational Scale (CTOS) for 3- to 5-year-olds. The study sample included 46 preschoolers (M[subscript age]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t>
  </si>
  <si>
    <t>Coding</t>
  </si>
  <si>
    <t>14447-14469</t>
  </si>
  <si>
    <t>Reports - Research</t>
  </si>
  <si>
    <t>The Applications of Machine Learning in Computational Thinking Assessments: A Scoping Review</t>
  </si>
  <si>
    <t>Maria Cutumisu</t>
  </si>
  <si>
    <t>v34 n2 p193-221 2024</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</si>
  <si>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t>
  </si>
  <si>
    <t>Educational Research</t>
  </si>
  <si>
    <t>193-221</t>
  </si>
  <si>
    <t>Information Analyses</t>
  </si>
  <si>
    <t>Marina U. Bers</t>
  </si>
  <si>
    <t>v26 n2 p118-130 Apr 2023</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</si>
  <si>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t>
  </si>
  <si>
    <t>Raw Scores</t>
  </si>
  <si>
    <t>Educational Technology &amp; Society</t>
  </si>
  <si>
    <t>118-130</t>
  </si>
  <si>
    <t>Apr 2023</t>
  </si>
  <si>
    <t>R305A190433</t>
  </si>
  <si>
    <t>Towards an Assessment Model of College Students' Computational Thinking with Text-Based Programming</t>
  </si>
  <si>
    <t>Lingling Song</t>
  </si>
  <si>
    <t>v30 n2 p1363-1385 2025</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</si>
  <si>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[approximately]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t>
  </si>
  <si>
    <t>Credibility</t>
  </si>
  <si>
    <t>1363-1385</t>
  </si>
  <si>
    <t>Computational Thinking Assessment at Primary School in the Context of Learning Programming</t>
  </si>
  <si>
    <t>Omirzakova, Aisara</t>
  </si>
  <si>
    <t>v13 n3 p336-353 2021</t>
  </si>
  <si>
    <t>The study was carried out from 2018 to 2020 with the challenge - 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t>
  </si>
  <si>
    <t>Foreign Countries</t>
  </si>
  <si>
    <t>336-353</t>
  </si>
  <si>
    <t>A Scoping Review of Computational Thinking Assessments in Higher Education</t>
  </si>
  <si>
    <t>Cutumisu, Maria</t>
  </si>
  <si>
    <t>v34 n2 p416-461 Aug 2022</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</si>
  <si>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t>
  </si>
  <si>
    <t>Logical Thinking</t>
  </si>
  <si>
    <t>416-461</t>
  </si>
  <si>
    <t>Aug 2022</t>
  </si>
  <si>
    <t>Computational Thinking Assessment in Primary and Secondary Education: A Meta-Synthesis of Tools, Methods and Pedagogical Approaches</t>
  </si>
  <si>
    <t>Melissa Bond</t>
  </si>
  <si>
    <t>v6 n4 2024</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</si>
  <si>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</si>
  <si>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Programming</t>
  </si>
  <si>
    <t>International Journal of Computer Science Education in Schools</t>
  </si>
  <si>
    <t>Scaffolding Self-Regulation in Project-Based Programming Learning through Online Collaborative Diaries to Promote Computational Thinking</t>
  </si>
  <si>
    <t>Yan Dong</t>
  </si>
  <si>
    <t>v30 n12 p16243-16267 2025</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</si>
  <si>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t>
  </si>
  <si>
    <t>16243-16267</t>
  </si>
  <si>
    <t>Tests/Questionnaires</t>
  </si>
  <si>
    <t>Combining Game-Based Learning with Design Thinking Using Block-Based Programming to Enhance Computational Thinking and Creative Game for Primary Students</t>
  </si>
  <si>
    <t>Pallop Piriyasurawong</t>
  </si>
  <si>
    <t>v14 n2 p137-147 2024</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</si>
  <si>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</si>
  <si>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Grade 4</t>
  </si>
  <si>
    <t>Higher Education Studies</t>
  </si>
  <si>
    <t>137-147</t>
  </si>
  <si>
    <t>Amplifying Children's Computational Problem-Solving Skills: A Hybrid-Based Design for Programming Education</t>
  </si>
  <si>
    <t>Gary K. W. Wong</t>
  </si>
  <si>
    <t>v29 n2 p1761-1793 2024</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</si>
  <si>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t>
  </si>
  <si>
    <t>1761-1793</t>
  </si>
  <si>
    <t>From Critique to Computational Thinking: A Peer-Assessment-Supported Problem Identification, Flow Definition, Coding, and Testing Approach for Computer Programming Instruction</t>
  </si>
  <si>
    <t>Chang, Shao-Chen</t>
  </si>
  <si>
    <t>v60 n5 p1301-1324 Sep 2022</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</si>
  <si>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</si>
  <si>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Grade 11</t>
  </si>
  <si>
    <t>1301-1324</t>
  </si>
  <si>
    <t>Sep 2022</t>
  </si>
  <si>
    <t>Development and Preliminary Testing of the Algopaint Unplugged Computational Thinking Assessment for Preschool Education</t>
  </si>
  <si>
    <t>Bálint-Svella, Éva</t>
  </si>
  <si>
    <t>v16 n1 p32-50 2023</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</si>
  <si>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</si>
  <si>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Acta Didactica Napocensia</t>
  </si>
  <si>
    <t>32-50</t>
  </si>
  <si>
    <t>A K-6 Computational Thinking Curricular Framework: Pedagogical Implications for Teaching Practice</t>
  </si>
  <si>
    <t>Barberá, Elena</t>
  </si>
  <si>
    <t>v31 n8 p4903-4923 2023</t>
  </si>
  <si>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</si>
  <si>
    <t>Social Emotional Learning</t>
  </si>
  <si>
    <t>4903-4923</t>
  </si>
  <si>
    <t>Reports - Evaluative</t>
  </si>
  <si>
    <t>Redefining Computational Thinking: A Holistic Framework and Its Implications for K-12 Education</t>
  </si>
  <si>
    <t>Juan José Santaengracia</t>
  </si>
  <si>
    <t>v30 n10 p13385-13410 2025</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</si>
  <si>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</si>
  <si>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Metacognition</t>
  </si>
  <si>
    <t>13385-13410</t>
  </si>
  <si>
    <t>Reports - Descriptive</t>
  </si>
  <si>
    <t>Adaptation of the Computational Thinking Skills Assessment Tool (TechCheck-K) in Early Childhood</t>
  </si>
  <si>
    <t>Damla Kalyenci</t>
  </si>
  <si>
    <t>v33 n3 p365-382 2024</t>
  </si>
  <si>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</si>
  <si>
    <t>Psychometrics</t>
  </si>
  <si>
    <t>365-382</t>
  </si>
  <si>
    <t>Assessment of Computational Thinking -- A Croatian Evidence-Centered Design Model</t>
  </si>
  <si>
    <t>Boljat, Ivica</t>
  </si>
  <si>
    <t>v21 n3 p425-463 2022</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</si>
  <si>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t>
  </si>
  <si>
    <t>Evaluation Methods</t>
  </si>
  <si>
    <t>425-463</t>
  </si>
  <si>
    <t>Hsu, Po-Fen</t>
  </si>
  <si>
    <t>v56 n8 p1345-1360 Jan 2019</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</si>
  <si>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0.96 for the overall scale, and ranged from 0.84 to 0.96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t>
  </si>
  <si>
    <t>Programming Languages</t>
  </si>
  <si>
    <t>1345-1360</t>
  </si>
  <si>
    <t>Jan 2019</t>
  </si>
  <si>
    <t>Analysis of Computational Thinking in Children's Literature for K-6 Students: Literature as a Non-Programming Unplugged Resource</t>
  </si>
  <si>
    <t>Haroldson, Rachelle</t>
  </si>
  <si>
    <t>v59 n8 p1487-1516 Jan 2022</t>
  </si>
  <si>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</si>
  <si>
    <t>Competence</t>
  </si>
  <si>
    <t>1487-1516</t>
  </si>
  <si>
    <t>Jan 2022</t>
  </si>
  <si>
    <t>1439768</t>
  </si>
  <si>
    <t>Instrumental Genesis Stages of Programming for Mathematical Work</t>
  </si>
  <si>
    <t>Dreise, Kirstin</t>
  </si>
  <si>
    <t>v6 n3 p367-390 Dec 2020</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</si>
  <si>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</si>
  <si>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Thinking Skills</t>
  </si>
  <si>
    <t>Digital Experiences in Mathematics Education</t>
  </si>
  <si>
    <t>367-390</t>
  </si>
  <si>
    <t>Dec 2020</t>
  </si>
  <si>
    <t>"TechCheck": Development and Validation of an Unplugged Assessment of Computational Thinking in Early Childhood Education</t>
  </si>
  <si>
    <t>v29 n4 p482-498 Aug 2020</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</si>
  <si>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t>
  </si>
  <si>
    <t>482-498</t>
  </si>
  <si>
    <t>Aug 2020</t>
  </si>
  <si>
    <t>Accessible Computational Thinking in Elementary Science: An Aligning Framework for Teacher Learning and Implementation</t>
  </si>
  <si>
    <t>Diane Jass Ketelhut</t>
  </si>
  <si>
    <t>v33 n1 p67-107 2025</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</si>
  <si>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</si>
  <si>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Elementary School Science</t>
  </si>
  <si>
    <t>Journal of Technology and Teacher Education</t>
  </si>
  <si>
    <t>67-107</t>
  </si>
  <si>
    <t>2101039</t>
  </si>
  <si>
    <t>Gane, Brian</t>
  </si>
  <si>
    <t>v22 n2 Article 19 Jun 2022</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</si>
  <si>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</si>
  <si>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Problem Solving</t>
  </si>
  <si>
    <t>Article 19 Jun 2022</t>
  </si>
  <si>
    <t>v22 n2 Article 14 Jun 2022</t>
  </si>
  <si>
    <t>Test Validity</t>
  </si>
  <si>
    <t>Article 14 Jun 2022</t>
  </si>
  <si>
    <t>Assessing Computational Thinking through the Lenses of Functionality and Computational Fluency</t>
  </si>
  <si>
    <t>Dede, Chris</t>
  </si>
  <si>
    <t>v31 n2 p199-223 2021</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</si>
  <si>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3rd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t>
  </si>
  <si>
    <t>Computer Software</t>
  </si>
  <si>
    <t>199-223</t>
  </si>
  <si>
    <t>DRL1639545</t>
  </si>
  <si>
    <t>An Analysis of Young Students' Thinking When Completing Basic Coding Tasks Using Scratch Jnr. on the iPad</t>
  </si>
  <si>
    <t>Falloon, G.</t>
  </si>
  <si>
    <t>v32 n6 p576-593 Dec 2016</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</si>
  <si>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</si>
  <si>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Elementary School Curriculum</t>
  </si>
  <si>
    <t>576-593</t>
  </si>
  <si>
    <t>Dec 2016</t>
  </si>
  <si>
    <t>Algorithmic Explanations: An Unplugged Instructional Approach to Integrate Science and Computational Thinking</t>
  </si>
  <si>
    <t>Friedrichsen, Patricia</t>
  </si>
  <si>
    <t>v31 n4 p428-441 Aug 2022</t>
  </si>
  <si>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</si>
  <si>
    <t>Integrated Curriculum</t>
  </si>
  <si>
    <t>428-441</t>
  </si>
  <si>
    <t>Efficacy of Digital Videos and Games for Improving Children's Computational Thinking Skills: An Evaluation of "Work It out Wombats!" from PBS KIDS</t>
  </si>
  <si>
    <t>Erika Gaylor</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</si>
  <si>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</si>
  <si>
    <t>Handheld Devices</t>
  </si>
  <si>
    <t>Society for Research on Educational Effectiveness</t>
  </si>
  <si>
    <t>Total without repetitions</t>
  </si>
  <si>
    <t>Total repetead</t>
  </si>
  <si>
    <t>Total</t>
  </si>
  <si>
    <t>ERIC_ID</t>
  </si>
  <si>
    <t>Issue</t>
  </si>
  <si>
    <t>Place</t>
  </si>
  <si>
    <t>ISBN</t>
  </si>
  <si>
    <t>Document_Type</t>
  </si>
  <si>
    <t>OWN</t>
  </si>
  <si>
    <t>AID</t>
  </si>
  <si>
    <t>OID</t>
  </si>
  <si>
    <t>LID</t>
  </si>
  <si>
    <t>Improving Computational Thinking for Middle School Students through Python Programming: Interaction Effect Analysis of Grade Level and Gender</t>
  </si>
  <si>
    <t>Lihui Sun; Junjie Liu</t>
  </si>
  <si>
    <t>v63 n4 p902-929 2025</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</si>
  <si>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t>
  </si>
  <si>
    <t>Journal Articles; Reports - Research</t>
  </si>
  <si>
    <t>ERIC</t>
  </si>
  <si>
    <t>Computation; Thinking Skills; Skill Development; Middle School Students; Programming; Programming Languages; Instructional Program Divisions; Gender Differences; Foreign Countries; Computer Science Education</t>
  </si>
  <si>
    <t>http://dx.doi.org/10.1177/07356331251332751</t>
  </si>
  <si>
    <t>EJ1470992</t>
  </si>
  <si>
    <t>902-929</t>
  </si>
  <si>
    <t>http://eric.ed.gov/?id=EJ1470992</t>
  </si>
  <si>
    <t>CT Integration in STEAM Learning: Fostering Students' Creativity by Making Batik Stamp Pattern</t>
  </si>
  <si>
    <t>Wahid Yunianto; Adi Nur Cahyono; Theodosia Prodromou; Shereen El-Bedewy; Zsolt Lavicza</t>
  </si>
  <si>
    <t>v62 n1 p26-52 2025</t>
  </si>
  <si>
    <t>Creativity and problem-solving are 21st-century skills that we need to develop in our students. Research on computational thinking (CT) integration in school subjects and STEAM activities has shown a positive effect on students' problem-solving skills and creativity. Our study extends our previous work from the integration of CT in a mathematics lesson into a STEAM lesson to develop students' creativity. Our Math + CT activities have been developed through educational design research (EDR), and now we have added the context of arts (Batik), science (beeswax and coloring), and engineering (3D modeling and printing). Online learning was conducted with pre-service teachers and high school students. We facilitated digital fabrication by asking students and pre-service teachers to create their Batik stamp pattern from 2D to 3D to be printed. Data were collected from participants' GeoGebra and 3D files they had created. We analyzed the data descriptively and presented participants' creations. The result showed that students could extend their limited coding and programming knowledge to create the Batik patterns. Moreover, within a limited time, the artwork they designed significantly differs from the initial figure introduced to them. We also presented the realistic 3D-printed Batik stamp and how it worked and our limitations.</t>
  </si>
  <si>
    <t>Computation; Thinking Skills; STEM Education; Creativity; Problem Solving; Skill Development; Electronic Learning; Educational Technology; Computer Simulation; Printing; Computer Peripherals; Preservice Teachers; High School Students; Programming; Barriers; Foreign Countries; Learning Activities</t>
  </si>
  <si>
    <t>Science Activities: Projects and Curriculum Ideas in STEM Classrooms</t>
  </si>
  <si>
    <t>http://dx.doi.org/10.1080/00368121.2024.2378860</t>
  </si>
  <si>
    <t>EJ1456401</t>
  </si>
  <si>
    <t>26-52</t>
  </si>
  <si>
    <t>http://eric.ed.gov/?id=EJ1456401</t>
  </si>
  <si>
    <t>Supporting Elementary Teachers' Technological, Pedagogical, and Content Knowledge in Computational Thinking Integration</t>
  </si>
  <si>
    <t>Luo, Feiya; Ijeluola, Stephen Abiodun; Westerlund, Jill; Walker, Amanda; Denham, André; Walker, John; Young, Cherelle</t>
  </si>
  <si>
    <t>v32 n4 p583-596 Aug 2023</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</si>
  <si>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t>
  </si>
  <si>
    <t>Elementary School Teachers; Computation; Thinking Skills; Integrated Curriculum; Technological Literacy; Pedagogical Content Knowledge; Social Support Groups; Program Implementation; Computer Science Education; Elementary Education; Faculty Development; Knowledge Level; Computer Literacy</t>
  </si>
  <si>
    <t>http://dx.doi.org/10.1007/s10956-023-10045-0</t>
  </si>
  <si>
    <t>EJ1381917</t>
  </si>
  <si>
    <t>583-596</t>
  </si>
  <si>
    <t>Aug 2023</t>
  </si>
  <si>
    <t>http://eric.ed.gov/?id=EJ1381917</t>
  </si>
  <si>
    <t>Understanding Individual Differences in Computational Thinking Development of Primary School Students: A Three-Wave Longitudinal Study</t>
  </si>
  <si>
    <t>Shuhan Zhang; Gary K. W. Wong</t>
  </si>
  <si>
    <t>v40 n6 p2604-2615 2024</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</si>
  <si>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t>
  </si>
  <si>
    <t>Individual Differences; Computation; Thinking Skills; Elementary School Students; Longitudinal Studies; 21st Century Skills; Skill Development; Coding; Gender Differences; Developmental Stages</t>
  </si>
  <si>
    <t>http://dx.doi.org/10.1111/jcal.12940</t>
  </si>
  <si>
    <t>EJ1448392</t>
  </si>
  <si>
    <t>2604-2615</t>
  </si>
  <si>
    <t>http://eric.ed.gov/?id=EJ1448392</t>
  </si>
  <si>
    <t>Effect of a Reflection-Guided Visualized Mindtool Strategy for Improving Students' Learning Performance and Behaviors in Computational Thinking Development</t>
  </si>
  <si>
    <t>Lin, Xiao-Fan; Wang, Jing; Chen, Yingshan; Zhou, Yue; Luo, Guoyu; Wang, Zhaoyang; Liang, Zhong-Mei; Hu, Xiaoyong; Li, Wenyi</t>
  </si>
  <si>
    <t>v26 n2 p165-180 Apr 2023</t>
  </si>
  <si>
    <t>Computational thinking (CT) is an imperative competency in the 21st century. Mindtools can assist students in understanding concepts and decomposing tasks during CT development through programming. However, students may encounter challenges in complex CT problem-solving tasks due to being confused when using mindtools without proper guidance. Research evidence shows the potential of reflection in complex CT problem-solving by regulating cognitive activities. Accordingly, this study designed a reflection-guided visualized mindtool strategy to address CT development challenges. A quasi-experiment and lag sequential analysis were conducted by recruiting 97 junior high school students to examine the effects of the proposed strategy on CT development and to explore students' behavior patterns. Results revealed that the proposed approach improved students' CT performance, CT disposition, meta-cognitive awareness, and learning motivation. Students learning with the proposed strategy exhibited more key behaviors of facilitating CT problem-solving (e.g., generalizing the knowledge, re-designing the algorithm scheme, and evaluating the feasibility of their proposed schemes) than students in the control group, revealing the essential process of CT development and enlightening teachers on guiding students to produce such learning processes when cultivating CT.</t>
  </si>
  <si>
    <t>Reflection; Academic Achievement; Student Behavior; Computation; Thinking Skills; Skill Development; Programming; Junior High School Students; Cognitive Processes; Robotics; Foreign Countries</t>
  </si>
  <si>
    <t>https://www.j-ets.net/collection/published-issues/26_2</t>
  </si>
  <si>
    <t>EJ1389722</t>
  </si>
  <si>
    <t>165-180</t>
  </si>
  <si>
    <t>http://eric.ed.gov/?id=EJ1389722</t>
  </si>
  <si>
    <t>ScratchThAI: A Conversation-Based Learning Support Framework for Computational Thinking Development</t>
  </si>
  <si>
    <t>v27 n6 p8533-8560 Jul 2022</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</si>
  <si>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t>
  </si>
  <si>
    <t>Computation; Thinking Skills; Programming Languages; Foreign Countries; Coding; Elementary School Students; Instructional Effectiveness; Computer Uses in Education; Computer Science Education; Educational Technology</t>
  </si>
  <si>
    <t>http://dx.doi.org/10.1007/s10639-021-10870-z</t>
  </si>
  <si>
    <t>EJ1346189</t>
  </si>
  <si>
    <t>8533-8560</t>
  </si>
  <si>
    <t>Jul 2022</t>
  </si>
  <si>
    <t>http://eric.ed.gov/?id=EJ1346189</t>
  </si>
  <si>
    <t>Patterns of Computational Thinking Development While Solving Unplugged Coding Activities Coupled with the 3S Approach for Self-Directed Learning</t>
  </si>
  <si>
    <t>Threekunprapam, Arinchaya; Yasri, Pratchayapong</t>
  </si>
  <si>
    <t>v9 n3 p1025-1045 2020</t>
  </si>
  <si>
    <t>Using unplugged coding activities to promote computational thinking (CT) among secondary learners has become increasingly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t>
  </si>
  <si>
    <t>Thinking Skills; Independent Study; High School Students; Coding; Computer Science Education; Self Efficacy; Programming; Active Learning; Cooperative Learning; Visual Aids; Video Technology; Skill Development; Teaching Methods; Computer Games</t>
  </si>
  <si>
    <t>EJ1262432</t>
  </si>
  <si>
    <t>1025-1045</t>
  </si>
  <si>
    <t>http://eric.ed.gov/?id=EJ1262432</t>
  </si>
  <si>
    <t>Computational Identity and Programming Empowerment of Students in Computational Thinking Development</t>
  </si>
  <si>
    <t>Kong, Siu-Cheung; Lai, Ming</t>
  </si>
  <si>
    <t>v53 n3 p668-686 May 2022</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</si>
  <si>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t>
  </si>
  <si>
    <t>Elementary School Students; Programming; Computation; Thinking Skills; Skill Development; Self Concept; Student Empowerment; Self Efficacy; Curriculum Design</t>
  </si>
  <si>
    <t>http://dx.doi.org/10.1111/bjet.13175</t>
  </si>
  <si>
    <t>EJ1331864</t>
  </si>
  <si>
    <t>668-686</t>
  </si>
  <si>
    <t>May 2022</t>
  </si>
  <si>
    <t>http://eric.ed.gov/?id=EJ1331864</t>
  </si>
  <si>
    <t>An Intelligent Tutoring System for Programming Education Based on Informative Tutoring Feedback: System Development, Algorithm Design, and Empirical Study</t>
  </si>
  <si>
    <t>Xuanyan Zhong; Zehui Zhan</t>
  </si>
  <si>
    <t>v22 n1 p3-24 2025</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</si>
  <si>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t>
  </si>
  <si>
    <t>Intelligent Tutoring Systems; Computer Science Education; Programming; Independent Study; Computation; Thinking Skills; Problem Solving; Learning Motivation; Cognitive Processes; Difficulty Level; Feedback (Response); College Students; Student Attitudes; Foreign Countries; Asians; Nonmajors; Knowledge Level</t>
  </si>
  <si>
    <t>http://dx.doi.org/10.1108/ITSE-09-2023-0182</t>
  </si>
  <si>
    <t>EJ1457977</t>
  </si>
  <si>
    <t>3-24</t>
  </si>
  <si>
    <t>http://eric.ed.gov/?id=EJ1457977</t>
  </si>
  <si>
    <t>Investigating and Supporting the Integration of Computational Thinking in K-8 Subject Area Learning</t>
  </si>
  <si>
    <t>Yifan Zhang</t>
  </si>
  <si>
    <t>Ph.D. Dissertation, University of Delaware</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</si>
  <si>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</si>
  <si>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Dissertations/Theses - Doctoral Dissertations</t>
  </si>
  <si>
    <t>Mental Computation; Elementary Education; Problem Solving; Intellectual Disciplines; Instructional Materials; Curriculum Implementation; Evaluation Methods; Music Education; Man Machine Systems; Web Sites; Technology Uses in Education; Teaching Methods; Coding</t>
  </si>
  <si>
    <t>ProQuest LLC</t>
  </si>
  <si>
    <t>https://gateway.proquest.com/openurl?url_ver=Z39.88-2004&amp;rft_val_fmt=info:ofi/fmt:kev:mtx:dissertation&amp;res_dat=xri:pqm&amp;rft_dat=xri:pqdiss:31149016</t>
  </si>
  <si>
    <t>ED660881</t>
  </si>
  <si>
    <t>http://eric.ed.gov/?id=ED660881</t>
  </si>
  <si>
    <t>v21 n2 p253-281 2022</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</si>
  <si>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t>
  </si>
  <si>
    <t>Cooperative Learning; Computation; Thinking Skills; Video Games; Programming; Computer Science Education; Teaching Methods</t>
  </si>
  <si>
    <t>EJ1347755</t>
  </si>
  <si>
    <t>253-281</t>
  </si>
  <si>
    <t>http://eric.ed.gov/?id=EJ1347755</t>
  </si>
  <si>
    <t>Unplugged Computational Thinking at K-6 Education: Evidence from a Multiple-Case Study in Spain</t>
  </si>
  <si>
    <t>Tsortanidou, Xanthippi; Daradoumis, Thanasis; Barberá-Gregori, Elena</t>
  </si>
  <si>
    <t>v51 n6 p948-965 2023</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</si>
  <si>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 -- Waldorf-Steiner, conventional and innovative -- 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t>
  </si>
  <si>
    <t>Foreign Countries; Elementary Education; Computation; Thinking Skills; Skill Development; Learning Activities</t>
  </si>
  <si>
    <t>http://dx.doi.org/10.1080/03004279.2022.2029924</t>
  </si>
  <si>
    <t>EJ1393701</t>
  </si>
  <si>
    <t>948-965</t>
  </si>
  <si>
    <t>http://eric.ed.gov/?id=EJ1393701</t>
  </si>
  <si>
    <t>Teacher Re-Novicing on the Path to Integrating Computational Thinking in High School Physics Instruction</t>
  </si>
  <si>
    <t>W. Brian Lane; Terrie M. Galanti; X. L. Rozas</t>
  </si>
  <si>
    <t>v6 n2 p302-325 2023</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</si>
  <si>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t>
  </si>
  <si>
    <t>Physics; Teaching Methods; Grounded Theory; Capacity Building; Computer Software; Teacher Attitudes; Programming Languages; Computer Science Education; Interdisciplinary Approach; Science Instruction; High School Teachers; Pedagogical Content Knowledge</t>
  </si>
  <si>
    <t>http://dx.doi.org/10.1007/s41979-023-00100-1</t>
  </si>
  <si>
    <t>EJ1420824</t>
  </si>
  <si>
    <t>302-325</t>
  </si>
  <si>
    <t>http://eric.ed.gov/?id=EJ1420824</t>
  </si>
  <si>
    <t>Wei Zhang; Xinyao Zeng; Lingling Song</t>
  </si>
  <si>
    <t>Mental Computation; Programming; College Students; Evaluation; Concept Mapping; Scientific Concepts; Validity; Credibility</t>
  </si>
  <si>
    <t>http://dx.doi.org/10.1007/s10639-024-12872-z</t>
  </si>
  <si>
    <t>EJ1460479</t>
  </si>
  <si>
    <t>http://eric.ed.gov/?id=EJ1460479</t>
  </si>
  <si>
    <t>Effect of Mind Mapping-Based Scaffolding on Elementary Students' Computational Thinking in Block-Based Programming</t>
  </si>
  <si>
    <t>Xuemin Gao; Yuqin Yang; Yuxia Du; Daner Sun</t>
  </si>
  <si>
    <t>v63 n1 p236-271 2025</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</si>
  <si>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t>
  </si>
  <si>
    <t>Computation; Thinking Skills; Programming; Cognitive Mapping; Visualization; Elementary School Students; Scaffolding (Teaching Technique); Computer Science Education; Skill Development; Mastery Learning; Student Attitudes</t>
  </si>
  <si>
    <t>http://dx.doi.org/10.1177/07356331241303067</t>
  </si>
  <si>
    <t>EJ1468216</t>
  </si>
  <si>
    <t>236-271</t>
  </si>
  <si>
    <t>http://eric.ed.gov/?id=EJ1468216</t>
  </si>
  <si>
    <t>The Effect of Scaffolding Programming Games and Attitudes towards Programming on the Development of Computational Thinking</t>
  </si>
  <si>
    <t>v28 n6 p6845-6867 Jun 2023</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</si>
  <si>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t>
  </si>
  <si>
    <t>Programming; Game Based Learning; Computation; Thinking Skills; Learning Strategies; Scaffolding (Teaching Technique); Middle School Students; Outcomes of Education</t>
  </si>
  <si>
    <t>http://dx.doi.org/10.1007/s10639-022-11465-y</t>
  </si>
  <si>
    <t>EJ1378514</t>
  </si>
  <si>
    <t>6845-6867</t>
  </si>
  <si>
    <t>Jun 2023</t>
  </si>
  <si>
    <t>http://eric.ed.gov/?id=EJ1378514</t>
  </si>
  <si>
    <t>Computation; Problem Solving; Skill Development; Programming; 21st Century Skills; Grade 4; Elementary School Students; Blended Learning; Elementary School Teachers; Computer Science Education</t>
  </si>
  <si>
    <t>http://dx.doi.org/10.1007/s10639-023-11880-9</t>
  </si>
  <si>
    <t>EJ1411731</t>
  </si>
  <si>
    <t>http://eric.ed.gov/?id=EJ1411731</t>
  </si>
  <si>
    <t>Engaging Children in Developing Algorithmic Thinking and Debugging Skills in Primary Schools: A Mixed-Methods Multiple Case Study</t>
  </si>
  <si>
    <t>Gary K. W. Wong; Shan Jian; Ho-Yin Cheung</t>
  </si>
  <si>
    <t>v29 n13 p16205-16254 2024</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</si>
  <si>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t>
  </si>
  <si>
    <t>Thinking Skills; Skill Development; Computation; Algorithms; Elementary School Students; Grade 4; Programming; Troubleshooting; Intervention; Learner Engagement</t>
  </si>
  <si>
    <t>http://dx.doi.org/10.1007/s10639-024-12448-x</t>
  </si>
  <si>
    <t>EJ1443856</t>
  </si>
  <si>
    <t>16205-16254</t>
  </si>
  <si>
    <t>http://eric.ed.gov/?id=EJ1443856</t>
  </si>
  <si>
    <t>The Effects of Computational Thinking Integration in STEM on Students' Learning Performance in K-12 Education: A Meta-Analysis</t>
  </si>
  <si>
    <t>Cheng, Li; Wang, Xiaoman; Ritzhaupt, Albert D.</t>
  </si>
  <si>
    <t>v61 n2 p416-443 Apr 2023</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</si>
  <si>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</si>
  <si>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Journal Articles; Information Analyses</t>
  </si>
  <si>
    <t>Elementary Secondary Education; STEM Education; Computation; Thinking Skills; Academic Achievement; Integrated Activities; Publications; Programming; Educational Practices</t>
  </si>
  <si>
    <t>http://dx.doi.org/10.1177/07356331221114183</t>
  </si>
  <si>
    <t>EJ1375568</t>
  </si>
  <si>
    <t>416-443</t>
  </si>
  <si>
    <t>http://eric.ed.gov/?id=EJ1375568</t>
  </si>
  <si>
    <t>Coding with Robots or Tablets? Effects of Technology-Enhanced Embodied Learning on Preschoolers' Computational Thinking and Social-Emotional Competence</t>
  </si>
  <si>
    <t>v62 n4 p938-960 2024</t>
  </si>
  <si>
    <t>Computational Thinking (CT) is essential for developing creativity, problem-solving, and digital competence in the 21st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t>
  </si>
  <si>
    <t>Coding; Preschool Children; Computation; Thinking Skills; Social Emotional Learning; Technology Uses in Education; Child Development; Robotics; Computer Oriented Programs; Program Effectiveness; Tablet Computers; Educational Technology; Communication Skills; Interpersonal Competence; Self Management; Age; Gender Differences; Socioeconomic Status; Foreign Countries; Computer Science Education</t>
  </si>
  <si>
    <t>http://dx.doi.org/10.1177/07356331241226459</t>
  </si>
  <si>
    <t>EJ1426696</t>
  </si>
  <si>
    <t>938-960</t>
  </si>
  <si>
    <t>http://eric.ed.gov/?id=EJ1426696</t>
  </si>
  <si>
    <t>Different Programming Approaches on Primary Students' Computational Thinking: A Multifactorial Chain Mediation Effect</t>
  </si>
  <si>
    <t>v72 n2 p557-584 2024</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</si>
  <si>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t>
  </si>
  <si>
    <t>Thinking Skills; Computation; Grade 1; Elementary School Students; Programming; Intervention; Skill Development; Student Interests; Self Esteem; Student Attitudes; Foreign Countries</t>
  </si>
  <si>
    <t>http://dx.doi.org/10.1007/s11423-023-10312-2</t>
  </si>
  <si>
    <t>EJ1424767</t>
  </si>
  <si>
    <t>557-584</t>
  </si>
  <si>
    <t>http://eric.ed.gov/?id=EJ1424767</t>
  </si>
  <si>
    <t>Teacher Candidates' Key Understandings about Computational Thinking in Mathematics and Science Education</t>
  </si>
  <si>
    <t>Araujo, Rosa Cendros; Floyd, Lisa; Gadanidis, George</t>
  </si>
  <si>
    <t>v38 n3 p205-229 Jul 2019</t>
  </si>
  <si>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</si>
  <si>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Preservice Teachers; Student Attitudes; Computation; Thinking Skills; Mathematics Education; Science Education; Student Participation; Mathematical Concepts; Scientific Concepts; Coding; Secondary Education; Foreign Countries</t>
  </si>
  <si>
    <t>Journal of Computers in Mathematics and Science Teaching</t>
  </si>
  <si>
    <t>https://www.learntechlib.org/primary/p/209807/</t>
  </si>
  <si>
    <t>EJ1227633</t>
  </si>
  <si>
    <t>205-229</t>
  </si>
  <si>
    <t>Jul 2019</t>
  </si>
  <si>
    <t>http://eric.ed.gov/?id=EJ1227633</t>
  </si>
  <si>
    <t>Using ScratchJr to Foster Young Children's Computational Thinking Competence: A Case Study in a Third-Grade Computer Class</t>
  </si>
  <si>
    <t>Chou, Pao-Nan</t>
  </si>
  <si>
    <t>v58 n3 p570-595 Jun 2020</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</si>
  <si>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t>
  </si>
  <si>
    <t>Grade 3; Computer Science Education; Thinking Skills; Elementary School Students; Programming; Skill Development; Foreign Countries; Computation; Instructional Effectiveness; Parent Participation; Programming Languages</t>
  </si>
  <si>
    <t>http://dx.doi.org/10.1177/0735633119872908</t>
  </si>
  <si>
    <t>EJ1251389</t>
  </si>
  <si>
    <t>570-595</t>
  </si>
  <si>
    <t>Jun 2020</t>
  </si>
  <si>
    <t>http://eric.ed.gov/?id=EJ1251389</t>
  </si>
  <si>
    <t>Computational Thinking in K-12 Education. An Insight through Meta-Analysis</t>
  </si>
  <si>
    <t>v54 n3 p410-437 2022</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</si>
  <si>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t>
  </si>
  <si>
    <t>Meta Analysis; Computer Science Education; Thinking Skills; Intervention; Kindergarten; Elementary Secondary Education; Instructional Effectiveness; Effect Size; Comparative Analysis; Programming; Teaching Methods</t>
  </si>
  <si>
    <t>http://dx.doi.org/10.1080/15391523.2020.1870250</t>
  </si>
  <si>
    <t>EJ1365559</t>
  </si>
  <si>
    <t>410-437</t>
  </si>
  <si>
    <t>http://eric.ed.gov/?id=EJ1365559</t>
  </si>
  <si>
    <t>Hopscotch into Coding: Introducing Pre-Service Teachers Computational Thinking</t>
  </si>
  <si>
    <t>Zha, Shenghua; Jin, Yi; Moore, Pamela; Gaston, Joe</t>
  </si>
  <si>
    <t>v64 n1 p17-28 Jan 2020</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</si>
  <si>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</si>
  <si>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Preservice Teacher Education; Preservice Teachers; Undergraduate Students; Thinking Skills; Computation; Coding; Programming; Educational Technology; Blended Learning; Computer Oriented Programs; Teaching Methods; Cooperative Learning; Transformative Learning</t>
  </si>
  <si>
    <t>TechTrends: Linking Research and Practice to Improve Learning</t>
  </si>
  <si>
    <t>http://dx.doi.org/10.1007/s11528-019-00423-0</t>
  </si>
  <si>
    <t>EJ1240644</t>
  </si>
  <si>
    <t>17-28</t>
  </si>
  <si>
    <t>Jan 2020</t>
  </si>
  <si>
    <t>http://eric.ed.gov/?id=EJ1240644</t>
  </si>
  <si>
    <t>Using Epistemic Network Analysis to Explore Primary School Students' Computational Thinking in Pair Programming Learning</t>
  </si>
  <si>
    <t>Yu-Sheng Su; Shuwen Wang; Xiaohong Liu</t>
  </si>
  <si>
    <t>v62 n2 p559-593 2024</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</si>
  <si>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t>
  </si>
  <si>
    <t>Epistemology; Network Analysis; Elementary School Students; Computation; Thinking Skills; Programming; Cooperative Learning; Programming Languages; Scores; Information Technology; Learning Processes</t>
  </si>
  <si>
    <t>http://dx.doi.org/10.1177/07356331231210560</t>
  </si>
  <si>
    <t>EJ1415121</t>
  </si>
  <si>
    <t>559-593</t>
  </si>
  <si>
    <t>http://eric.ed.gov/?id=EJ1415121</t>
  </si>
  <si>
    <t>Hsiao-Ping Hsu</t>
  </si>
  <si>
    <t>v69 n3 p485-506 2025</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</si>
  <si>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t>
  </si>
  <si>
    <t>Journal Articles; Reports - Descriptive</t>
  </si>
  <si>
    <t>Programming; Prompting; Computation; Thinking Skills; Artificial Intelligence; Problem Solving; Natural Language Processing; Teacher Workshops; Engineering</t>
  </si>
  <si>
    <t>http://dx.doi.org/10.1007/s11528-025-01052-6</t>
  </si>
  <si>
    <t>EJ1473304</t>
  </si>
  <si>
    <t>485-506</t>
  </si>
  <si>
    <t>http://eric.ed.gov/?id=EJ1473304</t>
  </si>
  <si>
    <t>The Effects of Video Game Making within Science Content on Student Computational Thinking Skills and Performance</t>
  </si>
  <si>
    <t>Garneli, Varvara; Chorianopoulos, Konstantinos</t>
  </si>
  <si>
    <t>v16 n4 p301-318 2019</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</si>
  <si>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</si>
  <si>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Computation; Thinking Skills; Science Instruction; Scientific Concepts; Nontraditional Education; Teaching Methods; Video Games; Science Curriculum; Instructional Effectiveness</t>
  </si>
  <si>
    <t>http://dx.doi.org/10.1108/ITSE-11-2018-0097</t>
  </si>
  <si>
    <t>EJ1229185</t>
  </si>
  <si>
    <t>301-318</t>
  </si>
  <si>
    <t>http://eric.ed.gov/?id=EJ1229185</t>
  </si>
  <si>
    <t>The Code-Centric Nature of Computational Thinking Education: A Review of Trends and Issues in Computational Thinking Education Research</t>
  </si>
  <si>
    <t>Kite, Vance; Park, Soonhye; Wiebe, Eric</t>
  </si>
  <si>
    <t>v11 n2 Apr-Jun 2021</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</si>
  <si>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</si>
  <si>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Journal Articles; Information Analyses; Reports - Research</t>
  </si>
  <si>
    <t>Computation; Thinking Skills; Programming; Coding; Computer Science Education; Educational Research; Skill Development; Interdisciplinary Approach; Research Design; Core Curriculum</t>
  </si>
  <si>
    <t>SAGE Open</t>
  </si>
  <si>
    <t>http://dx.doi.org/10.1177/21582440211016418</t>
  </si>
  <si>
    <t>EJ1302458</t>
  </si>
  <si>
    <t>Apr-Jun 2021</t>
  </si>
  <si>
    <t>http://eric.ed.gov/?id=EJ1302458</t>
  </si>
  <si>
    <t>Buteau, Chantal; Muller, Eric; Mgombelo, Joyce; Sacristán, Ana Isabel; Dreise, Kirstin</t>
  </si>
  <si>
    <t>Journal Articles; Reports - Evaluative</t>
  </si>
  <si>
    <t>Undergraduate Students; Programming; Mathematics Education; Mathematics Skills; Computation; Programming Languages; Thinking Skills</t>
  </si>
  <si>
    <t>http://dx.doi.org/10.1007/s40751-020-00060-w</t>
  </si>
  <si>
    <t>EJ1273847</t>
  </si>
  <si>
    <t>http://eric.ed.gov/?id=EJ1273847</t>
  </si>
  <si>
    <t>Large-Scale Path Modeling of Remixing to Computational Thinking</t>
  </si>
  <si>
    <t>v29 n3 p414-427 2021</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</si>
  <si>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</si>
  <si>
    <t>Programming; Thinking Skills; Computation; Programming Languages; Electronic Learning; Communities of Practice; Computer Science Education; Social Cognition; Path Analysis; Scores; Elementary School Students; Secondary School Students</t>
  </si>
  <si>
    <t>http://dx.doi.org/10.1080/10494820.2019.1573199</t>
  </si>
  <si>
    <t>EJ1298809</t>
  </si>
  <si>
    <t>414-427</t>
  </si>
  <si>
    <t>http://eric.ed.gov/?id=EJ1298809</t>
  </si>
  <si>
    <t>Developing and Assessing Computational Thinking in Secondary Education Using a TPACK Guided Scratch Visual Execution Environment</t>
  </si>
  <si>
    <t>Hijón Neira, Raquel; García-Iruela, Miguel; Connolly, Cornelia</t>
  </si>
  <si>
    <t>v4 n4 Apr 2021</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</si>
  <si>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</si>
  <si>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Computation; Thinking Skills; Pedagogical Content Knowledge; Technological Literacy; Secondary School Students; Student Evaluation; Programming; Foreign Countries</t>
  </si>
  <si>
    <t>EJ1298018</t>
  </si>
  <si>
    <t>Apr 2021</t>
  </si>
  <si>
    <t>http://eric.ed.gov/?id=EJ1298018</t>
  </si>
  <si>
    <t>Building Digital Thinkers: A Bibliometric Analysis of Computational Thinking in Children's Education for a Sustainable Future</t>
  </si>
  <si>
    <t>Rita Wong Mee Mee; Fatin Syamilah Che Yob; Lim Seong Pek; Muhammad Fairuz Abd Rauf; Yang Mingmei; Ali Derahvasht</t>
  </si>
  <si>
    <t>v17 n3 Article ep581 2025</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</si>
  <si>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t>
  </si>
  <si>
    <t>Computation; Thinking Skills; Bibliometrics; Language Acquisition; Cognitive Development; Social Development; Emotional Development; Critical Thinking; Equal Education; Inclusion; Access to Education; Coding; Robotics; Cooperative Learning; Sustainability</t>
  </si>
  <si>
    <t>EJ1481772</t>
  </si>
  <si>
    <t>Article ep581 2025</t>
  </si>
  <si>
    <t>http://eric.ed.gov/?id=EJ1481772</t>
  </si>
  <si>
    <t>Single or Combined? A Study on Programming to Promote Junior High School Students' Computational Thinking Skills</t>
  </si>
  <si>
    <t>v60 n2 p283-321 Apr 2022</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</si>
  <si>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t>
  </si>
  <si>
    <t>Programming; Junior High School Students; Computation; Thinking Skills; Gender Differences; Teaching Methods; Learning Activities; Grade 7; Instructional Effectiveness; Foreign Countries</t>
  </si>
  <si>
    <t>http://dx.doi.org/10.1177/07356331211035182</t>
  </si>
  <si>
    <t>EJ1334952</t>
  </si>
  <si>
    <t>283-321</t>
  </si>
  <si>
    <t>Apr 2022</t>
  </si>
  <si>
    <t>http://eric.ed.gov/?id=EJ1334952</t>
  </si>
  <si>
    <t>Effect of Project-Based Arduino Robot Application on Trainee Teachers Computational Thinking in Robotics Programming Course</t>
  </si>
  <si>
    <t>Fadip Audu Nannim; Nnenna Ekpereka Ibezim; Basil C. E. Oguguo; Emmanuel Chinweike Nwangwu</t>
  </si>
  <si>
    <t>v29 n10 p13155-13170 2024</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</si>
  <si>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</si>
  <si>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Robotics; Computation; Thinking Skills; Skill Development; Programming; Postsecondary Education; Foreign Countries; Computer Science Education; Active Learning; Student Projects; Preservice Teachers; Teaching Methods; Preservice Teacher Education; Computer Software</t>
  </si>
  <si>
    <t>http://dx.doi.org/10.1007/s10639-023-12380-6</t>
  </si>
  <si>
    <t>EJ1433710</t>
  </si>
  <si>
    <t>13155-13170</t>
  </si>
  <si>
    <t>http://eric.ed.gov/?id=EJ1433710</t>
  </si>
  <si>
    <t>Design-Based Digital Story Program: Enhancing Coding and Computational Thinking Skills in Early Childhood Education</t>
  </si>
  <si>
    <t>Sermin Metin; Damla Kalyenci; Mehmet Basaran; Emily Relkin; Büsra Bilir</t>
  </si>
  <si>
    <t>v53 n6 p2255-2274 2025</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</si>
  <si>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</si>
  <si>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Early Childhood Education; Coding; Computation; Thinking Skills; Skill Development; Preschool Children; Story Telling; Teaching Methods; Experiential Learning; Gender Differences</t>
  </si>
  <si>
    <t>Early Childhood Education Journal</t>
  </si>
  <si>
    <t>http://dx.doi.org/10.1007/s10643-024-01728-3</t>
  </si>
  <si>
    <t>EJ1479621</t>
  </si>
  <si>
    <t>2255-2274</t>
  </si>
  <si>
    <t>http://eric.ed.gov/?id=EJ1479621</t>
  </si>
  <si>
    <t>Developing Preschool Children's Computational Thinking and Executive Functions: Unplugged vs. Robot Programming Activities</t>
  </si>
  <si>
    <t>Xinli Zhang; Yuchen Chen; Lailin Hu; Gwo-Jen Hwang; Yun-Fang Tu</t>
  </si>
  <si>
    <t>v12 Article 10 2025</t>
  </si>
  <si>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</si>
  <si>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Thinking Skills; Computation; Executive Function; Programming; Preschool Education; Robotics; Program Effectiveness; Kindergarten; Student Attitudes</t>
  </si>
  <si>
    <t>International Journal of STEM Education</t>
  </si>
  <si>
    <t>http://dx.doi.org/10.1186/s40594-024-00525-z</t>
  </si>
  <si>
    <t>EJ1460969</t>
  </si>
  <si>
    <t>Article 10 2025</t>
  </si>
  <si>
    <t>http://eric.ed.gov/?id=EJ1460969</t>
  </si>
  <si>
    <t>Janice Mak; Yue Xin; Lin Yan; Kristina Kramarczuk; Francheska Figueroa; Brian Nelson; Ebony Terrell Shockley; Jeremy Bernier; Diane Jass Ketelhut</t>
  </si>
  <si>
    <t>Thinking Skills; Computer Science Education; Teaching Methods; Culturally Relevant Education; Science Teachers; Faculty Development; Elementary School Teachers; Lesson Plans; Computer Simulation; Alignment (Education); Equal Education; Access to Education; Programming; Computer Software; Student Diversity; Elementary School Science</t>
  </si>
  <si>
    <t>https://doi.org/10.70725/326709hmzeoo</t>
  </si>
  <si>
    <t>EJ1472101</t>
  </si>
  <si>
    <t>http://eric.ed.gov/?id=EJ1472101</t>
  </si>
  <si>
    <t>2101526; 2101039</t>
  </si>
  <si>
    <t>Affordances and Limitations of Teachers Instructional Styles When Teaching Computer Science and Computational Thinking</t>
  </si>
  <si>
    <t>Searle, Kristin A.; Tofel-Grehl, Colby; Fischback, Liam; Hansen, Tyler</t>
  </si>
  <si>
    <t>v33 n1 p139-161 2023</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</si>
  <si>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</si>
  <si>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Affordances; Barriers; Teaching Styles; Computer Science Education; Computation; Thinking Skills; Elementary School Teachers; Teaching Methods; Knowledge Base for Teaching; Direct Instruction; Discovery Learning; Scaffolding (Teaching Technique); Faculty Development; Observation</t>
  </si>
  <si>
    <t>http://dx.doi.org/10.1080/08993408.2022.2154992</t>
  </si>
  <si>
    <t>EJ1388748</t>
  </si>
  <si>
    <t>139-161</t>
  </si>
  <si>
    <t>http://eric.ed.gov/?id=EJ1388748</t>
  </si>
  <si>
    <t>1758823</t>
  </si>
  <si>
    <t>Mobile Learning to Support Computational Thinking in Initial Teacher Education: A Case Study</t>
  </si>
  <si>
    <t>Connolly, Cornelia; Hijón-Neira, Raquel; Grádaigh, Seán Ó.</t>
  </si>
  <si>
    <t>v13 n1 Article 4 p49-62 2021</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</si>
  <si>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t>
  </si>
  <si>
    <t>Electronic Learning; Computation; Thinking Skills; Preservice Teacher Education; Handheld Devices; Foreign Countries; Programming; Learning Activities</t>
  </si>
  <si>
    <t>https://doi.org/10.4018/IJMBL.2021010104</t>
  </si>
  <si>
    <t>EJ1291373</t>
  </si>
  <si>
    <t>49-62</t>
  </si>
  <si>
    <t>Article 2021</t>
  </si>
  <si>
    <t>http://eric.ed.gov/?id=EJ1291373</t>
  </si>
  <si>
    <t>Kiliç, Servet</t>
  </si>
  <si>
    <t>v9 n5 p288-304 Sep 2022</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</si>
  <si>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t>
  </si>
  <si>
    <t>Computation; Thinking Skills; Content Analysis; Teaching Methods; Learning Activities; Elementary Secondary Education; Higher Education</t>
  </si>
  <si>
    <t>EJ1348720</t>
  </si>
  <si>
    <t>288-304</t>
  </si>
  <si>
    <t>http://eric.ed.gov/?id=EJ1348720</t>
  </si>
  <si>
    <t>The Effects of Metacognitive Scaffolding of Project-Based Learning Environments on Students' Metacognitive Ability and Computational Thinking</t>
  </si>
  <si>
    <t>Cui-Yu Wang; Bao-Lian Gao; Shu-Jie Chen</t>
  </si>
  <si>
    <t>v29 n5 p5485-5508 2024</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</si>
  <si>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t>
  </si>
  <si>
    <t>Computation; Thinking Skills; Elementary School Students; Metacognition; Active Learning; Student Projects; Scaffolding (Teaching Technique); Conventional Instruction; Program Effectiveness</t>
  </si>
  <si>
    <t>http://dx.doi.org/10.1007/s10639-023-12022-x</t>
  </si>
  <si>
    <t>EJ1418812</t>
  </si>
  <si>
    <t>5485-5508</t>
  </si>
  <si>
    <t>http://eric.ed.gov/?id=EJ1418812</t>
  </si>
  <si>
    <t>A Literature Review on the Empirical Studies of the Integration of Mathematics and Computational Thinking</t>
  </si>
  <si>
    <t>v28 n7 p8171-8193 Jul 2023</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</si>
  <si>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t>
  </si>
  <si>
    <t>Literature Reviews; Mathematics Education; Integrated Curriculum; Computation; Thinking Skills; Elementary Secondary Education; Research Methodology</t>
  </si>
  <si>
    <t>http://dx.doi.org/10.1007/s10639-022-11518-2</t>
  </si>
  <si>
    <t>EJ1383222</t>
  </si>
  <si>
    <t>8171-8193</t>
  </si>
  <si>
    <t>Jul 2023</t>
  </si>
  <si>
    <t>http://eric.ed.gov/?id=EJ1383222</t>
  </si>
  <si>
    <t>Co-Development of Senior Primary Students' Computational Thinking Concepts and Practices: Implications for Teaching and Learning</t>
  </si>
  <si>
    <t>Siu-Cheung Kong; Ming Lai; Yugen Li; Tak-Yue Dickson Chan</t>
  </si>
  <si>
    <t>v30 n3 p2859-2886 2025</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</si>
  <si>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t>
  </si>
  <si>
    <t>Journal Articles; Reports - Research; Tests/Questionnaires</t>
  </si>
  <si>
    <t>Computation; Thinking Skills; Elementary School Students; Student Development; Grade 6; Student Attitudes; Concept Formation; Student Improvement; Problem Solving</t>
  </si>
  <si>
    <t>http://dx.doi.org/10.1007/s10639-024-12922-6</t>
  </si>
  <si>
    <t>EJ1461476</t>
  </si>
  <si>
    <t>2859-2886</t>
  </si>
  <si>
    <t>http://eric.ed.gov/?id=EJ1461476</t>
  </si>
  <si>
    <t>Computational Thinking Integration into Middle Grades Science Classrooms: Strategies for Meeting the Challenges</t>
  </si>
  <si>
    <t>Boulden, Danielle Cadieux; Wiebe, Eric; Akram, Bita; Aksit, Osman; Buffum, Philip Sheridan; Mott, Bradford; Boyer, Kristy Elizabeth; Lester, James</t>
  </si>
  <si>
    <t>v4 n3 Article 5 Dec 2018</t>
  </si>
  <si>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</si>
  <si>
    <t>Computation; Thinking Skills; Middle School Students; Science Instruction; Research and Development; Theory Practice Relationship; Partnerships in Education; Models; Programming; Middle School Teachers; Educational Technology; Technology Integration; Teaching Methods</t>
  </si>
  <si>
    <t>Middle Grades Review</t>
  </si>
  <si>
    <t>EJ1201235</t>
  </si>
  <si>
    <t>Article Dec 2018</t>
  </si>
  <si>
    <t>http://eric.ed.gov/?id=EJ1201235</t>
  </si>
  <si>
    <t>Examining the Impact of a Computational Thinking Intervention on Pre-Service Elementary Science Teachers' Computational Thinking Teaching Efficacy Beliefs, Interest and Confidence</t>
  </si>
  <si>
    <t>Kaya, Erdogan; Yesilyurt, Ezgi; Newley, Anna; Deniz, Hasan</t>
  </si>
  <si>
    <t>v38 n4 p385-392 Oct 2019</t>
  </si>
  <si>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</si>
  <si>
    <t>Computation; Thinking Skills; Intervention; Preservice Teachers; Elementary School Teachers; Self Efficacy; Student Attitudes; Beliefs; STEM Education; Undergraduate Students; Methods Courses; Teaching Methods</t>
  </si>
  <si>
    <t>https://www.learntechlib.org/p/210970/</t>
  </si>
  <si>
    <t>EJ1239850</t>
  </si>
  <si>
    <t>385-392</t>
  </si>
  <si>
    <t>Oct 2019</t>
  </si>
  <si>
    <t>http://eric.ed.gov/?id=EJ1239850</t>
  </si>
  <si>
    <t>Computational Thinking for the Digital Age: A Systematic Review of Tools, Pedagogical Strategies, and Assessment Practices</t>
  </si>
  <si>
    <t>Toluchuri Shalini Shanker Rao; Kaushal Kumar Bhagat</t>
  </si>
  <si>
    <t>v72 n4 p1893-1924 2024</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</si>
  <si>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t>
  </si>
  <si>
    <t>Computation; Thinking Skills; Educational Research; Skill Development; Intervention; Evaluation Methods; Preservice Teachers; Preservice Teacher Education; Research Design; Teaching Methods; Intellectual Disciplines; STEM Education</t>
  </si>
  <si>
    <t>http://dx.doi.org/10.1007/s11423-024-10364-y</t>
  </si>
  <si>
    <t>EJ1439618</t>
  </si>
  <si>
    <t>1893-1924</t>
  </si>
  <si>
    <t>http://eric.ed.gov/?id=EJ1439618</t>
  </si>
  <si>
    <t>Hanzhu Yang; Linlin Hu; Hao Wang; Yunfei Xin</t>
  </si>
  <si>
    <t>v41 n4 e70079 2025</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</si>
  <si>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t>
  </si>
  <si>
    <t>Integrated Activities; Computation; Thinking Skills; STEM Education; Meta Analysis; Skill Development; Intervention; Teaching Methods; Programming; Shared Resources and Services; Learning Activities</t>
  </si>
  <si>
    <t>http://dx.doi.org/10.1111/jcal.70079</t>
  </si>
  <si>
    <t>EJ1478311</t>
  </si>
  <si>
    <t>e70079 2025</t>
  </si>
  <si>
    <t>http://eric.ed.gov/?id=EJ1478311</t>
  </si>
  <si>
    <t>Enhancing Students' Critical Thinking through Mathematics in Higher Education: A Systemic Review</t>
  </si>
  <si>
    <t>Qian Wang; Abdul Halim Abdullah</t>
  </si>
  <si>
    <t>v14 n3 2024</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</si>
  <si>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</si>
  <si>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Critical Thinking; College Mathematics; Mathematics Instruction; Intervention; Thinking Skills; Skill Development; Undergraduate Students; Curriculum Evaluation; Educational Objectives; Teaching Methods; 21st Century Skills; Foreign Countries; Educational Strategies</t>
  </si>
  <si>
    <t>http://dx.doi.org/10.1177/21582440241275651</t>
  </si>
  <si>
    <t>EJ1442386</t>
  </si>
  <si>
    <t>http://eric.ed.gov/?id=EJ1442386</t>
  </si>
  <si>
    <t>Learning Early-Stage Web Development at Scale: Exploring Methods to Assess Learning through Analysis of HTML and CSS</t>
  </si>
  <si>
    <t>Meen Chul Kim</t>
  </si>
  <si>
    <t>Ph.D. Dissertation, Drexel University</t>
  </si>
  <si>
    <t>In this dissertation, I argue that web development can play a pivotal role in developing computational thinking as well as provide a stepping stone to an advanced mastery of computation. The preceding literature has extensively examined not only how learners practice computational thinking with a wide array of programming languages, but also how to assess their knowledge and skills against predefined educational criteria. In contrast to the literature on learning traditional programming at scale, there is relatively little known about what people practice and learn in web development, particularly in informal settings at scale. Against this backdrop, I pose the following questions. What knowledge and skills do web developers engage with in their early stages of learning? What mistakes and misconceptions do they make when learning to code in HTML and CSS? How can such learning be measured in informal settings that potentially support a wide range of contexts and purposes? What patterns emerge as people continuously engage in the creation of web artifacts? Guided by these questions, I aim to draw connections between the existing literature and my findings, which is currently missing, in a way attaining a deepened understanding of the skills and concepts that learners practice and know, the errors and misconceptions that they struggle most with, and the creative ways that assess informal learning. Ultimately, my goal is to broaden the notion of computational thinking through web development and to support a broader base of people as computer-literate citizens. To these ends, I conducted four empirical studies situated in a variety of learning contexts, including a laboratory-based study, an educational game, and online web authoring. The contributions of the present dissertation are as follows: (1) A conceptual framework that interprets computational features in web development at multiple levels, binding code features with higher-level features such as abstractions and concepts, which are potentially indicative of learners' knowledge and skills; (2) Data-driven evidence for early-stage web development as a rich, multi-layered activity including a wide range of computational skills and concepts that can broaden notions about computational thinking; (3) An expanded inventory of errors that people make and misconceptions they hold when learning to code in HTML and CSS, and the application of this inventory to large-scale code logs; (4) Design and implementation of learning analytics in informal contexts where collecting data on learning outcomes is challenging or not possible otherwise; and (5) Recommendations on the design of instructional methods and learning tools, as well as future research efforts, filling the gap between theory and practice.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</si>
  <si>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Programming; Computer Science Education; Mental Computation; Thinking Skills; Knowledge Level; Computer Literacy; Informal Education; Error Patterns; Evaluation; Pattern Recognition; Evaluation Methods; Coding</t>
  </si>
  <si>
    <t>http://gateway.proquest.com/openurl?url_ver=Z39.88-2004&amp;rft_val_fmt=info:ofi/fmt:kev:mtx:dissertation&amp;res_dat=xri:pqm&amp;rft_dat=xri:pqdiss:28410083</t>
  </si>
  <si>
    <t>ED655889</t>
  </si>
  <si>
    <t>http://eric.ed.gov/?id=ED655889</t>
  </si>
  <si>
    <t>The Effect of an Unplugged Coding Course on Primary School Students' Improvement in Their Computational Thinking Skills</t>
  </si>
  <si>
    <t>Dag, Funda; Sumuer, Evren; Durdu, Levent</t>
  </si>
  <si>
    <t>v39 n6 p1902-1918 2023</t>
  </si>
  <si>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</si>
  <si>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Computation; Thinking Skills; Elementary School Students; Student Improvement; Coding; Skill Development; Grade 3; Grade 4; Foreign Countries; Instructional Effectiveness</t>
  </si>
  <si>
    <t>http://dx.doi.org/10.1111/jcal.12850</t>
  </si>
  <si>
    <t>EJ1399783</t>
  </si>
  <si>
    <t>39</t>
  </si>
  <si>
    <t>1902-1918</t>
  </si>
  <si>
    <t>http://eric.ed.gov/?id=EJ1399783</t>
  </si>
  <si>
    <t>Analysing Computational Thinking in Collaborative Programming: A Quantitative Ethnography Approach</t>
  </si>
  <si>
    <t>Wu, Bian; Hu, Yiling; Ruis, A. R.; Wang, Minhong</t>
  </si>
  <si>
    <t>v35 n3 p421-434 Jun 2019</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</si>
  <si>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t>
  </si>
  <si>
    <t>Thinking Skills; Problem Solving; Teaching Methods; College Students; Computer Assisted Instruction; Cooperative Learning; Programming; Computer Science Education; Ethnography; Novices; Teamwork; Discourse Analysis; High Achievement; Low Achievement; Comparative Analysis</t>
  </si>
  <si>
    <t>http://dx.doi.org/10.1111/jcal.12348</t>
  </si>
  <si>
    <t>EJ1214451</t>
  </si>
  <si>
    <t>421-434</t>
  </si>
  <si>
    <t>Jun 2019</t>
  </si>
  <si>
    <t>http://eric.ed.gov/?id=EJ1214451</t>
  </si>
  <si>
    <t>1661036; 1713110</t>
  </si>
  <si>
    <t>A Professional Development Model to Integrate Computational Thinking into Middle School Science through Codesigned Storylines</t>
  </si>
  <si>
    <t>Biddy, Quentin; Chakarov, Alexandra Gendreau; Bush, Jeffrey; Elliott, Colin Hennessy; Jacobs, Jennifer; Recker, Mimi; Sumner, Tamara; Penuel, William</t>
  </si>
  <si>
    <t>v21 n1 2021</t>
  </si>
  <si>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</si>
  <si>
    <t>Professional Development; Teacher Workshops; Summer Programs; Teacher Collaboration; Computer Science Education; STEM Education; Integrated Curriculum; Curriculum Design; Programming; Magnets; Electronics; Academic Standards; Alignment (Education); Thinking Skills; Teaching Methods; Middle School Teachers; Teacher Attitudes; Relevance (Education); Urban Schools; Student Centered Curriculum</t>
  </si>
  <si>
    <t>Contemporary Issues in Technology and Teacher Education (CITE Journal)</t>
  </si>
  <si>
    <t>https://citejournal.org/volume-21/issue-1-21/science/a-professional-development-model-to-integrate-computational-thinking-into-middle-school-science-through-codesigned-storylines/</t>
  </si>
  <si>
    <t>EJ1288198</t>
  </si>
  <si>
    <t>http://eric.ed.gov/?id=EJ1288198</t>
  </si>
  <si>
    <t>1742053; 1742046</t>
  </si>
  <si>
    <t>A HLT for Integrated CT and Mathematics Lessons: Supporting Students' Possible Struggles When Debugging in GeoGebra Environment</t>
  </si>
  <si>
    <t>Wahid Yunianto; Guillermo Bautista Jr.; Bungkus Dias Prasetyo; Zsolt Lavicza</t>
  </si>
  <si>
    <t>v31 n1 p11-20 2024</t>
  </si>
  <si>
    <t>As computational thinking (CT) is new to teachers, they need support on how CT integration will work. This study examines the use of a hypothetical learning trajectory (HLT) to support teachers in integrating computational thinking into mathematics lessons utilizing GeoGebra. By employing the educational design research (EDR) methodology, the researchers, in collaboration with mathematics teachers and an educator, developed Math+CT activities in GeoGebra as part of an HLT. The HLT was meant to help teachers predict students' responses and facilitate learning. A pilot experiment was conducted with a small group of students to see how and why the designed activities work. Therefore, we collected data from students' responses (GeoGebra scripts and answers) and computer screen recordings. The HLT is triangulated by comparing the predicted responses to the actual responses. The pilot experiment helped to improve the lessons and the HLT for future experimentation. Considering students' possible mistakes in debugging would prepare teachers to anticipate and facilitate the contingency situation.</t>
  </si>
  <si>
    <t>Computer Software; Mental Computation; Mathematics Instruction; Educational Technology; Technology Uses in Education; Learning Activities; Programming; Troubleshooting; Problem Solving</t>
  </si>
  <si>
    <t>International Journal for Technology in Mathematics Education</t>
  </si>
  <si>
    <t>https://doi.org/10.1564/tme_v31.1.02</t>
  </si>
  <si>
    <t>EJ1443673</t>
  </si>
  <si>
    <t>11-20</t>
  </si>
  <si>
    <t>http://eric.ed.gov/?id=EJ1443673</t>
  </si>
  <si>
    <t>How Do Computational Thinking Self-Efficacy and Performance Differ According to Secondary School Students' Profiles? The Role of Computational Identity, Academic Resilience, and Gender</t>
  </si>
  <si>
    <t>v28 n5 p6115-6139 May 2023</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</si>
  <si>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t>
  </si>
  <si>
    <t>Secondary School Students; Computation; Thinking Skills; Self Efficacy; Profiles; Self Concept; Resilience (Psychology); Sex; Programming</t>
  </si>
  <si>
    <t>http://dx.doi.org/10.1007/s10639-022-11425-6</t>
  </si>
  <si>
    <t>EJ1377575</t>
  </si>
  <si>
    <t>6115-6139</t>
  </si>
  <si>
    <t>May 2023</t>
  </si>
  <si>
    <t>http://eric.ed.gov/?id=EJ1377575</t>
  </si>
  <si>
    <t>Generating a Template for an Educational Software Development Methodology for Novice Computing Undergraduates: An Integrative Review</t>
  </si>
  <si>
    <t>Catherine Higgins; Ciaran O'Leary; Claire McAvinia; Barry J. Ryan</t>
  </si>
  <si>
    <t>v23 Article 12 2024</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</si>
  <si>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</si>
  <si>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Educational Technology; Computer Software; Undergraduate Students; Novices; Skills; Problem Solving; Teaching Methods</t>
  </si>
  <si>
    <t>Journal of Information Technology Education: Innovations in Practice</t>
  </si>
  <si>
    <t>https://doi.org/10.28945/5374</t>
  </si>
  <si>
    <t>EJ1442121</t>
  </si>
  <si>
    <t>Article 12 2024</t>
  </si>
  <si>
    <t>http://eric.ed.gov/?id=EJ1442121</t>
  </si>
  <si>
    <t>A Review of Teaching and Learning Approach in Implementing Project-Based Learning (PBL) with Computational Thinking (CT)</t>
  </si>
  <si>
    <t>Aslina Saad; Suhaila Zainudin</t>
  </si>
  <si>
    <t>v32 n10 p7622-7646 2024</t>
  </si>
  <si>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</si>
  <si>
    <t>Journal Articles; Reports - Research; Information Analyses</t>
  </si>
  <si>
    <t>Active Learning; Student Projects; Teaching Methods; Computation; Thinking Skills; Educational Strategies; Cooperation; Visual Aids; Inquiry; Scaffolding (Teaching Technique); Models; Programming; Educational Technology; Problem Solving</t>
  </si>
  <si>
    <t>http://dx.doi.org/10.1080/10494820.2024.2328280</t>
  </si>
  <si>
    <t>EJ1455568</t>
  </si>
  <si>
    <t>7622-7646</t>
  </si>
  <si>
    <t>http://eric.ed.gov/?id=EJ1455568</t>
  </si>
  <si>
    <t>Fostering Computational Thinking through Educational Robotics: A Model for Creative Computational Problem Solving</t>
  </si>
  <si>
    <t>Chevalier, Morgane; Giang, Christian; Piatti, Alberto; Mondada, Francesco</t>
  </si>
  <si>
    <t>v7 Article 39 2020</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</si>
  <si>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</si>
  <si>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Computation; Thinking Skills; Robotics; Technology Uses in Education; Problem Solving; Elementary School Students; Programming; Cognitive Processes; Concept Formation; Scaffolding (Teaching Technique)</t>
  </si>
  <si>
    <t>http://dx.doi.org/10.1186/s40594-020-00238-z</t>
  </si>
  <si>
    <t>EJ1262204</t>
  </si>
  <si>
    <t>Article 39 2020</t>
  </si>
  <si>
    <t>http://eric.ed.gov/?id=EJ1262204</t>
  </si>
  <si>
    <t>Engaging Youth in Computational Thinking Practices through Designing Place-Based Mobile Games about Local Issues</t>
  </si>
  <si>
    <t>v28 n3 p302-315 2020</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</si>
  <si>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t>
  </si>
  <si>
    <t>Teaching Methods; Educational Games; Telecommunications; Handheld Devices; Social Problems; Relevance (Education); Computer Simulation; Learner Engagement; Student Participation; Thinking Skills; Problem Solving; Design; Computer Science Education; Adolescents; Preadolescents; Youth Programs; Place Based Education; Workshops; Rural Areas; Educational Technology</t>
  </si>
  <si>
    <t>http://dx.doi.org/10.1080/10494820.2019.1674883</t>
  </si>
  <si>
    <t>EJ1252946</t>
  </si>
  <si>
    <t>302-315</t>
  </si>
  <si>
    <t>http://eric.ed.gov/?id=EJ1252946</t>
  </si>
  <si>
    <t>Unplugged versus Plugged-In: Examining Basic Programming Achievement and Computational Thinking of 6th-Grade Students</t>
  </si>
  <si>
    <t>Polat, Elif; Yilmaz, Rabia Meryem</t>
  </si>
  <si>
    <t>v27 n7 p9145-9179 Aug 2022</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</si>
  <si>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</si>
  <si>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Learning Activities; Programming; Computer Science Education; Computation; Thinking Skills; Grade 6; Middle School Students; Intervention; Instructional Effectiveness</t>
  </si>
  <si>
    <t>http://dx.doi.org/10.1007/s10639-022-10992-y</t>
  </si>
  <si>
    <t>EJ1347154</t>
  </si>
  <si>
    <t>9145-9179</t>
  </si>
  <si>
    <t>http://eric.ed.gov/?id=EJ1347154</t>
  </si>
  <si>
    <t>Examining Changes in Teachers' Beliefs toward Integrating Computational Thinking to Teach Literacy and Math Concepts in Grades K-2</t>
  </si>
  <si>
    <t>Tyler S. Love; Scott R. Bartholomew; Jessica Yauney</t>
  </si>
  <si>
    <t>v5 n3 p380-401 2022</t>
  </si>
  <si>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</si>
  <si>
    <t>Teacher Attitudes; Attitude Change; Beliefs; Computation; Thinking Skills; Skill Development; Kindergarten; Grade 1; Grade 2; Faculty Development; Program Effectiveness; Value Judgment; Self Efficacy; Coding; Teacher Effectiveness; Literacy Education; Mathematics Education</t>
  </si>
  <si>
    <t>http://dx.doi.org/10.1007/s41979-022-00077-3</t>
  </si>
  <si>
    <t>EJ1420684</t>
  </si>
  <si>
    <t>380-401</t>
  </si>
  <si>
    <t>http://eric.ed.gov/?id=EJ1420684</t>
  </si>
  <si>
    <t>Trends and Impacts of Artificial Intelligence Application in the Development of Computational Thinking Skills</t>
  </si>
  <si>
    <t>Dwi Fitria Al Husaeni; Isma Widiaty; Budi Mulyanti; Ade Gafar Abdullah; Lala Septem Riza; Amay Suherman; Dwi Novia Al Husaeni</t>
  </si>
  <si>
    <t>v24 n2 p261-298 2025</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</si>
  <si>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</si>
  <si>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Artificial Intelligence; Trend Analysis; Bibliometrics; Thinking Skills; Computer Science Education; Research Reports; Computer Software; Technology Integration; Learning Strategies; Teaching Methods; Information Retrieval; Kindergarten; Elementary Secondary Education; Higher Education; Citation Analysis; Programming Languages</t>
  </si>
  <si>
    <t>EJ1477396</t>
  </si>
  <si>
    <t>261-298</t>
  </si>
  <si>
    <t>http://eric.ed.gov/?id=EJ1477396</t>
  </si>
  <si>
    <t>Taslibeyaz, Elif; Kursun, Engin; Karaman, Selcuk</t>
  </si>
  <si>
    <t>v19 n4 p701-719 2020</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</si>
  <si>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t>
  </si>
  <si>
    <t>Thinking Skills; Skill Development; Problem Solving; Programming; Computer Science Education; Lifelong Learning; Definitions; Formative Evaluation; College Students; Elementary School Students; Secondary School Students; Educational Research</t>
  </si>
  <si>
    <t>EJ1279434</t>
  </si>
  <si>
    <t>701-719</t>
  </si>
  <si>
    <t>http://eric.ed.gov/?id=EJ1279434</t>
  </si>
  <si>
    <t>Kindergarten Teachers' Acceptance of Educational Robotics Online Tools for Computational Thinking</t>
  </si>
  <si>
    <t>Paraskevi Klonou; Anthi Karatrantou; Petros Tranta</t>
  </si>
  <si>
    <t>v9 n4 p579-596 2025</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</si>
  <si>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</si>
  <si>
    <t>Kindergarten; Preschool Teachers; Teacher Attitudes; Robotics; Technology Uses in Education; Computation; Thinking Skills; Intention; Teacher Characteristics; Distance Education; Programming; Self Efficacy; Value Judgment; Usability; Psychological Patterns</t>
  </si>
  <si>
    <t>International Journal of Technology in Education and Science</t>
  </si>
  <si>
    <t>EJ1482805</t>
  </si>
  <si>
    <t>579-596</t>
  </si>
  <si>
    <t>http://eric.ed.gov/?id=EJ1482805</t>
  </si>
  <si>
    <t>Evaluation of the Critical Thinking Skills of Secondary School Students in Saudi Arabia</t>
  </si>
  <si>
    <t>Abdullah Mohammad Alhowail; Saad Eid Albaqami</t>
  </si>
  <si>
    <t>v82 n1 p7-28 2024</t>
  </si>
  <si>
    <t>The present study examined critical thinking (CT) and its importance in Saudi secondary education. The sample included upper-secondary students and teachers in Riyadh, Saudi Arabia's capital and largest city. Qualitative and quantitative methods were used to study students' CT skill development, barriers to growth, instructors' views on CT advancement, and students' views on their CT skills. The study examines secondary school students' critical thinking development and impediments. It also examined teachers' perceptions of their students' progress in CT. The research collected quantitative data from 374 questionnaires and qualitative data from eight interviews. SPSS performed regression analysis on survey quantitative data. A thematic analysis was employed to evaluate qualitative interview data. The quantitative findings from the surveys revealed uneven CT skills. The findings also showed that gender, Grade Point Average (GPA) and family background affect CT. The qualitative findings from the interviews with the teachers stressed the importance of collaborative programming and active student engagement in classroom activities to foster CT. Bullying and peer pressure hindered autonomous and CT, making it difficult for instructors to motivate and support students. The findings emphasised the importance of teachers in creating a safe learning environment and encouraging analytical thinking. Recommendations for improving CT in Saudi secondary education were proposed addressing several critical aspects of CT advancement, including curriculum development, teacher training, parental involvement, government-led extracurricular learning, teacher-student interactions, and gender equality in CT advancement. This study could help Saudi students develop CT skills to meet the challenges of the modern world.</t>
  </si>
  <si>
    <t>Foreign Countries; Secondary School Students; Critical Thinking; Thinking Skills; Student Attitudes; Barriers; Teacher Attitudes; Gender Differences; Grade Point Average; Family Influence; Background; Learner Engagement; Cooperative Planning; Bullying; Peer Relationship; Teacher Role</t>
  </si>
  <si>
    <t>Problems of Education in the 21st Century</t>
  </si>
  <si>
    <t>EJ1418125</t>
  </si>
  <si>
    <t>82</t>
  </si>
  <si>
    <t>7-28</t>
  </si>
  <si>
    <t>http://eric.ed.gov/?id=EJ1418125</t>
  </si>
  <si>
    <t>Building the Capacity of In-Service Teachers to Integrate and Teach Computational Thinking</t>
  </si>
  <si>
    <t>Danielle Marie Cadieux Boulden</t>
  </si>
  <si>
    <t>Ph.D. Dissertation, North Carolina State University</t>
  </si>
  <si>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</si>
  <si>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Capacity Building; Computation; Thinking Skills; Computer Science Education; 21st Century Skills; Elementary Secondary Education; Academic Standards; Measures (Individuals); Self Efficacy; Beliefs; Outcomes of Education; Expectation; Validity; Development; Middle School Teachers; Teacher Leadership; Teacher Role; Program Implementation; Educational Innovation; Teaching Methods</t>
  </si>
  <si>
    <t>http://gateway.proquest.com/openurl?url_ver=Z39.88-2004&amp;rft_val_fmt=info:ofi/fmt:kev:mtx:dissertation&amp;res_dat=xri:pqm&amp;rft_dat=xri:pqdiss:28276163</t>
  </si>
  <si>
    <t>ED655086</t>
  </si>
  <si>
    <t>http://eric.ed.gov/?id=ED655086</t>
  </si>
  <si>
    <t>Exploring the Effects of the CER Model-Based GenAI Learning System to Cultivate Elementary School Students' Computational Thinking Core Skills in Science Courses</t>
  </si>
  <si>
    <t>Jia-Hua Zhao; Shu-Tao Shangguan; Ying Wang</t>
  </si>
  <si>
    <t>v41 n5 e70110 2025</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</si>
  <si>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</si>
  <si>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Artificial Intelligence; Technology Uses in Education; Skill Development; Computation; Thinking Skills; Science Process Skills; Elementary Education; Elementary School Students; Foreign Countries; Causal Models; Academic Achievement; Problem Solving; Interdisciplinary Approach</t>
  </si>
  <si>
    <t>http://dx.doi.org/10.1111/jcal.70110</t>
  </si>
  <si>
    <t>EJ1484241</t>
  </si>
  <si>
    <t>e70110 2025</t>
  </si>
  <si>
    <t>http://eric.ed.gov/?id=EJ1484241</t>
  </si>
  <si>
    <t>A Critical Review of Literature on "Unplugged" Pedagogies in K-12 Computer Science and Computational Thinking Education</t>
  </si>
  <si>
    <t>Huang, Wendy; Looi, Chee-Kit</t>
  </si>
  <si>
    <t>v31 n1 p83-111 2021</t>
  </si>
  <si>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</si>
  <si>
    <t>Computer Science Education; Programming; Thinking Skills; Skill Development; Educational Research; Teaching Methods; Access to Education; Access to Computers; Learning Activities; Minority Group Students; Disproportionate Representation; Equal Education; Elementary School Students; Secondary School Students</t>
  </si>
  <si>
    <t>http://dx.doi.org/10.1080/08993408.2020.1789411</t>
  </si>
  <si>
    <t>EJ1288468</t>
  </si>
  <si>
    <t>83-111</t>
  </si>
  <si>
    <t>http://eric.ed.gov/?id=EJ1288468</t>
  </si>
  <si>
    <t>Co-Designing to Develop Computational Thinking Skills in Nigeria K-12 Using Scratch</t>
  </si>
  <si>
    <t>Amos Oyelere Sunday; Friday Joseph Agbo; Jarkko Suhonen; Ilkka Jormanainen; Markku Tukiainen</t>
  </si>
  <si>
    <t>v30 n11 p14925-14965 2025</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</si>
  <si>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</si>
  <si>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Computation; Thinking Skills; Foreign Countries; Elementary Secondary Education; Secondary School Students; Programming Languages; Game Based Learning; Disadvantaged Environment; Educational Games; COVID-19; Pandemics; Student Interests; Student Attitudes; Learning Experience; Skill Development; Teamwork; Cooperative Learning; Communication Skills; Programming</t>
  </si>
  <si>
    <t>http://dx.doi.org/10.1007/s10639-025-13386-y</t>
  </si>
  <si>
    <t>EJ1479008</t>
  </si>
  <si>
    <t>14925-14965</t>
  </si>
  <si>
    <t>http://eric.ed.gov/?id=EJ1479008</t>
  </si>
  <si>
    <t>Enhancing Computational Thinking Skills of Students with Disabilities</t>
  </si>
  <si>
    <t>Kert, Serhat Bahadir; Yeni, Sabiha; Fatih Erkoç, Mehmet</t>
  </si>
  <si>
    <t>v50 n4 p625-651 Aug 2022</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</si>
  <si>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</si>
  <si>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Thinking Skills; Problem Solving; Computation; Students with Disabilities; Learning Disabilities; Computer Science Education; Secondary Education; Robotics; Visualization; High School Students</t>
  </si>
  <si>
    <t>Instructional Science: An International Journal of the Learning Sciences</t>
  </si>
  <si>
    <t>http://dx.doi.org/10.1007/s11251-022-09585-6</t>
  </si>
  <si>
    <t>EJ1342061</t>
  </si>
  <si>
    <t>50</t>
  </si>
  <si>
    <t>625-651</t>
  </si>
  <si>
    <t>http://eric.ed.gov/?id=EJ1342061</t>
  </si>
  <si>
    <t>Exploring the Impact of a School-University Partnership Model on Supporting Computer Science Learning among Middle School Students</t>
  </si>
  <si>
    <t>Pan, Yi-Cheng</t>
  </si>
  <si>
    <t>D.Ed. Dissertation, University of Delaware</t>
  </si>
  <si>
    <t>Recent policies and initiatives emphasized the importance of helping all students acquire Computer Science (CS) knowledge and develop Computational Thinking (CT). This study investigated the impact of a school-university partnership model on school students' CT development in the context of an after-school program. This study also examined the ways in which college CS undergraduates supported practicing teachers in the field, both through teaching practices and material development. The overall purpose of this work is to link CS undergraduates' practices from the designed partnership model to in-class support for teachers and subsequent student outcomes. Participants included 65 school students in grades four to six who voluntarily participated in the nine-week after-school program, as well as six CS undergraduates and one practicing teacher who designed and implemented the program. Data were collected from multiple sources, including after-school program observations, undergraduate reflections, CS case reports, CS content assessments, programming products, design journals, and a teacher interview. Results indicated that CS undergraduates actively sequenced, facilitated, and co-led a set of progressive, cohesive, meaningful, and relevant CS lessons with sound pedagogical strategies and age-appropriate CT tools and activities. School students' learning progress was also guided and built upon several formative and project-based assessments. Further, results indicated that the school-university partnership program positively influenced student learning of CS concepts, practices, and perspectives. Findings from this work can help provide guidelines for the design and implementation of effective partnership programs that help broaden participation in computing, with attention to the ways in which field experience and CS undergraduates can help support CS education in local communities.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</si>
  <si>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Partnerships in Education; College School Cooperation; Computer Science Education; Middle School Students; Computation; Thinking Skills; Program Effectiveness; After School Programs; Undergraduate Students; Middle School Teachers</t>
  </si>
  <si>
    <t>http://gateway.proquest.com/openurl?url_ver=Z39.88-2004&amp;rft_val_fmt=info:ofi/fmt:kev:mtx:dissertation&amp;res_dat=xri:pqm&amp;rft_dat=xri:pqdiss:10931256</t>
  </si>
  <si>
    <t>ED591259</t>
  </si>
  <si>
    <t>http://eric.ed.gov/?id=ED591259</t>
  </si>
  <si>
    <t>Developing Computational Thinking through Grounded Embodied Cognition</t>
  </si>
  <si>
    <t>Fadjo, Cameron Lawrence</t>
  </si>
  <si>
    <t>Ph.D. Dissertation, Columbia University</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</si>
  <si>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</si>
  <si>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Computation; Thinking Skills; Concept Formation; Instruction; Instructional Materials; Skill Development; Instructional Effectiveness; Programming Languages; Human Body; Grade 6; Grade 7; Computer Uses in Education; Video Games</t>
  </si>
  <si>
    <t>http://gateway.proquest.com/openurl?url_ver=Z39.88-2004&amp;rft_val_fmt=info:ofi/fmt:kev:mtx:dissertation&amp;res_dat=xri:pqm&amp;rft_dat=xri:pqdiss:3506300</t>
  </si>
  <si>
    <t>ED549372</t>
  </si>
  <si>
    <t>http://eric.ed.gov/?id=ED549372</t>
  </si>
  <si>
    <t>Future Needs of Vocational Educators Serving Special Needs Students.</t>
  </si>
  <si>
    <t>Vasa, Stanley F.</t>
  </si>
  <si>
    <t>1980</t>
  </si>
  <si>
    <t>v3 n1 p6-8,23 Fall 1980</t>
  </si>
  <si>
    <t>Addresses four issues in programming for the handicapped: role of the vocational educator in the Individual Education Program; utilization of available resources by vocational educators; parental involvement in programming for the special needs student; and increased need for inservice and professional development. (CT)</t>
  </si>
  <si>
    <t>Journal Articles; Opinion Papers</t>
  </si>
  <si>
    <t>Disabilities; Individualized Education Programs; Inservice Teacher Education; Parent Participation; Professional Development; Program Development; Special Education; Teacher Role; Vocational Education Teachers</t>
  </si>
  <si>
    <t>Journal for Vocational Special Needs Education</t>
  </si>
  <si>
    <t>EJ239853</t>
  </si>
  <si>
    <t>Fall 1980</t>
  </si>
  <si>
    <t>http://eric.ed.gov/?id=EJ239853</t>
  </si>
  <si>
    <t>Faculty Conceptualizations and Approaches to Assessing Critical Thinking in the Humanities and Natural Sciences--A Grounded Theory Study</t>
  </si>
  <si>
    <t>Nicholas, Mark C.</t>
  </si>
  <si>
    <t>Ph.D. Dissertation, University of Cincinnati</t>
  </si>
  <si>
    <t>Empirical research on how faculty across disciplines conceptualize or assess CT is scarce. This investigation focused on a group of 14 faculty drawn from multiple disciplines in the humanities and natural sciences. Using in-depth interviews, focus group discussions, assessment artifacts and qualitative coding strategies, this study examined how faculty conceptualized the term CT and how they assessed for CT in general education. The study adopted an exploratory approach to study faculty conceptualizations of CT and hence did not use an operational definition of CT. This study found that that disciplinary approaches, ontological assumptions and personal epistemologies influenced the way faculty from the natural sciences and humanities conceptualized CT.    The findings revealed that within disciplinary, educational contexts, faculty took a faceted approach to CT focusing on aspects of CT that were most relevant to their disciplinary needs. Faculty also held assumptions on the ontology of CT that influenced their understanding on the properties of the term. Faculty across disciplinary lines generally worked under the assumption that CT was dependent on context. Unanimity also emerged that CT was integrated with disciplinary content and other learning outcomes. The ontological assumptions that faculty held on CT were found to influence pedagogy and assessment of CT. The study found that faculty used implicit approaches to both teach and assess CT. Hence they had no way of knowing the efficacy of their approaches; leading to what I called the hopeful pedagogy.    Although many have speculated on the relationship between CT and personal epistemology, this study represents one of the first empirical works to examine these speculations in the context of how faculty as assessors of CT, made their judgments. I found that when gauging whether thinking was critical or evaluating the premises of arguments, faculty drew from their personal epistemologies to make such judgments. Beliefs that faculty held on the nature of knowledge, the relationship between the knower and the known, and the criteria they used to justify knowledge claims influenced their judgments of the outcome of the critical thinking process. It was difficult to argue from the data whether the nature of disciplinary approaches and methods cultivated and reinforced personal epistemology or whether it was the reverse.    The study found a mismatch between approaches used to assess CT in widely used standardized tests, general education programs and in national efforts for accountability versus the approaches used by faculty to assess CT. It raised questions on the efficacy and continued use of discipline-general approaches to assess CT in all students irrespective of discipline and called for a complex, multi-disciplinary approach with multiple forms of assessment. Given findings of how faculty approached CT, the value of a liberal general education lies not in the generality of CT but its multidisciplinarity. The findings of this study have implications for the assessment of CT, faculty development, and for conceptual understandings of CT.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</si>
  <si>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Critical Thinking; Humanities; Natural Sciences; General Education; Grounded Theory; College Faculty; Teacher Attitudes; Student Evaluation; Epistemology; Interviews; Focus Groups</t>
  </si>
  <si>
    <t>http://gateway.proquest.com/openurl?url_ver=Z39.88-2004&amp;rft_val_fmt=info:ofi/fmt:kev:mtx:dissertation&amp;res_dat=xri:pqm&amp;rft_dat=xri:pqdiss:3491385</t>
  </si>
  <si>
    <t>ED540334</t>
  </si>
  <si>
    <t>http://eric.ed.gov/?id=ED540334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</si>
</sst>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1" applyAlignment="1"/>
    <xf numFmtId="0" fontId="2" fillId="0" borderId="0" xfId="0" applyFont="1"/>
  </cellXfs>
  <cellStyles count="2">
    <cellStyle name="Hyperlink" xfId="1" xr:uid="{00000000-0005-0000-0000-000000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eric.ed.gov/?id=EJ1477396" TargetMode="External"/><Relationship Id="rId21" Type="http://schemas.openxmlformats.org/officeDocument/2006/relationships/hyperlink" Target="http://dx.doi.org/10.1080/03004279.2022.2029924" TargetMode="External"/><Relationship Id="rId42" Type="http://schemas.openxmlformats.org/officeDocument/2006/relationships/hyperlink" Target="http://eric.ed.gov/?id=EJ1227633" TargetMode="External"/><Relationship Id="rId63" Type="http://schemas.openxmlformats.org/officeDocument/2006/relationships/hyperlink" Target="http://dx.doi.org/10.1177/07356331211035182" TargetMode="External"/><Relationship Id="rId84" Type="http://schemas.openxmlformats.org/officeDocument/2006/relationships/hyperlink" Target="http://eric.ed.gov/?id=EJ1201235" TargetMode="External"/><Relationship Id="rId16" Type="http://schemas.openxmlformats.org/officeDocument/2006/relationships/hyperlink" Target="http://dx.doi.org/10.1108/ITSE-09-2023-0182" TargetMode="External"/><Relationship Id="rId107" Type="http://schemas.openxmlformats.org/officeDocument/2006/relationships/hyperlink" Target="http://dx.doi.org/10.1080/10494820.2024.2328280" TargetMode="External"/><Relationship Id="rId11" Type="http://schemas.openxmlformats.org/officeDocument/2006/relationships/hyperlink" Target="http://dx.doi.org/10.1007/s10639-021-10870-z" TargetMode="External"/><Relationship Id="rId32" Type="http://schemas.openxmlformats.org/officeDocument/2006/relationships/hyperlink" Target="http://eric.ed.gov/?id=EJ1411731" TargetMode="External"/><Relationship Id="rId37" Type="http://schemas.openxmlformats.org/officeDocument/2006/relationships/hyperlink" Target="http://dx.doi.org/10.1177/07356331241226459" TargetMode="External"/><Relationship Id="rId53" Type="http://schemas.openxmlformats.org/officeDocument/2006/relationships/hyperlink" Target="http://dx.doi.org/10.1108/ITSE-11-2018-0097" TargetMode="External"/><Relationship Id="rId58" Type="http://schemas.openxmlformats.org/officeDocument/2006/relationships/hyperlink" Target="http://eric.ed.gov/?id=EJ1273847" TargetMode="External"/><Relationship Id="rId74" Type="http://schemas.openxmlformats.org/officeDocument/2006/relationships/hyperlink" Target="http://eric.ed.gov/?id=EJ1388748" TargetMode="External"/><Relationship Id="rId79" Type="http://schemas.openxmlformats.org/officeDocument/2006/relationships/hyperlink" Target="http://eric.ed.gov/?id=EJ1418812" TargetMode="External"/><Relationship Id="rId102" Type="http://schemas.openxmlformats.org/officeDocument/2006/relationships/hyperlink" Target="http://eric.ed.gov/?id=EJ1443673" TargetMode="External"/><Relationship Id="rId123" Type="http://schemas.openxmlformats.org/officeDocument/2006/relationships/hyperlink" Target="http://dx.doi.org/10.1111/jcal.70110" TargetMode="External"/><Relationship Id="rId128" Type="http://schemas.openxmlformats.org/officeDocument/2006/relationships/hyperlink" Target="http://eric.ed.gov/?id=EJ1479008" TargetMode="External"/><Relationship Id="rId5" Type="http://schemas.openxmlformats.org/officeDocument/2006/relationships/hyperlink" Target="http://dx.doi.org/10.1007/s10956-023-10045-0" TargetMode="External"/><Relationship Id="rId90" Type="http://schemas.openxmlformats.org/officeDocument/2006/relationships/hyperlink" Target="http://eric.ed.gov/?id=EJ1478311" TargetMode="External"/><Relationship Id="rId95" Type="http://schemas.openxmlformats.org/officeDocument/2006/relationships/hyperlink" Target="http://dx.doi.org/10.1111/jcal.12850" TargetMode="External"/><Relationship Id="rId22" Type="http://schemas.openxmlformats.org/officeDocument/2006/relationships/hyperlink" Target="http://eric.ed.gov/?id=EJ1393701" TargetMode="External"/><Relationship Id="rId27" Type="http://schemas.openxmlformats.org/officeDocument/2006/relationships/hyperlink" Target="http://dx.doi.org/10.1177/07356331241303067" TargetMode="External"/><Relationship Id="rId43" Type="http://schemas.openxmlformats.org/officeDocument/2006/relationships/hyperlink" Target="http://dx.doi.org/10.1177/0735633119872908" TargetMode="External"/><Relationship Id="rId48" Type="http://schemas.openxmlformats.org/officeDocument/2006/relationships/hyperlink" Target="http://eric.ed.gov/?id=EJ1240644" TargetMode="External"/><Relationship Id="rId64" Type="http://schemas.openxmlformats.org/officeDocument/2006/relationships/hyperlink" Target="http://eric.ed.gov/?id=EJ1334952" TargetMode="External"/><Relationship Id="rId69" Type="http://schemas.openxmlformats.org/officeDocument/2006/relationships/hyperlink" Target="http://dx.doi.org/10.1186/s40594-024-00525-z" TargetMode="External"/><Relationship Id="rId113" Type="http://schemas.openxmlformats.org/officeDocument/2006/relationships/hyperlink" Target="http://dx.doi.org/10.1007/s10639-022-10992-y" TargetMode="External"/><Relationship Id="rId118" Type="http://schemas.openxmlformats.org/officeDocument/2006/relationships/hyperlink" Target="http://eric.ed.gov/?id=EJ1279434" TargetMode="External"/><Relationship Id="rId134" Type="http://schemas.openxmlformats.org/officeDocument/2006/relationships/hyperlink" Target="http://eric.ed.gov/?id=ED549372" TargetMode="External"/><Relationship Id="rId80" Type="http://schemas.openxmlformats.org/officeDocument/2006/relationships/hyperlink" Target="http://dx.doi.org/10.1007/s10639-022-11518-2" TargetMode="External"/><Relationship Id="rId85" Type="http://schemas.openxmlformats.org/officeDocument/2006/relationships/hyperlink" Target="https://www.learntechlib.org/p/210970/" TargetMode="External"/><Relationship Id="rId12" Type="http://schemas.openxmlformats.org/officeDocument/2006/relationships/hyperlink" Target="http://eric.ed.gov/?id=EJ1346189" TargetMode="External"/><Relationship Id="rId17" Type="http://schemas.openxmlformats.org/officeDocument/2006/relationships/hyperlink" Target="http://eric.ed.gov/?id=EJ1457977" TargetMode="External"/><Relationship Id="rId33" Type="http://schemas.openxmlformats.org/officeDocument/2006/relationships/hyperlink" Target="http://dx.doi.org/10.1007/s10639-024-12448-x" TargetMode="External"/><Relationship Id="rId38" Type="http://schemas.openxmlformats.org/officeDocument/2006/relationships/hyperlink" Target="http://eric.ed.gov/?id=EJ1426696" TargetMode="External"/><Relationship Id="rId59" Type="http://schemas.openxmlformats.org/officeDocument/2006/relationships/hyperlink" Target="http://dx.doi.org/10.1080/10494820.2019.1573199" TargetMode="External"/><Relationship Id="rId103" Type="http://schemas.openxmlformats.org/officeDocument/2006/relationships/hyperlink" Target="http://dx.doi.org/10.1007/s10639-022-11425-6" TargetMode="External"/><Relationship Id="rId108" Type="http://schemas.openxmlformats.org/officeDocument/2006/relationships/hyperlink" Target="http://eric.ed.gov/?id=EJ1455568" TargetMode="External"/><Relationship Id="rId124" Type="http://schemas.openxmlformats.org/officeDocument/2006/relationships/hyperlink" Target="http://eric.ed.gov/?id=EJ1484241" TargetMode="External"/><Relationship Id="rId129" Type="http://schemas.openxmlformats.org/officeDocument/2006/relationships/hyperlink" Target="http://dx.doi.org/10.1007/s11251-022-09585-6" TargetMode="External"/><Relationship Id="rId54" Type="http://schemas.openxmlformats.org/officeDocument/2006/relationships/hyperlink" Target="http://eric.ed.gov/?id=EJ1229185" TargetMode="External"/><Relationship Id="rId70" Type="http://schemas.openxmlformats.org/officeDocument/2006/relationships/hyperlink" Target="http://eric.ed.gov/?id=EJ1460969" TargetMode="External"/><Relationship Id="rId75" Type="http://schemas.openxmlformats.org/officeDocument/2006/relationships/hyperlink" Target="https://doi.org/10.4018/IJMBL.2021010104" TargetMode="External"/><Relationship Id="rId91" Type="http://schemas.openxmlformats.org/officeDocument/2006/relationships/hyperlink" Target="http://dx.doi.org/10.1177/21582440241275651" TargetMode="External"/><Relationship Id="rId96" Type="http://schemas.openxmlformats.org/officeDocument/2006/relationships/hyperlink" Target="http://eric.ed.gov/?id=EJ1399783" TargetMode="External"/><Relationship Id="rId1" Type="http://schemas.openxmlformats.org/officeDocument/2006/relationships/hyperlink" Target="http://dx.doi.org/10.1177/07356331251332751" TargetMode="External"/><Relationship Id="rId6" Type="http://schemas.openxmlformats.org/officeDocument/2006/relationships/hyperlink" Target="http://eric.ed.gov/?id=EJ1381917" TargetMode="External"/><Relationship Id="rId23" Type="http://schemas.openxmlformats.org/officeDocument/2006/relationships/hyperlink" Target="http://dx.doi.org/10.1007/s41979-023-00100-1" TargetMode="External"/><Relationship Id="rId28" Type="http://schemas.openxmlformats.org/officeDocument/2006/relationships/hyperlink" Target="http://eric.ed.gov/?id=EJ1468216" TargetMode="External"/><Relationship Id="rId49" Type="http://schemas.openxmlformats.org/officeDocument/2006/relationships/hyperlink" Target="http://dx.doi.org/10.1177/07356331231210560" TargetMode="External"/><Relationship Id="rId114" Type="http://schemas.openxmlformats.org/officeDocument/2006/relationships/hyperlink" Target="http://eric.ed.gov/?id=EJ1347154" TargetMode="External"/><Relationship Id="rId119" Type="http://schemas.openxmlformats.org/officeDocument/2006/relationships/hyperlink" Target="http://eric.ed.gov/?id=EJ1482805" TargetMode="External"/><Relationship Id="rId44" Type="http://schemas.openxmlformats.org/officeDocument/2006/relationships/hyperlink" Target="http://eric.ed.gov/?id=EJ1251389" TargetMode="External"/><Relationship Id="rId60" Type="http://schemas.openxmlformats.org/officeDocument/2006/relationships/hyperlink" Target="http://eric.ed.gov/?id=EJ1298809" TargetMode="External"/><Relationship Id="rId65" Type="http://schemas.openxmlformats.org/officeDocument/2006/relationships/hyperlink" Target="http://dx.doi.org/10.1007/s10639-023-12380-6" TargetMode="External"/><Relationship Id="rId81" Type="http://schemas.openxmlformats.org/officeDocument/2006/relationships/hyperlink" Target="http://eric.ed.gov/?id=EJ1383222" TargetMode="External"/><Relationship Id="rId86" Type="http://schemas.openxmlformats.org/officeDocument/2006/relationships/hyperlink" Target="http://eric.ed.gov/?id=EJ1239850" TargetMode="External"/><Relationship Id="rId130" Type="http://schemas.openxmlformats.org/officeDocument/2006/relationships/hyperlink" Target="http://eric.ed.gov/?id=EJ1342061" TargetMode="External"/><Relationship Id="rId135" Type="http://schemas.openxmlformats.org/officeDocument/2006/relationships/hyperlink" Target="http://eric.ed.gov/?id=EJ239853" TargetMode="External"/><Relationship Id="rId13" Type="http://schemas.openxmlformats.org/officeDocument/2006/relationships/hyperlink" Target="http://eric.ed.gov/?id=EJ1262432" TargetMode="External"/><Relationship Id="rId18" Type="http://schemas.openxmlformats.org/officeDocument/2006/relationships/hyperlink" Target="https://gateway.proquest.com/openurl?url_ver=Z39.88-2004&amp;rft_val_fmt=info:ofi/fmt:kev:mtx:dissertation&amp;res_dat=xri:pqm&amp;rft_dat=xri:pqdiss:31149016" TargetMode="External"/><Relationship Id="rId39" Type="http://schemas.openxmlformats.org/officeDocument/2006/relationships/hyperlink" Target="http://dx.doi.org/10.1007/s11423-023-10312-2" TargetMode="External"/><Relationship Id="rId109" Type="http://schemas.openxmlformats.org/officeDocument/2006/relationships/hyperlink" Target="http://dx.doi.org/10.1186/s40594-020-00238-z" TargetMode="External"/><Relationship Id="rId34" Type="http://schemas.openxmlformats.org/officeDocument/2006/relationships/hyperlink" Target="http://eric.ed.gov/?id=EJ1443856" TargetMode="External"/><Relationship Id="rId50" Type="http://schemas.openxmlformats.org/officeDocument/2006/relationships/hyperlink" Target="http://eric.ed.gov/?id=EJ1415121" TargetMode="External"/><Relationship Id="rId55" Type="http://schemas.openxmlformats.org/officeDocument/2006/relationships/hyperlink" Target="http://dx.doi.org/10.1177/21582440211016418" TargetMode="External"/><Relationship Id="rId76" Type="http://schemas.openxmlformats.org/officeDocument/2006/relationships/hyperlink" Target="http://eric.ed.gov/?id=EJ1291373" TargetMode="External"/><Relationship Id="rId97" Type="http://schemas.openxmlformats.org/officeDocument/2006/relationships/hyperlink" Target="http://dx.doi.org/10.1111/jcal.12348" TargetMode="External"/><Relationship Id="rId104" Type="http://schemas.openxmlformats.org/officeDocument/2006/relationships/hyperlink" Target="http://eric.ed.gov/?id=EJ1377575" TargetMode="External"/><Relationship Id="rId120" Type="http://schemas.openxmlformats.org/officeDocument/2006/relationships/hyperlink" Target="http://eric.ed.gov/?id=EJ1418125" TargetMode="External"/><Relationship Id="rId125" Type="http://schemas.openxmlformats.org/officeDocument/2006/relationships/hyperlink" Target="http://dx.doi.org/10.1080/08993408.2020.1789411" TargetMode="External"/><Relationship Id="rId7" Type="http://schemas.openxmlformats.org/officeDocument/2006/relationships/hyperlink" Target="http://dx.doi.org/10.1111/jcal.12940" TargetMode="External"/><Relationship Id="rId71" Type="http://schemas.openxmlformats.org/officeDocument/2006/relationships/hyperlink" Target="https://doi.org/10.70725/326709hmzeoo" TargetMode="External"/><Relationship Id="rId92" Type="http://schemas.openxmlformats.org/officeDocument/2006/relationships/hyperlink" Target="http://eric.ed.gov/?id=EJ1442386" TargetMode="External"/><Relationship Id="rId2" Type="http://schemas.openxmlformats.org/officeDocument/2006/relationships/hyperlink" Target="http://eric.ed.gov/?id=EJ1470992" TargetMode="External"/><Relationship Id="rId29" Type="http://schemas.openxmlformats.org/officeDocument/2006/relationships/hyperlink" Target="http://dx.doi.org/10.1007/s10639-022-11465-y" TargetMode="External"/><Relationship Id="rId24" Type="http://schemas.openxmlformats.org/officeDocument/2006/relationships/hyperlink" Target="http://eric.ed.gov/?id=EJ1420824" TargetMode="External"/><Relationship Id="rId40" Type="http://schemas.openxmlformats.org/officeDocument/2006/relationships/hyperlink" Target="http://eric.ed.gov/?id=EJ1424767" TargetMode="External"/><Relationship Id="rId45" Type="http://schemas.openxmlformats.org/officeDocument/2006/relationships/hyperlink" Target="http://dx.doi.org/10.1080/15391523.2020.1870250" TargetMode="External"/><Relationship Id="rId66" Type="http://schemas.openxmlformats.org/officeDocument/2006/relationships/hyperlink" Target="http://eric.ed.gov/?id=EJ1433710" TargetMode="External"/><Relationship Id="rId87" Type="http://schemas.openxmlformats.org/officeDocument/2006/relationships/hyperlink" Target="http://dx.doi.org/10.1007/s11423-024-10364-y" TargetMode="External"/><Relationship Id="rId110" Type="http://schemas.openxmlformats.org/officeDocument/2006/relationships/hyperlink" Target="http://eric.ed.gov/?id=EJ1262204" TargetMode="External"/><Relationship Id="rId115" Type="http://schemas.openxmlformats.org/officeDocument/2006/relationships/hyperlink" Target="http://dx.doi.org/10.1007/s41979-022-00077-3" TargetMode="External"/><Relationship Id="rId131" Type="http://schemas.openxmlformats.org/officeDocument/2006/relationships/hyperlink" Target="http://gateway.proquest.com/openurl?url_ver=Z39.88-2004&amp;rft_val_fmt=info:ofi/fmt:kev:mtx:dissertation&amp;res_dat=xri:pqm&amp;rft_dat=xri:pqdiss:10931256" TargetMode="External"/><Relationship Id="rId136" Type="http://schemas.openxmlformats.org/officeDocument/2006/relationships/hyperlink" Target="http://gateway.proquest.com/openurl?url_ver=Z39.88-2004&amp;rft_val_fmt=info:ofi/fmt:kev:mtx:dissertation&amp;res_dat=xri:pqm&amp;rft_dat=xri:pqdiss:3491385" TargetMode="External"/><Relationship Id="rId61" Type="http://schemas.openxmlformats.org/officeDocument/2006/relationships/hyperlink" Target="http://eric.ed.gov/?id=EJ1298018" TargetMode="External"/><Relationship Id="rId82" Type="http://schemas.openxmlformats.org/officeDocument/2006/relationships/hyperlink" Target="http://dx.doi.org/10.1007/s10639-024-12922-6" TargetMode="External"/><Relationship Id="rId19" Type="http://schemas.openxmlformats.org/officeDocument/2006/relationships/hyperlink" Target="http://eric.ed.gov/?id=ED660881" TargetMode="External"/><Relationship Id="rId14" Type="http://schemas.openxmlformats.org/officeDocument/2006/relationships/hyperlink" Target="http://dx.doi.org/10.1111/bjet.13175" TargetMode="External"/><Relationship Id="rId30" Type="http://schemas.openxmlformats.org/officeDocument/2006/relationships/hyperlink" Target="http://eric.ed.gov/?id=EJ1378514" TargetMode="External"/><Relationship Id="rId35" Type="http://schemas.openxmlformats.org/officeDocument/2006/relationships/hyperlink" Target="http://dx.doi.org/10.1177/07356331221114183" TargetMode="External"/><Relationship Id="rId56" Type="http://schemas.openxmlformats.org/officeDocument/2006/relationships/hyperlink" Target="http://eric.ed.gov/?id=EJ1302458" TargetMode="External"/><Relationship Id="rId77" Type="http://schemas.openxmlformats.org/officeDocument/2006/relationships/hyperlink" Target="http://eric.ed.gov/?id=EJ1348720" TargetMode="External"/><Relationship Id="rId100" Type="http://schemas.openxmlformats.org/officeDocument/2006/relationships/hyperlink" Target="http://eric.ed.gov/?id=EJ1288198" TargetMode="External"/><Relationship Id="rId105" Type="http://schemas.openxmlformats.org/officeDocument/2006/relationships/hyperlink" Target="https://doi.org/10.28945/5374" TargetMode="External"/><Relationship Id="rId126" Type="http://schemas.openxmlformats.org/officeDocument/2006/relationships/hyperlink" Target="http://eric.ed.gov/?id=EJ1288468" TargetMode="External"/><Relationship Id="rId8" Type="http://schemas.openxmlformats.org/officeDocument/2006/relationships/hyperlink" Target="http://eric.ed.gov/?id=EJ1448392" TargetMode="External"/><Relationship Id="rId51" Type="http://schemas.openxmlformats.org/officeDocument/2006/relationships/hyperlink" Target="http://dx.doi.org/10.1007/s11528-025-01052-6" TargetMode="External"/><Relationship Id="rId72" Type="http://schemas.openxmlformats.org/officeDocument/2006/relationships/hyperlink" Target="http://eric.ed.gov/?id=EJ1472101" TargetMode="External"/><Relationship Id="rId93" Type="http://schemas.openxmlformats.org/officeDocument/2006/relationships/hyperlink" Target="http://gateway.proquest.com/openurl?url_ver=Z39.88-2004&amp;rft_val_fmt=info:ofi/fmt:kev:mtx:dissertation&amp;res_dat=xri:pqm&amp;rft_dat=xri:pqdiss:28410083" TargetMode="External"/><Relationship Id="rId98" Type="http://schemas.openxmlformats.org/officeDocument/2006/relationships/hyperlink" Target="http://eric.ed.gov/?id=EJ1214451" TargetMode="External"/><Relationship Id="rId121" Type="http://schemas.openxmlformats.org/officeDocument/2006/relationships/hyperlink" Target="http://gateway.proquest.com/openurl?url_ver=Z39.88-2004&amp;rft_val_fmt=info:ofi/fmt:kev:mtx:dissertation&amp;res_dat=xri:pqm&amp;rft_dat=xri:pqdiss:28276163" TargetMode="External"/><Relationship Id="rId3" Type="http://schemas.openxmlformats.org/officeDocument/2006/relationships/hyperlink" Target="http://dx.doi.org/10.1080/00368121.2024.2378860" TargetMode="External"/><Relationship Id="rId25" Type="http://schemas.openxmlformats.org/officeDocument/2006/relationships/hyperlink" Target="http://dx.doi.org/10.1007/s10639-024-12872-z" TargetMode="External"/><Relationship Id="rId46" Type="http://schemas.openxmlformats.org/officeDocument/2006/relationships/hyperlink" Target="http://eric.ed.gov/?id=EJ1365559" TargetMode="External"/><Relationship Id="rId67" Type="http://schemas.openxmlformats.org/officeDocument/2006/relationships/hyperlink" Target="http://dx.doi.org/10.1007/s10643-024-01728-3" TargetMode="External"/><Relationship Id="rId116" Type="http://schemas.openxmlformats.org/officeDocument/2006/relationships/hyperlink" Target="http://eric.ed.gov/?id=EJ1420684" TargetMode="External"/><Relationship Id="rId137" Type="http://schemas.openxmlformats.org/officeDocument/2006/relationships/hyperlink" Target="http://eric.ed.gov/?id=ED540334" TargetMode="External"/><Relationship Id="rId20" Type="http://schemas.openxmlformats.org/officeDocument/2006/relationships/hyperlink" Target="http://eric.ed.gov/?id=EJ1347755" TargetMode="External"/><Relationship Id="rId41" Type="http://schemas.openxmlformats.org/officeDocument/2006/relationships/hyperlink" Target="https://www.learntechlib.org/primary/p/209807/" TargetMode="External"/><Relationship Id="rId62" Type="http://schemas.openxmlformats.org/officeDocument/2006/relationships/hyperlink" Target="http://eric.ed.gov/?id=EJ1481772" TargetMode="External"/><Relationship Id="rId83" Type="http://schemas.openxmlformats.org/officeDocument/2006/relationships/hyperlink" Target="http://eric.ed.gov/?id=EJ1461476" TargetMode="External"/><Relationship Id="rId88" Type="http://schemas.openxmlformats.org/officeDocument/2006/relationships/hyperlink" Target="http://eric.ed.gov/?id=EJ1439618" TargetMode="External"/><Relationship Id="rId111" Type="http://schemas.openxmlformats.org/officeDocument/2006/relationships/hyperlink" Target="http://dx.doi.org/10.1080/10494820.2019.1674883" TargetMode="External"/><Relationship Id="rId132" Type="http://schemas.openxmlformats.org/officeDocument/2006/relationships/hyperlink" Target="http://eric.ed.gov/?id=ED591259" TargetMode="External"/><Relationship Id="rId15" Type="http://schemas.openxmlformats.org/officeDocument/2006/relationships/hyperlink" Target="http://eric.ed.gov/?id=EJ1331864" TargetMode="External"/><Relationship Id="rId36" Type="http://schemas.openxmlformats.org/officeDocument/2006/relationships/hyperlink" Target="http://eric.ed.gov/?id=EJ1375568" TargetMode="External"/><Relationship Id="rId57" Type="http://schemas.openxmlformats.org/officeDocument/2006/relationships/hyperlink" Target="http://dx.doi.org/10.1007/s40751-020-00060-w" TargetMode="External"/><Relationship Id="rId106" Type="http://schemas.openxmlformats.org/officeDocument/2006/relationships/hyperlink" Target="http://eric.ed.gov/?id=EJ1442121" TargetMode="External"/><Relationship Id="rId127" Type="http://schemas.openxmlformats.org/officeDocument/2006/relationships/hyperlink" Target="http://dx.doi.org/10.1007/s10639-025-13386-y" TargetMode="External"/><Relationship Id="rId10" Type="http://schemas.openxmlformats.org/officeDocument/2006/relationships/hyperlink" Target="http://eric.ed.gov/?id=EJ1389722" TargetMode="External"/><Relationship Id="rId31" Type="http://schemas.openxmlformats.org/officeDocument/2006/relationships/hyperlink" Target="http://dx.doi.org/10.1007/s10639-023-11880-9" TargetMode="External"/><Relationship Id="rId52" Type="http://schemas.openxmlformats.org/officeDocument/2006/relationships/hyperlink" Target="http://eric.ed.gov/?id=EJ1473304" TargetMode="External"/><Relationship Id="rId73" Type="http://schemas.openxmlformats.org/officeDocument/2006/relationships/hyperlink" Target="http://dx.doi.org/10.1080/08993408.2022.2154992" TargetMode="External"/><Relationship Id="rId78" Type="http://schemas.openxmlformats.org/officeDocument/2006/relationships/hyperlink" Target="http://dx.doi.org/10.1007/s10639-023-12022-x" TargetMode="External"/><Relationship Id="rId94" Type="http://schemas.openxmlformats.org/officeDocument/2006/relationships/hyperlink" Target="http://eric.ed.gov/?id=ED655889" TargetMode="External"/><Relationship Id="rId99" Type="http://schemas.openxmlformats.org/officeDocument/2006/relationships/hyperlink" Target="https://citejournal.org/volume-21/issue-1-21/science/a-professional-development-model-to-integrate-computational-thinking-into-middle-school-science-through-codesigned-storylines/" TargetMode="External"/><Relationship Id="rId101" Type="http://schemas.openxmlformats.org/officeDocument/2006/relationships/hyperlink" Target="https://doi.org/10.1564/tme_v31.1.02" TargetMode="External"/><Relationship Id="rId122" Type="http://schemas.openxmlformats.org/officeDocument/2006/relationships/hyperlink" Target="http://eric.ed.gov/?id=ED655086" TargetMode="External"/><Relationship Id="rId4" Type="http://schemas.openxmlformats.org/officeDocument/2006/relationships/hyperlink" Target="http://eric.ed.gov/?id=EJ1456401" TargetMode="External"/><Relationship Id="rId9" Type="http://schemas.openxmlformats.org/officeDocument/2006/relationships/hyperlink" Target="https://www.j-ets.net/collection/published-issues/26_2" TargetMode="External"/><Relationship Id="rId26" Type="http://schemas.openxmlformats.org/officeDocument/2006/relationships/hyperlink" Target="http://eric.ed.gov/?id=EJ1460479" TargetMode="External"/><Relationship Id="rId47" Type="http://schemas.openxmlformats.org/officeDocument/2006/relationships/hyperlink" Target="http://dx.doi.org/10.1007/s11528-019-00423-0" TargetMode="External"/><Relationship Id="rId68" Type="http://schemas.openxmlformats.org/officeDocument/2006/relationships/hyperlink" Target="http://eric.ed.gov/?id=EJ1479621" TargetMode="External"/><Relationship Id="rId89" Type="http://schemas.openxmlformats.org/officeDocument/2006/relationships/hyperlink" Target="http://dx.doi.org/10.1111/jcal.70079" TargetMode="External"/><Relationship Id="rId112" Type="http://schemas.openxmlformats.org/officeDocument/2006/relationships/hyperlink" Target="http://eric.ed.gov/?id=EJ1252946" TargetMode="External"/><Relationship Id="rId133" Type="http://schemas.openxmlformats.org/officeDocument/2006/relationships/hyperlink" Target="http://gateway.proquest.com/openurl?url_ver=Z39.88-2004&amp;rft_val_fmt=info:ofi/fmt:kev:mtx:dissertation&amp;res_dat=xri:pqm&amp;rft_dat=xri:pqdiss:3506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Y31"/>
  <sheetViews>
    <sheetView workbookViewId="0"/>
  </sheetViews>
  <sheetFormatPr defaultRowHeight="14.5" x14ac:dyDescent="0.35"/>
  <cols>
    <col min="1" max="1" width="8.7265625" customWidth="1"/>
  </cols>
  <sheetData>
    <row r="1" spans="1:25" x14ac:dyDescent="0.35">
      <c r="A1" s="1" t="s">
        <v>55</v>
      </c>
      <c r="B1" s="1" t="s">
        <v>56</v>
      </c>
      <c r="C1" s="1" t="s">
        <v>111</v>
      </c>
      <c r="D1" s="1" t="s">
        <v>58</v>
      </c>
      <c r="E1" s="1" t="s">
        <v>57</v>
      </c>
      <c r="F1" s="1" t="s">
        <v>112</v>
      </c>
      <c r="G1" s="1" t="s">
        <v>59</v>
      </c>
      <c r="H1" s="1" t="s">
        <v>113</v>
      </c>
      <c r="I1" s="1" t="s">
        <v>60</v>
      </c>
      <c r="J1" s="1" t="s">
        <v>61</v>
      </c>
      <c r="K1" s="1" t="s">
        <v>62</v>
      </c>
      <c r="L1" s="1" t="s">
        <v>114</v>
      </c>
      <c r="M1" s="1" t="s">
        <v>115</v>
      </c>
      <c r="N1" s="1" t="s">
        <v>116</v>
      </c>
      <c r="O1" s="1" t="s">
        <v>117</v>
      </c>
      <c r="P1" s="1" t="s">
        <v>118</v>
      </c>
      <c r="Q1" s="1" t="s">
        <v>119</v>
      </c>
      <c r="R1" s="1" t="s">
        <v>120</v>
      </c>
      <c r="S1" s="1" t="s">
        <v>121</v>
      </c>
      <c r="T1" s="1" t="s">
        <v>122</v>
      </c>
      <c r="U1" s="1" t="s">
        <v>123</v>
      </c>
      <c r="V1" s="1" t="s">
        <v>124</v>
      </c>
      <c r="W1" s="1" t="s">
        <v>125</v>
      </c>
      <c r="X1" s="1" t="s">
        <v>126</v>
      </c>
      <c r="Y1" s="2" t="s">
        <v>127</v>
      </c>
    </row>
    <row r="2" spans="1:25" x14ac:dyDescent="0.35">
      <c r="A2" t="s">
        <v>128</v>
      </c>
      <c r="B2" t="s">
        <v>129</v>
      </c>
      <c r="D2" t="s">
        <v>130</v>
      </c>
      <c r="I2" t="s">
        <v>131</v>
      </c>
      <c r="L2" t="s">
        <v>128</v>
      </c>
      <c r="M2" t="s">
        <v>129</v>
      </c>
      <c r="N2" t="s">
        <v>132</v>
      </c>
      <c r="O2" t="s">
        <v>69</v>
      </c>
      <c r="P2" t="s">
        <v>130</v>
      </c>
      <c r="Q2" t="s">
        <v>31</v>
      </c>
      <c r="R2" t="s">
        <v>20</v>
      </c>
      <c r="S2" t="s">
        <v>133</v>
      </c>
      <c r="T2" t="s">
        <v>11</v>
      </c>
      <c r="U2" t="s">
        <v>131</v>
      </c>
      <c r="V2" t="s">
        <v>67</v>
      </c>
      <c r="W2" t="s">
        <v>134</v>
      </c>
      <c r="Y2" t="e">
        <f t="array" ref="Y2:Y28">VLOOKUP(A2:A28,ERIC_intervention!B2:B75,1,FALSE)</f>
        <v>#N/A</v>
      </c>
    </row>
    <row r="3" spans="1:25" x14ac:dyDescent="0.35">
      <c r="A3" t="s">
        <v>135</v>
      </c>
      <c r="B3" t="s">
        <v>136</v>
      </c>
      <c r="D3" t="s">
        <v>137</v>
      </c>
      <c r="I3" t="s">
        <v>138</v>
      </c>
      <c r="L3" t="s">
        <v>135</v>
      </c>
      <c r="M3" t="s">
        <v>136</v>
      </c>
      <c r="N3" t="s">
        <v>139</v>
      </c>
      <c r="O3" t="s">
        <v>73</v>
      </c>
      <c r="P3" t="s">
        <v>137</v>
      </c>
      <c r="Q3" t="s">
        <v>49</v>
      </c>
      <c r="R3" t="s">
        <v>7</v>
      </c>
      <c r="S3" t="s">
        <v>140</v>
      </c>
      <c r="T3" t="s">
        <v>0</v>
      </c>
      <c r="U3" t="s">
        <v>138</v>
      </c>
      <c r="V3" t="s">
        <v>67</v>
      </c>
      <c r="W3" t="s">
        <v>141</v>
      </c>
      <c r="Y3" t="e">
        <v>#N/A</v>
      </c>
    </row>
    <row r="4" spans="1:25" x14ac:dyDescent="0.35">
      <c r="A4" t="s">
        <v>74</v>
      </c>
      <c r="B4" t="s">
        <v>142</v>
      </c>
      <c r="D4" t="s">
        <v>143</v>
      </c>
      <c r="I4" t="s">
        <v>144</v>
      </c>
      <c r="L4" t="s">
        <v>74</v>
      </c>
      <c r="M4" t="s">
        <v>142</v>
      </c>
      <c r="N4" t="s">
        <v>145</v>
      </c>
      <c r="O4" t="s">
        <v>146</v>
      </c>
      <c r="P4" t="s">
        <v>143</v>
      </c>
      <c r="Q4" t="s">
        <v>38</v>
      </c>
      <c r="R4" t="s">
        <v>7</v>
      </c>
      <c r="S4" t="s">
        <v>147</v>
      </c>
      <c r="T4" t="s">
        <v>148</v>
      </c>
      <c r="U4" t="s">
        <v>144</v>
      </c>
      <c r="V4" t="s">
        <v>67</v>
      </c>
      <c r="W4" t="s">
        <v>134</v>
      </c>
      <c r="X4" t="s">
        <v>149</v>
      </c>
      <c r="Y4" t="e">
        <v>#N/A</v>
      </c>
    </row>
    <row r="5" spans="1:25" hidden="1" x14ac:dyDescent="0.35">
      <c r="A5" t="s">
        <v>150</v>
      </c>
      <c r="B5" t="s">
        <v>151</v>
      </c>
      <c r="D5" t="s">
        <v>152</v>
      </c>
      <c r="I5" t="s">
        <v>153</v>
      </c>
      <c r="L5" t="s">
        <v>150</v>
      </c>
      <c r="M5" t="s">
        <v>151</v>
      </c>
      <c r="N5" t="s">
        <v>154</v>
      </c>
      <c r="O5" t="s">
        <v>69</v>
      </c>
      <c r="P5" t="s">
        <v>152</v>
      </c>
      <c r="Q5" t="s">
        <v>31</v>
      </c>
      <c r="R5" t="s">
        <v>7</v>
      </c>
      <c r="S5" t="s">
        <v>155</v>
      </c>
      <c r="T5" t="s">
        <v>11</v>
      </c>
      <c r="U5" t="s">
        <v>153</v>
      </c>
      <c r="V5" t="s">
        <v>67</v>
      </c>
      <c r="W5" t="s">
        <v>134</v>
      </c>
      <c r="Y5" t="str">
        <v>Towards an Assessment Model of College Students' Computational Thinking with Text-Based Programming</v>
      </c>
    </row>
    <row r="6" spans="1:25" x14ac:dyDescent="0.35">
      <c r="A6" t="s">
        <v>156</v>
      </c>
      <c r="B6" t="s">
        <v>157</v>
      </c>
      <c r="D6" t="s">
        <v>158</v>
      </c>
      <c r="I6" t="s">
        <v>159</v>
      </c>
      <c r="L6" t="s">
        <v>156</v>
      </c>
      <c r="M6" t="s">
        <v>157</v>
      </c>
      <c r="N6" t="s">
        <v>160</v>
      </c>
      <c r="O6" t="s">
        <v>79</v>
      </c>
      <c r="P6" t="s">
        <v>158</v>
      </c>
      <c r="Q6" t="s">
        <v>18</v>
      </c>
      <c r="R6" t="s">
        <v>30</v>
      </c>
      <c r="S6" t="s">
        <v>161</v>
      </c>
      <c r="T6" t="s">
        <v>17</v>
      </c>
      <c r="U6" t="s">
        <v>159</v>
      </c>
      <c r="V6" t="s">
        <v>67</v>
      </c>
      <c r="W6" t="s">
        <v>134</v>
      </c>
      <c r="Y6" t="e">
        <v>#N/A</v>
      </c>
    </row>
    <row r="7" spans="1:25" x14ac:dyDescent="0.35">
      <c r="A7" t="s">
        <v>162</v>
      </c>
      <c r="B7" t="s">
        <v>163</v>
      </c>
      <c r="D7" t="s">
        <v>164</v>
      </c>
      <c r="I7" t="s">
        <v>165</v>
      </c>
      <c r="L7" t="s">
        <v>162</v>
      </c>
      <c r="M7" t="s">
        <v>163</v>
      </c>
      <c r="N7" t="s">
        <v>166</v>
      </c>
      <c r="O7" t="s">
        <v>75</v>
      </c>
      <c r="P7" t="s">
        <v>164</v>
      </c>
      <c r="Q7" t="s">
        <v>49</v>
      </c>
      <c r="R7" t="s">
        <v>7</v>
      </c>
      <c r="S7" t="s">
        <v>167</v>
      </c>
      <c r="T7" t="s">
        <v>168</v>
      </c>
      <c r="U7" t="s">
        <v>165</v>
      </c>
      <c r="V7" t="s">
        <v>67</v>
      </c>
      <c r="W7" t="s">
        <v>141</v>
      </c>
      <c r="Y7" t="e">
        <v>#N/A</v>
      </c>
    </row>
    <row r="8" spans="1:25" x14ac:dyDescent="0.35">
      <c r="A8" t="s">
        <v>169</v>
      </c>
      <c r="B8" t="s">
        <v>170</v>
      </c>
      <c r="D8" t="s">
        <v>171</v>
      </c>
      <c r="I8" t="s">
        <v>172</v>
      </c>
      <c r="L8" t="s">
        <v>169</v>
      </c>
      <c r="M8" t="s">
        <v>170</v>
      </c>
      <c r="N8" t="s">
        <v>173</v>
      </c>
      <c r="O8" t="s">
        <v>174</v>
      </c>
      <c r="P8" t="s">
        <v>171</v>
      </c>
      <c r="Q8" t="s">
        <v>4</v>
      </c>
      <c r="R8" t="s">
        <v>33</v>
      </c>
      <c r="T8" t="s">
        <v>0</v>
      </c>
      <c r="U8" t="s">
        <v>172</v>
      </c>
      <c r="V8" t="s">
        <v>67</v>
      </c>
      <c r="W8" t="s">
        <v>134</v>
      </c>
      <c r="Y8" t="e">
        <v>#N/A</v>
      </c>
    </row>
    <row r="9" spans="1:25" x14ac:dyDescent="0.35">
      <c r="A9" t="s">
        <v>175</v>
      </c>
      <c r="B9" t="s">
        <v>176</v>
      </c>
      <c r="D9" t="s">
        <v>177</v>
      </c>
      <c r="I9" t="s">
        <v>178</v>
      </c>
      <c r="L9" t="s">
        <v>175</v>
      </c>
      <c r="M9" t="s">
        <v>176</v>
      </c>
      <c r="N9" t="s">
        <v>73</v>
      </c>
      <c r="O9" t="s">
        <v>69</v>
      </c>
      <c r="P9" t="s">
        <v>177</v>
      </c>
      <c r="Q9" t="s">
        <v>31</v>
      </c>
      <c r="R9" t="s">
        <v>27</v>
      </c>
      <c r="S9" t="s">
        <v>179</v>
      </c>
      <c r="T9" t="s">
        <v>11</v>
      </c>
      <c r="U9" t="s">
        <v>178</v>
      </c>
      <c r="V9" t="s">
        <v>67</v>
      </c>
      <c r="W9" t="s">
        <v>180</v>
      </c>
      <c r="Y9" t="e">
        <v>#N/A</v>
      </c>
    </row>
    <row r="10" spans="1:25" x14ac:dyDescent="0.35">
      <c r="A10" t="s">
        <v>181</v>
      </c>
      <c r="B10" t="s">
        <v>182</v>
      </c>
      <c r="D10" t="s">
        <v>183</v>
      </c>
      <c r="I10" t="s">
        <v>184</v>
      </c>
      <c r="L10" t="s">
        <v>181</v>
      </c>
      <c r="M10" t="s">
        <v>182</v>
      </c>
      <c r="N10" t="s">
        <v>185</v>
      </c>
      <c r="O10" t="s">
        <v>186</v>
      </c>
      <c r="P10" t="s">
        <v>183</v>
      </c>
      <c r="Q10" t="s">
        <v>16</v>
      </c>
      <c r="R10" t="s">
        <v>7</v>
      </c>
      <c r="S10" t="s">
        <v>187</v>
      </c>
      <c r="T10" t="s">
        <v>0</v>
      </c>
      <c r="U10" t="s">
        <v>184</v>
      </c>
      <c r="V10" t="s">
        <v>67</v>
      </c>
      <c r="W10" t="s">
        <v>134</v>
      </c>
      <c r="Y10" t="e">
        <v>#N/A</v>
      </c>
    </row>
    <row r="11" spans="1:25" hidden="1" x14ac:dyDescent="0.35">
      <c r="A11" t="s">
        <v>188</v>
      </c>
      <c r="B11" t="s">
        <v>189</v>
      </c>
      <c r="D11" t="s">
        <v>190</v>
      </c>
      <c r="I11" t="s">
        <v>191</v>
      </c>
      <c r="L11" t="s">
        <v>188</v>
      </c>
      <c r="M11" t="s">
        <v>189</v>
      </c>
      <c r="N11" t="s">
        <v>73</v>
      </c>
      <c r="O11" t="s">
        <v>69</v>
      </c>
      <c r="P11" t="s">
        <v>190</v>
      </c>
      <c r="Q11" t="s">
        <v>37</v>
      </c>
      <c r="R11" t="s">
        <v>7</v>
      </c>
      <c r="S11" t="s">
        <v>192</v>
      </c>
      <c r="T11" t="s">
        <v>0</v>
      </c>
      <c r="U11" t="s">
        <v>191</v>
      </c>
      <c r="V11" t="s">
        <v>67</v>
      </c>
      <c r="W11" t="s">
        <v>134</v>
      </c>
      <c r="Y11" t="str">
        <v>Amplifying Children's Computational Problem-Solving Skills: A Hybrid-Based Design for Programming Education</v>
      </c>
    </row>
    <row r="12" spans="1:25" x14ac:dyDescent="0.35">
      <c r="A12" t="s">
        <v>193</v>
      </c>
      <c r="B12" t="s">
        <v>194</v>
      </c>
      <c r="D12" t="s">
        <v>195</v>
      </c>
      <c r="I12" t="s">
        <v>196</v>
      </c>
      <c r="L12" t="s">
        <v>193</v>
      </c>
      <c r="M12" t="s">
        <v>194</v>
      </c>
      <c r="N12" t="s">
        <v>197</v>
      </c>
      <c r="O12" t="s">
        <v>82</v>
      </c>
      <c r="P12" t="s">
        <v>195</v>
      </c>
      <c r="Q12" t="s">
        <v>44</v>
      </c>
      <c r="R12" t="s">
        <v>12</v>
      </c>
      <c r="S12" t="s">
        <v>198</v>
      </c>
      <c r="T12" t="s">
        <v>199</v>
      </c>
      <c r="U12" t="s">
        <v>196</v>
      </c>
      <c r="V12" t="s">
        <v>67</v>
      </c>
      <c r="W12" t="s">
        <v>134</v>
      </c>
      <c r="Y12" t="e">
        <v>#N/A</v>
      </c>
    </row>
    <row r="13" spans="1:25" x14ac:dyDescent="0.35">
      <c r="A13" t="s">
        <v>200</v>
      </c>
      <c r="B13" t="s">
        <v>201</v>
      </c>
      <c r="D13" t="s">
        <v>202</v>
      </c>
      <c r="I13" t="s">
        <v>203</v>
      </c>
      <c r="L13" t="s">
        <v>200</v>
      </c>
      <c r="M13" t="s">
        <v>201</v>
      </c>
      <c r="N13" t="s">
        <v>173</v>
      </c>
      <c r="O13" t="s">
        <v>204</v>
      </c>
      <c r="P13" t="s">
        <v>202</v>
      </c>
      <c r="Q13" t="s">
        <v>34</v>
      </c>
      <c r="R13" t="s">
        <v>2</v>
      </c>
      <c r="S13" t="s">
        <v>205</v>
      </c>
      <c r="T13" t="s">
        <v>6</v>
      </c>
      <c r="U13" t="s">
        <v>203</v>
      </c>
      <c r="V13" t="s">
        <v>67</v>
      </c>
      <c r="W13" t="s">
        <v>180</v>
      </c>
      <c r="Y13" t="e">
        <v>#N/A</v>
      </c>
    </row>
    <row r="14" spans="1:25" x14ac:dyDescent="0.35">
      <c r="A14" t="s">
        <v>206</v>
      </c>
      <c r="B14" t="s">
        <v>207</v>
      </c>
      <c r="D14" t="s">
        <v>208</v>
      </c>
      <c r="I14" t="s">
        <v>209</v>
      </c>
      <c r="L14" t="s">
        <v>206</v>
      </c>
      <c r="M14" t="s">
        <v>207</v>
      </c>
      <c r="N14" t="s">
        <v>210</v>
      </c>
      <c r="O14" t="s">
        <v>108</v>
      </c>
      <c r="P14" t="s">
        <v>208</v>
      </c>
      <c r="Q14" t="s">
        <v>47</v>
      </c>
      <c r="R14" t="s">
        <v>28</v>
      </c>
      <c r="S14" t="s">
        <v>211</v>
      </c>
      <c r="T14" t="s">
        <v>6</v>
      </c>
      <c r="U14" t="s">
        <v>209</v>
      </c>
      <c r="V14" t="s">
        <v>67</v>
      </c>
      <c r="W14" t="s">
        <v>212</v>
      </c>
      <c r="Y14" t="e">
        <v>#N/A</v>
      </c>
    </row>
    <row r="15" spans="1:25" x14ac:dyDescent="0.35">
      <c r="A15" t="s">
        <v>213</v>
      </c>
      <c r="B15" t="s">
        <v>214</v>
      </c>
      <c r="D15" t="s">
        <v>215</v>
      </c>
      <c r="I15" t="s">
        <v>216</v>
      </c>
      <c r="L15" t="s">
        <v>213</v>
      </c>
      <c r="M15" t="s">
        <v>214</v>
      </c>
      <c r="N15" t="s">
        <v>217</v>
      </c>
      <c r="O15" t="s">
        <v>69</v>
      </c>
      <c r="P15" t="s">
        <v>215</v>
      </c>
      <c r="Q15" t="s">
        <v>31</v>
      </c>
      <c r="R15" t="s">
        <v>20</v>
      </c>
      <c r="S15" t="s">
        <v>218</v>
      </c>
      <c r="T15" t="s">
        <v>11</v>
      </c>
      <c r="U15" t="s">
        <v>216</v>
      </c>
      <c r="V15" t="s">
        <v>67</v>
      </c>
      <c r="W15" t="s">
        <v>219</v>
      </c>
      <c r="Y15" t="e">
        <v>#N/A</v>
      </c>
    </row>
    <row r="16" spans="1:25" x14ac:dyDescent="0.35">
      <c r="A16" t="s">
        <v>220</v>
      </c>
      <c r="B16" t="s">
        <v>221</v>
      </c>
      <c r="D16" t="s">
        <v>222</v>
      </c>
      <c r="I16" t="s">
        <v>223</v>
      </c>
      <c r="L16" t="s">
        <v>220</v>
      </c>
      <c r="M16" t="s">
        <v>221</v>
      </c>
      <c r="N16" t="s">
        <v>224</v>
      </c>
      <c r="O16" t="s">
        <v>81</v>
      </c>
      <c r="P16" t="s">
        <v>222</v>
      </c>
      <c r="Q16" t="s">
        <v>29</v>
      </c>
      <c r="R16" t="s">
        <v>30</v>
      </c>
      <c r="S16" t="s">
        <v>225</v>
      </c>
      <c r="T16" t="s">
        <v>0</v>
      </c>
      <c r="U16" t="s">
        <v>223</v>
      </c>
      <c r="V16" t="s">
        <v>67</v>
      </c>
      <c r="W16" t="s">
        <v>134</v>
      </c>
      <c r="Y16" t="e">
        <v>#N/A</v>
      </c>
    </row>
    <row r="17" spans="1:25" x14ac:dyDescent="0.35">
      <c r="A17" t="s">
        <v>226</v>
      </c>
      <c r="B17" t="s">
        <v>227</v>
      </c>
      <c r="D17" t="s">
        <v>228</v>
      </c>
      <c r="I17" t="s">
        <v>229</v>
      </c>
      <c r="L17" t="s">
        <v>226</v>
      </c>
      <c r="M17" t="s">
        <v>227</v>
      </c>
      <c r="N17" t="s">
        <v>230</v>
      </c>
      <c r="O17" t="s">
        <v>70</v>
      </c>
      <c r="P17" t="s">
        <v>228</v>
      </c>
      <c r="Q17" t="s">
        <v>15</v>
      </c>
      <c r="R17" t="s">
        <v>30</v>
      </c>
      <c r="S17" t="s">
        <v>231</v>
      </c>
      <c r="T17" t="s">
        <v>13</v>
      </c>
      <c r="U17" t="s">
        <v>229</v>
      </c>
      <c r="V17" t="s">
        <v>67</v>
      </c>
      <c r="W17" t="s">
        <v>180</v>
      </c>
      <c r="Y17" t="e">
        <v>#N/A</v>
      </c>
    </row>
    <row r="18" spans="1:25" x14ac:dyDescent="0.35">
      <c r="A18" t="s">
        <v>83</v>
      </c>
      <c r="B18" t="s">
        <v>232</v>
      </c>
      <c r="D18" t="s">
        <v>233</v>
      </c>
      <c r="I18" t="s">
        <v>234</v>
      </c>
      <c r="L18" t="s">
        <v>83</v>
      </c>
      <c r="M18" t="s">
        <v>232</v>
      </c>
      <c r="N18" t="s">
        <v>235</v>
      </c>
      <c r="O18" t="s">
        <v>82</v>
      </c>
      <c r="P18" t="s">
        <v>233</v>
      </c>
      <c r="Q18" t="s">
        <v>84</v>
      </c>
      <c r="R18" t="s">
        <v>28</v>
      </c>
      <c r="S18" t="s">
        <v>236</v>
      </c>
      <c r="T18" t="s">
        <v>237</v>
      </c>
      <c r="U18" t="s">
        <v>234</v>
      </c>
      <c r="V18" t="s">
        <v>67</v>
      </c>
      <c r="W18" t="s">
        <v>134</v>
      </c>
      <c r="Y18" t="e">
        <v>#N/A</v>
      </c>
    </row>
    <row r="19" spans="1:25" x14ac:dyDescent="0.35">
      <c r="A19" t="s">
        <v>238</v>
      </c>
      <c r="B19" t="s">
        <v>239</v>
      </c>
      <c r="D19" t="s">
        <v>240</v>
      </c>
      <c r="I19" t="s">
        <v>241</v>
      </c>
      <c r="L19" t="s">
        <v>238</v>
      </c>
      <c r="M19" t="s">
        <v>239</v>
      </c>
      <c r="N19" t="s">
        <v>242</v>
      </c>
      <c r="O19" t="s">
        <v>82</v>
      </c>
      <c r="P19" t="s">
        <v>240</v>
      </c>
      <c r="Q19" t="s">
        <v>87</v>
      </c>
      <c r="R19" t="s">
        <v>28</v>
      </c>
      <c r="S19" t="s">
        <v>243</v>
      </c>
      <c r="T19" t="s">
        <v>244</v>
      </c>
      <c r="U19" t="s">
        <v>241</v>
      </c>
      <c r="V19" t="s">
        <v>67</v>
      </c>
      <c r="W19" t="s">
        <v>134</v>
      </c>
      <c r="X19" t="s">
        <v>245</v>
      </c>
      <c r="Y19" t="e">
        <v>#N/A</v>
      </c>
    </row>
    <row r="20" spans="1:25" hidden="1" x14ac:dyDescent="0.35">
      <c r="A20" t="s">
        <v>246</v>
      </c>
      <c r="B20" t="s">
        <v>247</v>
      </c>
      <c r="D20" t="s">
        <v>248</v>
      </c>
      <c r="I20" t="s">
        <v>249</v>
      </c>
      <c r="L20" t="s">
        <v>246</v>
      </c>
      <c r="M20" t="s">
        <v>247</v>
      </c>
      <c r="N20" t="s">
        <v>250</v>
      </c>
      <c r="O20" t="s">
        <v>251</v>
      </c>
      <c r="P20" t="s">
        <v>248</v>
      </c>
      <c r="Q20" t="s">
        <v>4</v>
      </c>
      <c r="R20" t="s">
        <v>30</v>
      </c>
      <c r="S20" t="s">
        <v>252</v>
      </c>
      <c r="T20" t="s">
        <v>253</v>
      </c>
      <c r="U20" t="s">
        <v>249</v>
      </c>
      <c r="V20" t="s">
        <v>67</v>
      </c>
      <c r="W20" t="s">
        <v>212</v>
      </c>
      <c r="Y20" t="str">
        <v>Instrumental Genesis Stages of Programming for Mathematical Work</v>
      </c>
    </row>
    <row r="21" spans="1:25" x14ac:dyDescent="0.35">
      <c r="A21" t="s">
        <v>254</v>
      </c>
      <c r="B21" t="s">
        <v>80</v>
      </c>
      <c r="D21" t="s">
        <v>255</v>
      </c>
      <c r="I21" t="s">
        <v>256</v>
      </c>
      <c r="L21" t="s">
        <v>254</v>
      </c>
      <c r="M21" t="s">
        <v>80</v>
      </c>
      <c r="N21" t="s">
        <v>224</v>
      </c>
      <c r="O21" t="s">
        <v>81</v>
      </c>
      <c r="P21" t="s">
        <v>255</v>
      </c>
      <c r="Q21" t="s">
        <v>37</v>
      </c>
      <c r="R21" t="s">
        <v>33</v>
      </c>
      <c r="S21" t="s">
        <v>257</v>
      </c>
      <c r="T21" t="s">
        <v>258</v>
      </c>
      <c r="U21" t="s">
        <v>256</v>
      </c>
      <c r="V21" t="s">
        <v>67</v>
      </c>
      <c r="W21" t="s">
        <v>134</v>
      </c>
      <c r="Y21" t="e">
        <v>#N/A</v>
      </c>
    </row>
    <row r="22" spans="1:25" hidden="1" x14ac:dyDescent="0.35">
      <c r="A22" t="s">
        <v>259</v>
      </c>
      <c r="B22" t="s">
        <v>260</v>
      </c>
      <c r="D22" t="s">
        <v>261</v>
      </c>
      <c r="I22" t="s">
        <v>262</v>
      </c>
      <c r="L22" t="s">
        <v>259</v>
      </c>
      <c r="M22" t="s">
        <v>260</v>
      </c>
      <c r="N22" t="s">
        <v>263</v>
      </c>
      <c r="O22" t="s">
        <v>264</v>
      </c>
      <c r="P22" t="s">
        <v>261</v>
      </c>
      <c r="Q22" t="s">
        <v>29</v>
      </c>
      <c r="R22" t="s">
        <v>2</v>
      </c>
      <c r="S22" t="s">
        <v>265</v>
      </c>
      <c r="T22" t="s">
        <v>11</v>
      </c>
      <c r="U22" t="s">
        <v>262</v>
      </c>
      <c r="V22" t="s">
        <v>67</v>
      </c>
      <c r="W22" t="s">
        <v>134</v>
      </c>
      <c r="X22" t="s">
        <v>266</v>
      </c>
      <c r="Y22" t="str">
        <v>Accessible Computational Thinking in Elementary Science: An Aligning Framework for Teacher Learning and Implementation</v>
      </c>
    </row>
    <row r="23" spans="1:25" x14ac:dyDescent="0.35">
      <c r="A23" t="s">
        <v>42</v>
      </c>
      <c r="B23" t="s">
        <v>267</v>
      </c>
      <c r="D23" t="s">
        <v>268</v>
      </c>
      <c r="I23" t="s">
        <v>269</v>
      </c>
      <c r="L23" t="s">
        <v>42</v>
      </c>
      <c r="M23" t="s">
        <v>267</v>
      </c>
      <c r="N23" t="s">
        <v>270</v>
      </c>
      <c r="O23" t="s">
        <v>85</v>
      </c>
      <c r="P23" t="s">
        <v>268</v>
      </c>
      <c r="Q23" t="s">
        <v>14</v>
      </c>
      <c r="R23" t="s">
        <v>7</v>
      </c>
      <c r="T23" t="s">
        <v>271</v>
      </c>
      <c r="U23" t="s">
        <v>269</v>
      </c>
      <c r="V23" t="s">
        <v>67</v>
      </c>
      <c r="W23" t="s">
        <v>134</v>
      </c>
      <c r="Y23" t="e">
        <v>#N/A</v>
      </c>
    </row>
    <row r="24" spans="1:25" x14ac:dyDescent="0.35">
      <c r="A24" t="s">
        <v>23</v>
      </c>
      <c r="B24" t="s">
        <v>24</v>
      </c>
      <c r="D24" t="s">
        <v>272</v>
      </c>
      <c r="I24" t="s">
        <v>25</v>
      </c>
      <c r="L24" t="s">
        <v>23</v>
      </c>
      <c r="M24" t="s">
        <v>24</v>
      </c>
      <c r="N24" t="s">
        <v>273</v>
      </c>
      <c r="O24" t="s">
        <v>85</v>
      </c>
      <c r="P24" t="s">
        <v>272</v>
      </c>
      <c r="Q24" t="s">
        <v>14</v>
      </c>
      <c r="R24" t="s">
        <v>7</v>
      </c>
      <c r="T24" t="s">
        <v>274</v>
      </c>
      <c r="U24" t="s">
        <v>25</v>
      </c>
      <c r="V24" t="s">
        <v>67</v>
      </c>
      <c r="W24" t="s">
        <v>134</v>
      </c>
      <c r="Y24" t="e">
        <v>#N/A</v>
      </c>
    </row>
    <row r="25" spans="1:25" x14ac:dyDescent="0.35">
      <c r="A25" t="s">
        <v>275</v>
      </c>
      <c r="B25" t="s">
        <v>276</v>
      </c>
      <c r="D25" t="s">
        <v>277</v>
      </c>
      <c r="I25" t="s">
        <v>278</v>
      </c>
      <c r="L25" t="s">
        <v>275</v>
      </c>
      <c r="M25" t="s">
        <v>276</v>
      </c>
      <c r="N25" t="s">
        <v>279</v>
      </c>
      <c r="O25" t="s">
        <v>73</v>
      </c>
      <c r="P25" t="s">
        <v>277</v>
      </c>
      <c r="Q25" t="s">
        <v>47</v>
      </c>
      <c r="R25" t="s">
        <v>7</v>
      </c>
      <c r="S25" t="s">
        <v>280</v>
      </c>
      <c r="T25" t="s">
        <v>17</v>
      </c>
      <c r="U25" t="s">
        <v>278</v>
      </c>
      <c r="V25" t="s">
        <v>67</v>
      </c>
      <c r="W25" t="s">
        <v>134</v>
      </c>
      <c r="X25" t="s">
        <v>281</v>
      </c>
      <c r="Y25" t="e">
        <v>#N/A</v>
      </c>
    </row>
    <row r="26" spans="1:25" x14ac:dyDescent="0.35">
      <c r="A26" t="s">
        <v>282</v>
      </c>
      <c r="B26" t="s">
        <v>283</v>
      </c>
      <c r="D26" t="s">
        <v>284</v>
      </c>
      <c r="I26" t="s">
        <v>285</v>
      </c>
      <c r="L26" t="s">
        <v>282</v>
      </c>
      <c r="M26" t="s">
        <v>283</v>
      </c>
      <c r="N26" t="s">
        <v>286</v>
      </c>
      <c r="O26" t="s">
        <v>78</v>
      </c>
      <c r="P26" t="s">
        <v>284</v>
      </c>
      <c r="Q26" t="s">
        <v>40</v>
      </c>
      <c r="R26" t="s">
        <v>4</v>
      </c>
      <c r="S26" t="s">
        <v>287</v>
      </c>
      <c r="T26" t="s">
        <v>288</v>
      </c>
      <c r="U26" t="s">
        <v>285</v>
      </c>
      <c r="V26" t="s">
        <v>67</v>
      </c>
      <c r="W26" t="s">
        <v>134</v>
      </c>
      <c r="Y26" t="e">
        <v>#N/A</v>
      </c>
    </row>
    <row r="27" spans="1:25" x14ac:dyDescent="0.35">
      <c r="A27" t="s">
        <v>289</v>
      </c>
      <c r="B27" t="s">
        <v>290</v>
      </c>
      <c r="D27" t="s">
        <v>291</v>
      </c>
      <c r="I27" t="s">
        <v>292</v>
      </c>
      <c r="L27" t="s">
        <v>289</v>
      </c>
      <c r="M27" t="s">
        <v>290</v>
      </c>
      <c r="N27" t="s">
        <v>293</v>
      </c>
      <c r="O27" t="s">
        <v>81</v>
      </c>
      <c r="P27" t="s">
        <v>291</v>
      </c>
      <c r="Q27" t="s">
        <v>47</v>
      </c>
      <c r="R27" t="s">
        <v>33</v>
      </c>
      <c r="S27" t="s">
        <v>294</v>
      </c>
      <c r="T27" t="s">
        <v>168</v>
      </c>
      <c r="U27" t="s">
        <v>292</v>
      </c>
      <c r="V27" t="s">
        <v>67</v>
      </c>
      <c r="W27" t="s">
        <v>212</v>
      </c>
      <c r="Y27" t="e">
        <v>#N/A</v>
      </c>
    </row>
    <row r="28" spans="1:25" x14ac:dyDescent="0.35">
      <c r="A28" t="s">
        <v>295</v>
      </c>
      <c r="B28" t="s">
        <v>296</v>
      </c>
      <c r="I28" t="s">
        <v>297</v>
      </c>
      <c r="L28" t="s">
        <v>295</v>
      </c>
      <c r="M28" t="s">
        <v>296</v>
      </c>
      <c r="N28" t="s">
        <v>298</v>
      </c>
      <c r="O28" t="s">
        <v>299</v>
      </c>
      <c r="T28" t="s">
        <v>0</v>
      </c>
      <c r="U28" t="s">
        <v>297</v>
      </c>
      <c r="W28" t="s">
        <v>134</v>
      </c>
      <c r="Y28" t="e">
        <v>#N/A</v>
      </c>
    </row>
    <row r="29" spans="1:25" x14ac:dyDescent="0.35">
      <c r="X29" s="4" t="s">
        <v>300</v>
      </c>
      <c r="Y29" s="4">
        <f>COUNTIF(_xlfn.ANCHORARRAY(Y2),"#N/A")</f>
        <v>23</v>
      </c>
    </row>
    <row r="30" spans="1:25" x14ac:dyDescent="0.35">
      <c r="X30" s="4" t="s">
        <v>301</v>
      </c>
      <c r="Y30" s="4">
        <f>COUNTIF(_xlfn.ANCHORARRAY(Y2),"&lt;&gt;#N/A")</f>
        <v>4</v>
      </c>
    </row>
    <row r="31" spans="1:25" x14ac:dyDescent="0.35">
      <c r="X31" s="4" t="s">
        <v>302</v>
      </c>
      <c r="Y31" s="4">
        <f>Y29+Y30</f>
        <v>27</v>
      </c>
    </row>
  </sheetData>
  <autoFilter ref="A1:Y31" xr:uid="{00000000-0009-0000-0000-00000C000000}">
    <filterColumn colId="24">
      <filters>
        <filter val="#N/A"/>
        <filter val="23"/>
        <filter val="27"/>
        <filter val="4"/>
      </filters>
    </filterColumn>
  </autoFilter>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75"/>
  <sheetViews>
    <sheetView tabSelected="1" workbookViewId="0"/>
  </sheetViews>
  <sheetFormatPr defaultRowHeight="14.5" x14ac:dyDescent="0.35"/>
  <cols>
    <col min="1" max="1" width="8.7265625" customWidth="1"/>
  </cols>
  <sheetData>
    <row r="1" spans="1:37" x14ac:dyDescent="0.35">
      <c r="A1" s="1" t="s">
        <v>303</v>
      </c>
      <c r="B1" s="1" t="s">
        <v>55</v>
      </c>
      <c r="C1" s="1" t="s">
        <v>56</v>
      </c>
      <c r="D1" s="1" t="s">
        <v>111</v>
      </c>
      <c r="E1" s="1" t="s">
        <v>58</v>
      </c>
      <c r="F1" s="1" t="s">
        <v>66</v>
      </c>
      <c r="G1" s="1" t="s">
        <v>304</v>
      </c>
      <c r="H1" s="1" t="s">
        <v>64</v>
      </c>
      <c r="I1" s="1" t="s">
        <v>65</v>
      </c>
      <c r="J1" s="1" t="s">
        <v>305</v>
      </c>
      <c r="K1" s="1" t="s">
        <v>112</v>
      </c>
      <c r="L1" s="1" t="s">
        <v>306</v>
      </c>
      <c r="M1" s="1" t="s">
        <v>57</v>
      </c>
      <c r="N1" s="1" t="s">
        <v>59</v>
      </c>
      <c r="O1" s="1" t="s">
        <v>113</v>
      </c>
      <c r="P1" s="1" t="s">
        <v>60</v>
      </c>
      <c r="Q1" s="1" t="s">
        <v>61</v>
      </c>
      <c r="R1" s="1" t="s">
        <v>307</v>
      </c>
      <c r="S1" s="1" t="s">
        <v>63</v>
      </c>
      <c r="T1" s="1" t="s">
        <v>62</v>
      </c>
      <c r="U1" s="1" t="s">
        <v>308</v>
      </c>
      <c r="V1" s="1" t="s">
        <v>114</v>
      </c>
      <c r="W1" s="1" t="s">
        <v>115</v>
      </c>
      <c r="X1" s="1" t="s">
        <v>116</v>
      </c>
      <c r="Y1" s="1" t="s">
        <v>117</v>
      </c>
      <c r="Z1" s="1" t="s">
        <v>118</v>
      </c>
      <c r="AA1" s="1" t="s">
        <v>309</v>
      </c>
      <c r="AB1" s="1" t="s">
        <v>310</v>
      </c>
      <c r="AC1" s="1" t="s">
        <v>119</v>
      </c>
      <c r="AD1" s="1" t="s">
        <v>120</v>
      </c>
      <c r="AE1" s="1" t="s">
        <v>121</v>
      </c>
      <c r="AF1" s="1" t="s">
        <v>122</v>
      </c>
      <c r="AG1" s="1" t="s">
        <v>311</v>
      </c>
      <c r="AH1" s="1" t="s">
        <v>123</v>
      </c>
      <c r="AI1" s="1" t="s">
        <v>124</v>
      </c>
      <c r="AJ1" s="1" t="s">
        <v>125</v>
      </c>
      <c r="AK1" s="1" t="s">
        <v>126</v>
      </c>
    </row>
    <row r="2" spans="1:37" x14ac:dyDescent="0.35">
      <c r="B2" t="s">
        <v>312</v>
      </c>
      <c r="C2" t="s">
        <v>313</v>
      </c>
      <c r="D2" t="s">
        <v>11</v>
      </c>
      <c r="E2" t="s">
        <v>314</v>
      </c>
      <c r="P2" t="s">
        <v>315</v>
      </c>
      <c r="R2" t="s">
        <v>316</v>
      </c>
      <c r="S2" t="s">
        <v>67</v>
      </c>
      <c r="U2" t="s">
        <v>317</v>
      </c>
      <c r="V2" t="s">
        <v>312</v>
      </c>
      <c r="W2" t="s">
        <v>313</v>
      </c>
      <c r="X2" t="s">
        <v>318</v>
      </c>
      <c r="Y2" t="s">
        <v>82</v>
      </c>
      <c r="Z2" t="s">
        <v>314</v>
      </c>
      <c r="AA2" s="3" t="s">
        <v>319</v>
      </c>
      <c r="AB2" t="s">
        <v>320</v>
      </c>
      <c r="AC2" t="s">
        <v>54</v>
      </c>
      <c r="AD2" t="s">
        <v>33</v>
      </c>
      <c r="AE2" t="s">
        <v>321</v>
      </c>
      <c r="AF2" t="s">
        <v>11</v>
      </c>
      <c r="AG2" s="3" t="s">
        <v>322</v>
      </c>
      <c r="AH2" t="s">
        <v>315</v>
      </c>
      <c r="AI2" t="s">
        <v>67</v>
      </c>
      <c r="AJ2" t="s">
        <v>316</v>
      </c>
    </row>
    <row r="3" spans="1:37" x14ac:dyDescent="0.35">
      <c r="B3" t="s">
        <v>323</v>
      </c>
      <c r="C3" t="s">
        <v>324</v>
      </c>
      <c r="D3" t="s">
        <v>11</v>
      </c>
      <c r="E3" t="s">
        <v>325</v>
      </c>
      <c r="P3" t="s">
        <v>326</v>
      </c>
      <c r="R3" t="s">
        <v>316</v>
      </c>
      <c r="S3" t="s">
        <v>67</v>
      </c>
      <c r="U3" t="s">
        <v>317</v>
      </c>
      <c r="V3" t="s">
        <v>323</v>
      </c>
      <c r="W3" t="s">
        <v>324</v>
      </c>
      <c r="X3" t="s">
        <v>327</v>
      </c>
      <c r="Y3" t="s">
        <v>328</v>
      </c>
      <c r="Z3" t="s">
        <v>325</v>
      </c>
      <c r="AA3" s="3" t="s">
        <v>329</v>
      </c>
      <c r="AB3" t="s">
        <v>330</v>
      </c>
      <c r="AC3" t="s">
        <v>51</v>
      </c>
      <c r="AD3" t="s">
        <v>2</v>
      </c>
      <c r="AE3" t="s">
        <v>331</v>
      </c>
      <c r="AF3" t="s">
        <v>11</v>
      </c>
      <c r="AG3" s="3" t="s">
        <v>332</v>
      </c>
      <c r="AH3" t="s">
        <v>326</v>
      </c>
      <c r="AI3" t="s">
        <v>67</v>
      </c>
      <c r="AJ3" t="s">
        <v>316</v>
      </c>
    </row>
    <row r="4" spans="1:37" x14ac:dyDescent="0.35">
      <c r="B4" t="s">
        <v>333</v>
      </c>
      <c r="C4" t="s">
        <v>334</v>
      </c>
      <c r="D4" t="s">
        <v>6</v>
      </c>
      <c r="E4" t="s">
        <v>335</v>
      </c>
      <c r="P4" t="s">
        <v>336</v>
      </c>
      <c r="R4" t="s">
        <v>316</v>
      </c>
      <c r="S4" t="s">
        <v>67</v>
      </c>
      <c r="U4" t="s">
        <v>317</v>
      </c>
      <c r="V4" t="s">
        <v>333</v>
      </c>
      <c r="W4" t="s">
        <v>334</v>
      </c>
      <c r="X4" t="s">
        <v>337</v>
      </c>
      <c r="Y4" t="s">
        <v>81</v>
      </c>
      <c r="Z4" t="s">
        <v>335</v>
      </c>
      <c r="AA4" s="3" t="s">
        <v>338</v>
      </c>
      <c r="AB4" t="s">
        <v>339</v>
      </c>
      <c r="AC4" t="s">
        <v>40</v>
      </c>
      <c r="AD4" t="s">
        <v>33</v>
      </c>
      <c r="AE4" t="s">
        <v>340</v>
      </c>
      <c r="AF4" t="s">
        <v>341</v>
      </c>
      <c r="AG4" s="3" t="s">
        <v>342</v>
      </c>
      <c r="AH4" t="s">
        <v>336</v>
      </c>
      <c r="AI4" t="s">
        <v>67</v>
      </c>
      <c r="AJ4" t="s">
        <v>316</v>
      </c>
    </row>
    <row r="5" spans="1:37" x14ac:dyDescent="0.35">
      <c r="B5" t="s">
        <v>343</v>
      </c>
      <c r="C5" t="s">
        <v>344</v>
      </c>
      <c r="D5" t="s">
        <v>0</v>
      </c>
      <c r="E5" t="s">
        <v>345</v>
      </c>
      <c r="P5" t="s">
        <v>346</v>
      </c>
      <c r="R5" t="s">
        <v>316</v>
      </c>
      <c r="S5" t="s">
        <v>67</v>
      </c>
      <c r="U5" t="s">
        <v>317</v>
      </c>
      <c r="V5" t="s">
        <v>343</v>
      </c>
      <c r="W5" t="s">
        <v>344</v>
      </c>
      <c r="X5" t="s">
        <v>347</v>
      </c>
      <c r="Y5" t="s">
        <v>78</v>
      </c>
      <c r="Z5" t="s">
        <v>345</v>
      </c>
      <c r="AA5" s="3" t="s">
        <v>348</v>
      </c>
      <c r="AB5" t="s">
        <v>349</v>
      </c>
      <c r="AC5" t="s">
        <v>35</v>
      </c>
      <c r="AD5" t="s">
        <v>4</v>
      </c>
      <c r="AE5" t="s">
        <v>350</v>
      </c>
      <c r="AF5" t="s">
        <v>0</v>
      </c>
      <c r="AG5" s="3" t="s">
        <v>351</v>
      </c>
      <c r="AH5" t="s">
        <v>346</v>
      </c>
      <c r="AI5" t="s">
        <v>67</v>
      </c>
      <c r="AJ5" t="s">
        <v>316</v>
      </c>
    </row>
    <row r="6" spans="1:37" x14ac:dyDescent="0.35">
      <c r="B6" t="s">
        <v>352</v>
      </c>
      <c r="C6" t="s">
        <v>353</v>
      </c>
      <c r="D6" t="s">
        <v>6</v>
      </c>
      <c r="E6" t="s">
        <v>354</v>
      </c>
      <c r="P6" t="s">
        <v>355</v>
      </c>
      <c r="R6" t="s">
        <v>316</v>
      </c>
      <c r="S6" t="s">
        <v>67</v>
      </c>
      <c r="U6" t="s">
        <v>317</v>
      </c>
      <c r="V6" t="s">
        <v>352</v>
      </c>
      <c r="W6" t="s">
        <v>353</v>
      </c>
      <c r="X6" t="s">
        <v>356</v>
      </c>
      <c r="Y6" t="s">
        <v>146</v>
      </c>
      <c r="Z6" t="s">
        <v>354</v>
      </c>
      <c r="AA6" s="3" t="s">
        <v>357</v>
      </c>
      <c r="AB6" t="s">
        <v>358</v>
      </c>
      <c r="AC6" t="s">
        <v>38</v>
      </c>
      <c r="AD6" t="s">
        <v>7</v>
      </c>
      <c r="AE6" t="s">
        <v>359</v>
      </c>
      <c r="AF6" t="s">
        <v>148</v>
      </c>
      <c r="AG6" s="3" t="s">
        <v>360</v>
      </c>
      <c r="AH6" t="s">
        <v>355</v>
      </c>
      <c r="AI6" t="s">
        <v>67</v>
      </c>
      <c r="AJ6" t="s">
        <v>316</v>
      </c>
    </row>
    <row r="7" spans="1:37" x14ac:dyDescent="0.35">
      <c r="B7" t="s">
        <v>361</v>
      </c>
      <c r="C7" t="s">
        <v>99</v>
      </c>
      <c r="D7" t="s">
        <v>13</v>
      </c>
      <c r="E7" t="s">
        <v>362</v>
      </c>
      <c r="P7" t="s">
        <v>363</v>
      </c>
      <c r="R7" t="s">
        <v>316</v>
      </c>
      <c r="S7" t="s">
        <v>67</v>
      </c>
      <c r="U7" t="s">
        <v>317</v>
      </c>
      <c r="V7" t="s">
        <v>361</v>
      </c>
      <c r="W7" t="s">
        <v>99</v>
      </c>
      <c r="X7" t="s">
        <v>364</v>
      </c>
      <c r="Y7" t="s">
        <v>69</v>
      </c>
      <c r="Z7" t="s">
        <v>362</v>
      </c>
      <c r="AA7" s="3" t="s">
        <v>365</v>
      </c>
      <c r="AB7" t="s">
        <v>366</v>
      </c>
      <c r="AC7" t="s">
        <v>26</v>
      </c>
      <c r="AD7" t="s">
        <v>4</v>
      </c>
      <c r="AE7" t="s">
        <v>367</v>
      </c>
      <c r="AF7" t="s">
        <v>368</v>
      </c>
      <c r="AG7" s="3" t="s">
        <v>369</v>
      </c>
      <c r="AH7" t="s">
        <v>363</v>
      </c>
      <c r="AI7" t="s">
        <v>67</v>
      </c>
      <c r="AJ7" t="s">
        <v>316</v>
      </c>
    </row>
    <row r="8" spans="1:37" x14ac:dyDescent="0.35">
      <c r="B8" t="s">
        <v>370</v>
      </c>
      <c r="C8" t="s">
        <v>371</v>
      </c>
      <c r="D8" t="s">
        <v>19</v>
      </c>
      <c r="E8" t="s">
        <v>372</v>
      </c>
      <c r="P8" t="s">
        <v>373</v>
      </c>
      <c r="R8" t="s">
        <v>316</v>
      </c>
      <c r="S8" t="s">
        <v>67</v>
      </c>
      <c r="U8" t="s">
        <v>317</v>
      </c>
      <c r="V8" t="s">
        <v>370</v>
      </c>
      <c r="W8" t="s">
        <v>371</v>
      </c>
      <c r="X8" t="s">
        <v>374</v>
      </c>
      <c r="Y8" t="s">
        <v>68</v>
      </c>
      <c r="Z8" t="s">
        <v>372</v>
      </c>
      <c r="AB8" t="s">
        <v>375</v>
      </c>
      <c r="AC8" t="s">
        <v>9</v>
      </c>
      <c r="AD8" t="s">
        <v>30</v>
      </c>
      <c r="AE8" t="s">
        <v>376</v>
      </c>
      <c r="AF8" t="s">
        <v>19</v>
      </c>
      <c r="AG8" s="3" t="s">
        <v>377</v>
      </c>
      <c r="AH8" t="s">
        <v>373</v>
      </c>
      <c r="AI8" t="s">
        <v>67</v>
      </c>
      <c r="AJ8" t="s">
        <v>316</v>
      </c>
    </row>
    <row r="9" spans="1:37" x14ac:dyDescent="0.35">
      <c r="B9" t="s">
        <v>378</v>
      </c>
      <c r="C9" t="s">
        <v>379</v>
      </c>
      <c r="D9" t="s">
        <v>13</v>
      </c>
      <c r="E9" t="s">
        <v>380</v>
      </c>
      <c r="P9" t="s">
        <v>381</v>
      </c>
      <c r="R9" t="s">
        <v>316</v>
      </c>
      <c r="S9" t="s">
        <v>67</v>
      </c>
      <c r="U9" t="s">
        <v>317</v>
      </c>
      <c r="V9" t="s">
        <v>378</v>
      </c>
      <c r="W9" t="s">
        <v>379</v>
      </c>
      <c r="X9" t="s">
        <v>382</v>
      </c>
      <c r="Y9" t="s">
        <v>76</v>
      </c>
      <c r="Z9" t="s">
        <v>380</v>
      </c>
      <c r="AA9" s="3" t="s">
        <v>383</v>
      </c>
      <c r="AB9" t="s">
        <v>384</v>
      </c>
      <c r="AC9" t="s">
        <v>48</v>
      </c>
      <c r="AD9" t="s">
        <v>30</v>
      </c>
      <c r="AE9" t="s">
        <v>385</v>
      </c>
      <c r="AF9" t="s">
        <v>386</v>
      </c>
      <c r="AG9" s="3" t="s">
        <v>387</v>
      </c>
      <c r="AH9" t="s">
        <v>381</v>
      </c>
      <c r="AI9" t="s">
        <v>67</v>
      </c>
      <c r="AJ9" t="s">
        <v>316</v>
      </c>
    </row>
    <row r="10" spans="1:37" x14ac:dyDescent="0.35">
      <c r="B10" t="s">
        <v>388</v>
      </c>
      <c r="C10" t="s">
        <v>389</v>
      </c>
      <c r="D10" t="s">
        <v>11</v>
      </c>
      <c r="E10" t="s">
        <v>390</v>
      </c>
      <c r="P10" t="s">
        <v>391</v>
      </c>
      <c r="R10" t="s">
        <v>316</v>
      </c>
      <c r="S10" t="s">
        <v>67</v>
      </c>
      <c r="U10" t="s">
        <v>317</v>
      </c>
      <c r="V10" t="s">
        <v>388</v>
      </c>
      <c r="W10" t="s">
        <v>389</v>
      </c>
      <c r="X10" t="s">
        <v>392</v>
      </c>
      <c r="Y10" t="s">
        <v>92</v>
      </c>
      <c r="Z10" t="s">
        <v>390</v>
      </c>
      <c r="AA10" s="3" t="s">
        <v>393</v>
      </c>
      <c r="AB10" t="s">
        <v>394</v>
      </c>
      <c r="AC10" t="s">
        <v>14</v>
      </c>
      <c r="AD10" t="s">
        <v>2</v>
      </c>
      <c r="AE10" t="s">
        <v>395</v>
      </c>
      <c r="AF10" t="s">
        <v>11</v>
      </c>
      <c r="AG10" s="3" t="s">
        <v>396</v>
      </c>
      <c r="AH10" t="s">
        <v>391</v>
      </c>
      <c r="AI10" t="s">
        <v>67</v>
      </c>
      <c r="AJ10" t="s">
        <v>316</v>
      </c>
    </row>
    <row r="11" spans="1:37" x14ac:dyDescent="0.35">
      <c r="B11" t="s">
        <v>397</v>
      </c>
      <c r="C11" t="s">
        <v>398</v>
      </c>
      <c r="D11" t="s">
        <v>0</v>
      </c>
      <c r="E11" t="s">
        <v>399</v>
      </c>
      <c r="P11" t="s">
        <v>400</v>
      </c>
      <c r="R11" t="s">
        <v>401</v>
      </c>
      <c r="U11" t="s">
        <v>317</v>
      </c>
      <c r="V11" t="s">
        <v>397</v>
      </c>
      <c r="W11" t="s">
        <v>398</v>
      </c>
      <c r="X11" t="s">
        <v>402</v>
      </c>
      <c r="Y11" t="s">
        <v>403</v>
      </c>
      <c r="Z11" t="s">
        <v>399</v>
      </c>
      <c r="AA11" s="3" t="s">
        <v>404</v>
      </c>
      <c r="AB11" t="s">
        <v>405</v>
      </c>
      <c r="AF11" t="s">
        <v>0</v>
      </c>
      <c r="AG11" s="3" t="s">
        <v>406</v>
      </c>
      <c r="AH11" t="s">
        <v>400</v>
      </c>
      <c r="AJ11" t="s">
        <v>401</v>
      </c>
    </row>
    <row r="12" spans="1:37" x14ac:dyDescent="0.35">
      <c r="B12" t="s">
        <v>102</v>
      </c>
      <c r="C12" t="s">
        <v>103</v>
      </c>
      <c r="D12" t="s">
        <v>13</v>
      </c>
      <c r="E12" t="s">
        <v>407</v>
      </c>
      <c r="P12" t="s">
        <v>408</v>
      </c>
      <c r="R12" t="s">
        <v>316</v>
      </c>
      <c r="S12" t="s">
        <v>67</v>
      </c>
      <c r="U12" t="s">
        <v>317</v>
      </c>
      <c r="V12" t="s">
        <v>102</v>
      </c>
      <c r="W12" t="s">
        <v>103</v>
      </c>
      <c r="X12" t="s">
        <v>409</v>
      </c>
      <c r="Y12" t="s">
        <v>70</v>
      </c>
      <c r="Z12" t="s">
        <v>407</v>
      </c>
      <c r="AB12" t="s">
        <v>410</v>
      </c>
      <c r="AC12" t="s">
        <v>15</v>
      </c>
      <c r="AD12" t="s">
        <v>7</v>
      </c>
      <c r="AE12" t="s">
        <v>411</v>
      </c>
      <c r="AF12" t="s">
        <v>13</v>
      </c>
      <c r="AG12" s="3" t="s">
        <v>412</v>
      </c>
      <c r="AH12" t="s">
        <v>408</v>
      </c>
      <c r="AI12" t="s">
        <v>67</v>
      </c>
      <c r="AJ12" t="s">
        <v>316</v>
      </c>
    </row>
    <row r="13" spans="1:37" x14ac:dyDescent="0.35">
      <c r="B13" t="s">
        <v>413</v>
      </c>
      <c r="C13" t="s">
        <v>414</v>
      </c>
      <c r="D13" t="s">
        <v>6</v>
      </c>
      <c r="E13" t="s">
        <v>415</v>
      </c>
      <c r="P13" t="s">
        <v>416</v>
      </c>
      <c r="R13" t="s">
        <v>316</v>
      </c>
      <c r="S13" t="s">
        <v>67</v>
      </c>
      <c r="U13" t="s">
        <v>317</v>
      </c>
      <c r="V13" t="s">
        <v>413</v>
      </c>
      <c r="W13" t="s">
        <v>414</v>
      </c>
      <c r="X13" t="s">
        <v>417</v>
      </c>
      <c r="Y13" t="s">
        <v>97</v>
      </c>
      <c r="Z13" t="s">
        <v>415</v>
      </c>
      <c r="AA13" s="3" t="s">
        <v>418</v>
      </c>
      <c r="AB13" t="s">
        <v>419</v>
      </c>
      <c r="AC13" t="s">
        <v>98</v>
      </c>
      <c r="AD13" t="s">
        <v>4</v>
      </c>
      <c r="AE13" t="s">
        <v>420</v>
      </c>
      <c r="AF13" t="s">
        <v>6</v>
      </c>
      <c r="AG13" s="3" t="s">
        <v>421</v>
      </c>
      <c r="AH13" t="s">
        <v>416</v>
      </c>
      <c r="AI13" t="s">
        <v>67</v>
      </c>
      <c r="AJ13" t="s">
        <v>316</v>
      </c>
    </row>
    <row r="14" spans="1:37" x14ac:dyDescent="0.35">
      <c r="B14" t="s">
        <v>422</v>
      </c>
      <c r="C14" t="s">
        <v>423</v>
      </c>
      <c r="D14" t="s">
        <v>6</v>
      </c>
      <c r="E14" t="s">
        <v>424</v>
      </c>
      <c r="P14" t="s">
        <v>425</v>
      </c>
      <c r="R14" t="s">
        <v>316</v>
      </c>
      <c r="S14" t="s">
        <v>67</v>
      </c>
      <c r="U14" t="s">
        <v>317</v>
      </c>
      <c r="V14" t="s">
        <v>422</v>
      </c>
      <c r="W14" t="s">
        <v>423</v>
      </c>
      <c r="X14" t="s">
        <v>426</v>
      </c>
      <c r="Y14" t="s">
        <v>94</v>
      </c>
      <c r="Z14" t="s">
        <v>424</v>
      </c>
      <c r="AA14" s="3" t="s">
        <v>427</v>
      </c>
      <c r="AB14" t="s">
        <v>428</v>
      </c>
      <c r="AC14" t="s">
        <v>4</v>
      </c>
      <c r="AD14" t="s">
        <v>7</v>
      </c>
      <c r="AE14" t="s">
        <v>429</v>
      </c>
      <c r="AF14" t="s">
        <v>6</v>
      </c>
      <c r="AG14" s="3" t="s">
        <v>430</v>
      </c>
      <c r="AH14" t="s">
        <v>425</v>
      </c>
      <c r="AI14" t="s">
        <v>67</v>
      </c>
      <c r="AJ14" t="s">
        <v>316</v>
      </c>
    </row>
    <row r="15" spans="1:37" x14ac:dyDescent="0.35">
      <c r="B15" t="s">
        <v>150</v>
      </c>
      <c r="C15" t="s">
        <v>431</v>
      </c>
      <c r="D15" t="s">
        <v>11</v>
      </c>
      <c r="E15" t="s">
        <v>152</v>
      </c>
      <c r="P15" t="s">
        <v>153</v>
      </c>
      <c r="R15" t="s">
        <v>316</v>
      </c>
      <c r="S15" t="s">
        <v>67</v>
      </c>
      <c r="U15" t="s">
        <v>317</v>
      </c>
      <c r="V15" t="s">
        <v>150</v>
      </c>
      <c r="W15" t="s">
        <v>431</v>
      </c>
      <c r="X15" t="s">
        <v>432</v>
      </c>
      <c r="Y15" t="s">
        <v>69</v>
      </c>
      <c r="Z15" t="s">
        <v>152</v>
      </c>
      <c r="AA15" s="3" t="s">
        <v>433</v>
      </c>
      <c r="AB15" t="s">
        <v>434</v>
      </c>
      <c r="AC15" t="s">
        <v>31</v>
      </c>
      <c r="AD15" t="s">
        <v>7</v>
      </c>
      <c r="AE15" t="s">
        <v>155</v>
      </c>
      <c r="AF15" t="s">
        <v>11</v>
      </c>
      <c r="AG15" s="3" t="s">
        <v>435</v>
      </c>
      <c r="AH15" t="s">
        <v>153</v>
      </c>
      <c r="AI15" t="s">
        <v>67</v>
      </c>
      <c r="AJ15" t="s">
        <v>316</v>
      </c>
    </row>
    <row r="16" spans="1:37" x14ac:dyDescent="0.35">
      <c r="B16" t="s">
        <v>436</v>
      </c>
      <c r="C16" t="s">
        <v>437</v>
      </c>
      <c r="D16" t="s">
        <v>11</v>
      </c>
      <c r="E16" t="s">
        <v>438</v>
      </c>
      <c r="P16" t="s">
        <v>439</v>
      </c>
      <c r="R16" t="s">
        <v>316</v>
      </c>
      <c r="S16" t="s">
        <v>67</v>
      </c>
      <c r="U16" t="s">
        <v>317</v>
      </c>
      <c r="V16" t="s">
        <v>436</v>
      </c>
      <c r="W16" t="s">
        <v>437</v>
      </c>
      <c r="X16" t="s">
        <v>440</v>
      </c>
      <c r="Y16" t="s">
        <v>82</v>
      </c>
      <c r="Z16" t="s">
        <v>438</v>
      </c>
      <c r="AA16" s="3" t="s">
        <v>441</v>
      </c>
      <c r="AB16" t="s">
        <v>442</v>
      </c>
      <c r="AC16" t="s">
        <v>54</v>
      </c>
      <c r="AD16" t="s">
        <v>2</v>
      </c>
      <c r="AE16" t="s">
        <v>443</v>
      </c>
      <c r="AF16" t="s">
        <v>11</v>
      </c>
      <c r="AG16" s="3" t="s">
        <v>444</v>
      </c>
      <c r="AH16" t="s">
        <v>439</v>
      </c>
      <c r="AI16" t="s">
        <v>67</v>
      </c>
      <c r="AJ16" t="s">
        <v>316</v>
      </c>
    </row>
    <row r="17" spans="2:36" x14ac:dyDescent="0.35">
      <c r="B17" t="s">
        <v>445</v>
      </c>
      <c r="C17" t="s">
        <v>96</v>
      </c>
      <c r="D17" t="s">
        <v>6</v>
      </c>
      <c r="E17" t="s">
        <v>446</v>
      </c>
      <c r="P17" t="s">
        <v>447</v>
      </c>
      <c r="R17" t="s">
        <v>316</v>
      </c>
      <c r="S17" t="s">
        <v>67</v>
      </c>
      <c r="U17" t="s">
        <v>317</v>
      </c>
      <c r="V17" t="s">
        <v>445</v>
      </c>
      <c r="W17" t="s">
        <v>96</v>
      </c>
      <c r="X17" t="s">
        <v>448</v>
      </c>
      <c r="Y17" t="s">
        <v>69</v>
      </c>
      <c r="Z17" t="s">
        <v>446</v>
      </c>
      <c r="AA17" s="3" t="s">
        <v>449</v>
      </c>
      <c r="AB17" t="s">
        <v>450</v>
      </c>
      <c r="AC17" t="s">
        <v>41</v>
      </c>
      <c r="AD17" t="s">
        <v>4</v>
      </c>
      <c r="AE17" t="s">
        <v>451</v>
      </c>
      <c r="AF17" t="s">
        <v>452</v>
      </c>
      <c r="AG17" s="3" t="s">
        <v>453</v>
      </c>
      <c r="AH17" t="s">
        <v>447</v>
      </c>
      <c r="AI17" t="s">
        <v>67</v>
      </c>
      <c r="AJ17" t="s">
        <v>316</v>
      </c>
    </row>
    <row r="18" spans="2:36" x14ac:dyDescent="0.35">
      <c r="B18" t="s">
        <v>188</v>
      </c>
      <c r="C18" t="s">
        <v>189</v>
      </c>
      <c r="D18" t="s">
        <v>0</v>
      </c>
      <c r="E18" t="s">
        <v>190</v>
      </c>
      <c r="P18" t="s">
        <v>191</v>
      </c>
      <c r="R18" t="s">
        <v>316</v>
      </c>
      <c r="S18" t="s">
        <v>67</v>
      </c>
      <c r="U18" t="s">
        <v>317</v>
      </c>
      <c r="V18" t="s">
        <v>188</v>
      </c>
      <c r="W18" t="s">
        <v>189</v>
      </c>
      <c r="X18" t="s">
        <v>454</v>
      </c>
      <c r="Y18" t="s">
        <v>69</v>
      </c>
      <c r="Z18" t="s">
        <v>190</v>
      </c>
      <c r="AA18" s="3" t="s">
        <v>455</v>
      </c>
      <c r="AB18" t="s">
        <v>456</v>
      </c>
      <c r="AC18" t="s">
        <v>37</v>
      </c>
      <c r="AD18" t="s">
        <v>7</v>
      </c>
      <c r="AE18" t="s">
        <v>192</v>
      </c>
      <c r="AF18" t="s">
        <v>0</v>
      </c>
      <c r="AG18" s="3" t="s">
        <v>457</v>
      </c>
      <c r="AH18" t="s">
        <v>191</v>
      </c>
      <c r="AI18" t="s">
        <v>67</v>
      </c>
      <c r="AJ18" t="s">
        <v>316</v>
      </c>
    </row>
    <row r="19" spans="2:36" x14ac:dyDescent="0.35">
      <c r="B19" t="s">
        <v>458</v>
      </c>
      <c r="C19" t="s">
        <v>459</v>
      </c>
      <c r="D19" t="s">
        <v>0</v>
      </c>
      <c r="E19" t="s">
        <v>460</v>
      </c>
      <c r="P19" t="s">
        <v>461</v>
      </c>
      <c r="R19" t="s">
        <v>316</v>
      </c>
      <c r="S19" t="s">
        <v>67</v>
      </c>
      <c r="U19" t="s">
        <v>317</v>
      </c>
      <c r="V19" t="s">
        <v>458</v>
      </c>
      <c r="W19" t="s">
        <v>459</v>
      </c>
      <c r="X19" t="s">
        <v>462</v>
      </c>
      <c r="Y19" t="s">
        <v>69</v>
      </c>
      <c r="Z19" t="s">
        <v>460</v>
      </c>
      <c r="AA19" s="3" t="s">
        <v>463</v>
      </c>
      <c r="AB19" t="s">
        <v>464</v>
      </c>
      <c r="AC19" t="s">
        <v>37</v>
      </c>
      <c r="AD19" t="s">
        <v>18</v>
      </c>
      <c r="AE19" t="s">
        <v>465</v>
      </c>
      <c r="AF19" t="s">
        <v>0</v>
      </c>
      <c r="AG19" s="3" t="s">
        <v>466</v>
      </c>
      <c r="AH19" t="s">
        <v>461</v>
      </c>
      <c r="AI19" t="s">
        <v>67</v>
      </c>
      <c r="AJ19" t="s">
        <v>316</v>
      </c>
    </row>
    <row r="20" spans="2:36" x14ac:dyDescent="0.35">
      <c r="B20" t="s">
        <v>467</v>
      </c>
      <c r="C20" t="s">
        <v>468</v>
      </c>
      <c r="D20" t="s">
        <v>6</v>
      </c>
      <c r="E20" t="s">
        <v>469</v>
      </c>
      <c r="P20" t="s">
        <v>470</v>
      </c>
      <c r="R20" t="s">
        <v>471</v>
      </c>
      <c r="S20" t="s">
        <v>67</v>
      </c>
      <c r="U20" t="s">
        <v>317</v>
      </c>
      <c r="V20" t="s">
        <v>467</v>
      </c>
      <c r="W20" t="s">
        <v>468</v>
      </c>
      <c r="X20" t="s">
        <v>472</v>
      </c>
      <c r="Y20" t="s">
        <v>82</v>
      </c>
      <c r="Z20" t="s">
        <v>469</v>
      </c>
      <c r="AA20" s="3" t="s">
        <v>473</v>
      </c>
      <c r="AB20" t="s">
        <v>474</v>
      </c>
      <c r="AC20" t="s">
        <v>43</v>
      </c>
      <c r="AD20" t="s">
        <v>7</v>
      </c>
      <c r="AE20" t="s">
        <v>475</v>
      </c>
      <c r="AF20" t="s">
        <v>148</v>
      </c>
      <c r="AG20" s="3" t="s">
        <v>476</v>
      </c>
      <c r="AH20" t="s">
        <v>470</v>
      </c>
      <c r="AI20" t="s">
        <v>67</v>
      </c>
      <c r="AJ20" t="s">
        <v>471</v>
      </c>
    </row>
    <row r="21" spans="2:36" x14ac:dyDescent="0.35">
      <c r="B21" t="s">
        <v>477</v>
      </c>
      <c r="C21" t="s">
        <v>129</v>
      </c>
      <c r="D21" t="s">
        <v>0</v>
      </c>
      <c r="E21" t="s">
        <v>478</v>
      </c>
      <c r="P21" t="s">
        <v>479</v>
      </c>
      <c r="R21" t="s">
        <v>316</v>
      </c>
      <c r="S21" t="s">
        <v>67</v>
      </c>
      <c r="U21" t="s">
        <v>317</v>
      </c>
      <c r="V21" t="s">
        <v>477</v>
      </c>
      <c r="W21" t="s">
        <v>129</v>
      </c>
      <c r="X21" t="s">
        <v>480</v>
      </c>
      <c r="Y21" t="s">
        <v>82</v>
      </c>
      <c r="Z21" t="s">
        <v>478</v>
      </c>
      <c r="AA21" s="3" t="s">
        <v>481</v>
      </c>
      <c r="AB21" t="s">
        <v>482</v>
      </c>
      <c r="AC21" t="s">
        <v>51</v>
      </c>
      <c r="AD21" t="s">
        <v>33</v>
      </c>
      <c r="AE21" t="s">
        <v>483</v>
      </c>
      <c r="AF21" t="s">
        <v>0</v>
      </c>
      <c r="AG21" s="3" t="s">
        <v>484</v>
      </c>
      <c r="AH21" t="s">
        <v>479</v>
      </c>
      <c r="AI21" t="s">
        <v>67</v>
      </c>
      <c r="AJ21" t="s">
        <v>316</v>
      </c>
    </row>
    <row r="22" spans="2:36" x14ac:dyDescent="0.35">
      <c r="B22" t="s">
        <v>485</v>
      </c>
      <c r="C22" t="s">
        <v>313</v>
      </c>
      <c r="D22" t="s">
        <v>0</v>
      </c>
      <c r="E22" t="s">
        <v>486</v>
      </c>
      <c r="P22" t="s">
        <v>487</v>
      </c>
      <c r="R22" t="s">
        <v>316</v>
      </c>
      <c r="S22" t="s">
        <v>67</v>
      </c>
      <c r="U22" t="s">
        <v>317</v>
      </c>
      <c r="V22" t="s">
        <v>485</v>
      </c>
      <c r="W22" t="s">
        <v>313</v>
      </c>
      <c r="X22" t="s">
        <v>488</v>
      </c>
      <c r="Y22" t="s">
        <v>71</v>
      </c>
      <c r="Z22" t="s">
        <v>486</v>
      </c>
      <c r="AA22" s="3" t="s">
        <v>489</v>
      </c>
      <c r="AB22" t="s">
        <v>490</v>
      </c>
      <c r="AC22" t="s">
        <v>72</v>
      </c>
      <c r="AD22" t="s">
        <v>7</v>
      </c>
      <c r="AE22" t="s">
        <v>491</v>
      </c>
      <c r="AF22" t="s">
        <v>0</v>
      </c>
      <c r="AG22" s="3" t="s">
        <v>492</v>
      </c>
      <c r="AH22" t="s">
        <v>487</v>
      </c>
      <c r="AI22" t="s">
        <v>67</v>
      </c>
      <c r="AJ22" t="s">
        <v>316</v>
      </c>
    </row>
    <row r="23" spans="2:36" x14ac:dyDescent="0.35">
      <c r="B23" t="s">
        <v>493</v>
      </c>
      <c r="C23" t="s">
        <v>494</v>
      </c>
      <c r="D23" t="s">
        <v>3</v>
      </c>
      <c r="E23" t="s">
        <v>495</v>
      </c>
      <c r="P23" t="s">
        <v>496</v>
      </c>
      <c r="R23" t="s">
        <v>316</v>
      </c>
      <c r="S23" t="s">
        <v>67</v>
      </c>
      <c r="U23" t="s">
        <v>317</v>
      </c>
      <c r="V23" t="s">
        <v>493</v>
      </c>
      <c r="W23" t="s">
        <v>494</v>
      </c>
      <c r="X23" t="s">
        <v>497</v>
      </c>
      <c r="Y23" t="s">
        <v>498</v>
      </c>
      <c r="Z23" t="s">
        <v>495</v>
      </c>
      <c r="AA23" s="3" t="s">
        <v>499</v>
      </c>
      <c r="AB23" t="s">
        <v>500</v>
      </c>
      <c r="AC23" t="s">
        <v>21</v>
      </c>
      <c r="AD23" t="s">
        <v>30</v>
      </c>
      <c r="AE23" t="s">
        <v>501</v>
      </c>
      <c r="AF23" t="s">
        <v>502</v>
      </c>
      <c r="AG23" s="3" t="s">
        <v>503</v>
      </c>
      <c r="AH23" t="s">
        <v>496</v>
      </c>
      <c r="AI23" t="s">
        <v>67</v>
      </c>
      <c r="AJ23" t="s">
        <v>316</v>
      </c>
    </row>
    <row r="24" spans="2:36" x14ac:dyDescent="0.35">
      <c r="B24" t="s">
        <v>504</v>
      </c>
      <c r="C24" t="s">
        <v>505</v>
      </c>
      <c r="D24" t="s">
        <v>19</v>
      </c>
      <c r="E24" t="s">
        <v>506</v>
      </c>
      <c r="P24" t="s">
        <v>507</v>
      </c>
      <c r="R24" t="s">
        <v>316</v>
      </c>
      <c r="S24" t="s">
        <v>67</v>
      </c>
      <c r="U24" t="s">
        <v>317</v>
      </c>
      <c r="V24" t="s">
        <v>504</v>
      </c>
      <c r="W24" t="s">
        <v>505</v>
      </c>
      <c r="X24" t="s">
        <v>508</v>
      </c>
      <c r="Y24" t="s">
        <v>82</v>
      </c>
      <c r="Z24" t="s">
        <v>506</v>
      </c>
      <c r="AA24" s="3" t="s">
        <v>509</v>
      </c>
      <c r="AB24" t="s">
        <v>510</v>
      </c>
      <c r="AC24" t="s">
        <v>53</v>
      </c>
      <c r="AD24" t="s">
        <v>30</v>
      </c>
      <c r="AE24" t="s">
        <v>511</v>
      </c>
      <c r="AF24" t="s">
        <v>512</v>
      </c>
      <c r="AG24" s="3" t="s">
        <v>513</v>
      </c>
      <c r="AH24" t="s">
        <v>507</v>
      </c>
      <c r="AI24" t="s">
        <v>67</v>
      </c>
      <c r="AJ24" t="s">
        <v>316</v>
      </c>
    </row>
    <row r="25" spans="2:36" x14ac:dyDescent="0.35">
      <c r="B25" t="s">
        <v>514</v>
      </c>
      <c r="C25" t="s">
        <v>104</v>
      </c>
      <c r="D25" t="s">
        <v>13</v>
      </c>
      <c r="E25" t="s">
        <v>515</v>
      </c>
      <c r="P25" t="s">
        <v>516</v>
      </c>
      <c r="R25" t="s">
        <v>316</v>
      </c>
      <c r="S25" t="s">
        <v>67</v>
      </c>
      <c r="U25" t="s">
        <v>317</v>
      </c>
      <c r="V25" t="s">
        <v>514</v>
      </c>
      <c r="W25" t="s">
        <v>104</v>
      </c>
      <c r="X25" t="s">
        <v>517</v>
      </c>
      <c r="Y25" t="s">
        <v>105</v>
      </c>
      <c r="Z25" t="s">
        <v>515</v>
      </c>
      <c r="AA25" s="3" t="s">
        <v>518</v>
      </c>
      <c r="AB25" t="s">
        <v>519</v>
      </c>
      <c r="AC25" t="s">
        <v>46</v>
      </c>
      <c r="AD25" t="s">
        <v>30</v>
      </c>
      <c r="AE25" t="s">
        <v>520</v>
      </c>
      <c r="AF25" t="s">
        <v>13</v>
      </c>
      <c r="AG25" s="3" t="s">
        <v>521</v>
      </c>
      <c r="AH25" t="s">
        <v>516</v>
      </c>
      <c r="AI25" t="s">
        <v>67</v>
      </c>
      <c r="AJ25" t="s">
        <v>316</v>
      </c>
    </row>
    <row r="26" spans="2:36" x14ac:dyDescent="0.35">
      <c r="B26" t="s">
        <v>522</v>
      </c>
      <c r="C26" t="s">
        <v>523</v>
      </c>
      <c r="D26" t="s">
        <v>19</v>
      </c>
      <c r="E26" t="s">
        <v>524</v>
      </c>
      <c r="P26" t="s">
        <v>525</v>
      </c>
      <c r="R26" t="s">
        <v>316</v>
      </c>
      <c r="S26" t="s">
        <v>67</v>
      </c>
      <c r="U26" t="s">
        <v>317</v>
      </c>
      <c r="V26" t="s">
        <v>522</v>
      </c>
      <c r="W26" t="s">
        <v>523</v>
      </c>
      <c r="X26" t="s">
        <v>526</v>
      </c>
      <c r="Y26" t="s">
        <v>527</v>
      </c>
      <c r="Z26" t="s">
        <v>524</v>
      </c>
      <c r="AA26" s="3" t="s">
        <v>528</v>
      </c>
      <c r="AB26" t="s">
        <v>529</v>
      </c>
      <c r="AC26" t="s">
        <v>52</v>
      </c>
      <c r="AD26" t="s">
        <v>2</v>
      </c>
      <c r="AE26" t="s">
        <v>530</v>
      </c>
      <c r="AF26" t="s">
        <v>531</v>
      </c>
      <c r="AG26" s="3" t="s">
        <v>532</v>
      </c>
      <c r="AH26" t="s">
        <v>525</v>
      </c>
      <c r="AI26" t="s">
        <v>67</v>
      </c>
      <c r="AJ26" t="s">
        <v>316</v>
      </c>
    </row>
    <row r="27" spans="2:36" x14ac:dyDescent="0.35">
      <c r="B27" t="s">
        <v>533</v>
      </c>
      <c r="C27" t="s">
        <v>534</v>
      </c>
      <c r="D27" t="s">
        <v>0</v>
      </c>
      <c r="E27" t="s">
        <v>535</v>
      </c>
      <c r="P27" t="s">
        <v>536</v>
      </c>
      <c r="R27" t="s">
        <v>316</v>
      </c>
      <c r="S27" t="s">
        <v>67</v>
      </c>
      <c r="U27" t="s">
        <v>317</v>
      </c>
      <c r="V27" t="s">
        <v>533</v>
      </c>
      <c r="W27" t="s">
        <v>534</v>
      </c>
      <c r="X27" t="s">
        <v>537</v>
      </c>
      <c r="Y27" t="s">
        <v>82</v>
      </c>
      <c r="Z27" t="s">
        <v>535</v>
      </c>
      <c r="AA27" s="3" t="s">
        <v>538</v>
      </c>
      <c r="AB27" t="s">
        <v>539</v>
      </c>
      <c r="AC27" t="s">
        <v>51</v>
      </c>
      <c r="AD27" t="s">
        <v>7</v>
      </c>
      <c r="AE27" t="s">
        <v>540</v>
      </c>
      <c r="AF27" t="s">
        <v>0</v>
      </c>
      <c r="AG27" s="3" t="s">
        <v>541</v>
      </c>
      <c r="AH27" t="s">
        <v>536</v>
      </c>
      <c r="AI27" t="s">
        <v>67</v>
      </c>
      <c r="AJ27" t="s">
        <v>316</v>
      </c>
    </row>
    <row r="28" spans="2:36" x14ac:dyDescent="0.35">
      <c r="B28" t="s">
        <v>90</v>
      </c>
      <c r="C28" t="s">
        <v>542</v>
      </c>
      <c r="D28" t="s">
        <v>11</v>
      </c>
      <c r="E28" t="s">
        <v>543</v>
      </c>
      <c r="P28" t="s">
        <v>544</v>
      </c>
      <c r="R28" t="s">
        <v>545</v>
      </c>
      <c r="S28" t="s">
        <v>67</v>
      </c>
      <c r="U28" t="s">
        <v>317</v>
      </c>
      <c r="V28" t="s">
        <v>90</v>
      </c>
      <c r="W28" t="s">
        <v>542</v>
      </c>
      <c r="X28" t="s">
        <v>546</v>
      </c>
      <c r="Y28" t="s">
        <v>527</v>
      </c>
      <c r="Z28" t="s">
        <v>543</v>
      </c>
      <c r="AA28" s="3" t="s">
        <v>547</v>
      </c>
      <c r="AB28" t="s">
        <v>548</v>
      </c>
      <c r="AC28" t="s">
        <v>91</v>
      </c>
      <c r="AD28" t="s">
        <v>30</v>
      </c>
      <c r="AE28" t="s">
        <v>549</v>
      </c>
      <c r="AF28" t="s">
        <v>11</v>
      </c>
      <c r="AG28" s="3" t="s">
        <v>550</v>
      </c>
      <c r="AH28" t="s">
        <v>544</v>
      </c>
      <c r="AI28" t="s">
        <v>67</v>
      </c>
      <c r="AJ28" t="s">
        <v>545</v>
      </c>
    </row>
    <row r="29" spans="2:36" x14ac:dyDescent="0.35">
      <c r="B29" t="s">
        <v>551</v>
      </c>
      <c r="C29" t="s">
        <v>552</v>
      </c>
      <c r="D29" t="s">
        <v>3</v>
      </c>
      <c r="E29" t="s">
        <v>553</v>
      </c>
      <c r="P29" t="s">
        <v>554</v>
      </c>
      <c r="R29" t="s">
        <v>316</v>
      </c>
      <c r="S29" t="s">
        <v>67</v>
      </c>
      <c r="U29" t="s">
        <v>317</v>
      </c>
      <c r="V29" t="s">
        <v>551</v>
      </c>
      <c r="W29" t="s">
        <v>552</v>
      </c>
      <c r="X29" t="s">
        <v>555</v>
      </c>
      <c r="Y29" t="s">
        <v>92</v>
      </c>
      <c r="Z29" t="s">
        <v>553</v>
      </c>
      <c r="AA29" s="3" t="s">
        <v>556</v>
      </c>
      <c r="AB29" t="s">
        <v>557</v>
      </c>
      <c r="AC29" t="s">
        <v>34</v>
      </c>
      <c r="AD29" t="s">
        <v>33</v>
      </c>
      <c r="AE29" t="s">
        <v>558</v>
      </c>
      <c r="AF29" t="s">
        <v>3</v>
      </c>
      <c r="AG29" s="3" t="s">
        <v>559</v>
      </c>
      <c r="AH29" t="s">
        <v>554</v>
      </c>
      <c r="AI29" t="s">
        <v>67</v>
      </c>
      <c r="AJ29" t="s">
        <v>316</v>
      </c>
    </row>
    <row r="30" spans="2:36" x14ac:dyDescent="0.35">
      <c r="B30" t="s">
        <v>560</v>
      </c>
      <c r="C30" t="s">
        <v>561</v>
      </c>
      <c r="D30" t="s">
        <v>17</v>
      </c>
      <c r="E30" t="s">
        <v>562</v>
      </c>
      <c r="P30" t="s">
        <v>563</v>
      </c>
      <c r="R30" t="s">
        <v>564</v>
      </c>
      <c r="S30" t="s">
        <v>67</v>
      </c>
      <c r="U30" t="s">
        <v>317</v>
      </c>
      <c r="V30" t="s">
        <v>560</v>
      </c>
      <c r="W30" t="s">
        <v>561</v>
      </c>
      <c r="X30" t="s">
        <v>565</v>
      </c>
      <c r="Y30" t="s">
        <v>566</v>
      </c>
      <c r="Z30" t="s">
        <v>562</v>
      </c>
      <c r="AA30" s="3" t="s">
        <v>567</v>
      </c>
      <c r="AB30" t="s">
        <v>568</v>
      </c>
      <c r="AC30" t="s">
        <v>10</v>
      </c>
      <c r="AD30" t="s">
        <v>7</v>
      </c>
      <c r="AF30" t="s">
        <v>569</v>
      </c>
      <c r="AG30" s="3" t="s">
        <v>570</v>
      </c>
      <c r="AH30" t="s">
        <v>563</v>
      </c>
      <c r="AI30" t="s">
        <v>67</v>
      </c>
      <c r="AJ30" t="s">
        <v>564</v>
      </c>
    </row>
    <row r="31" spans="2:36" x14ac:dyDescent="0.35">
      <c r="B31" t="s">
        <v>246</v>
      </c>
      <c r="C31" t="s">
        <v>571</v>
      </c>
      <c r="D31" t="s">
        <v>19</v>
      </c>
      <c r="E31" t="s">
        <v>248</v>
      </c>
      <c r="P31" t="s">
        <v>249</v>
      </c>
      <c r="R31" t="s">
        <v>572</v>
      </c>
      <c r="S31" t="s">
        <v>67</v>
      </c>
      <c r="U31" t="s">
        <v>317</v>
      </c>
      <c r="V31" t="s">
        <v>246</v>
      </c>
      <c r="W31" t="s">
        <v>571</v>
      </c>
      <c r="X31" t="s">
        <v>573</v>
      </c>
      <c r="Y31" t="s">
        <v>251</v>
      </c>
      <c r="Z31" t="s">
        <v>248</v>
      </c>
      <c r="AA31" s="3" t="s">
        <v>574</v>
      </c>
      <c r="AB31" t="s">
        <v>575</v>
      </c>
      <c r="AC31" t="s">
        <v>4</v>
      </c>
      <c r="AD31" t="s">
        <v>30</v>
      </c>
      <c r="AE31" t="s">
        <v>252</v>
      </c>
      <c r="AF31" t="s">
        <v>253</v>
      </c>
      <c r="AG31" s="3" t="s">
        <v>576</v>
      </c>
      <c r="AH31" t="s">
        <v>249</v>
      </c>
      <c r="AI31" t="s">
        <v>67</v>
      </c>
      <c r="AJ31" t="s">
        <v>572</v>
      </c>
    </row>
    <row r="32" spans="2:36" x14ac:dyDescent="0.35">
      <c r="B32" t="s">
        <v>577</v>
      </c>
      <c r="C32" t="s">
        <v>107</v>
      </c>
      <c r="D32" t="s">
        <v>17</v>
      </c>
      <c r="E32" t="s">
        <v>578</v>
      </c>
      <c r="P32" t="s">
        <v>579</v>
      </c>
      <c r="R32" t="s">
        <v>316</v>
      </c>
      <c r="S32" t="s">
        <v>67</v>
      </c>
      <c r="U32" t="s">
        <v>317</v>
      </c>
      <c r="V32" t="s">
        <v>577</v>
      </c>
      <c r="W32" t="s">
        <v>107</v>
      </c>
      <c r="X32" t="s">
        <v>580</v>
      </c>
      <c r="Y32" t="s">
        <v>108</v>
      </c>
      <c r="Z32" t="s">
        <v>578</v>
      </c>
      <c r="AA32" s="3" t="s">
        <v>581</v>
      </c>
      <c r="AB32" t="s">
        <v>582</v>
      </c>
      <c r="AC32" t="s">
        <v>37</v>
      </c>
      <c r="AD32" t="s">
        <v>30</v>
      </c>
      <c r="AE32" t="s">
        <v>583</v>
      </c>
      <c r="AF32" t="s">
        <v>17</v>
      </c>
      <c r="AG32" s="3" t="s">
        <v>584</v>
      </c>
      <c r="AH32" t="s">
        <v>579</v>
      </c>
      <c r="AI32" t="s">
        <v>67</v>
      </c>
      <c r="AJ32" t="s">
        <v>316</v>
      </c>
    </row>
    <row r="33" spans="2:37" x14ac:dyDescent="0.35">
      <c r="B33" t="s">
        <v>585</v>
      </c>
      <c r="C33" t="s">
        <v>586</v>
      </c>
      <c r="D33" t="s">
        <v>17</v>
      </c>
      <c r="E33" t="s">
        <v>587</v>
      </c>
      <c r="P33" t="s">
        <v>588</v>
      </c>
      <c r="R33" t="s">
        <v>316</v>
      </c>
      <c r="S33" t="s">
        <v>67</v>
      </c>
      <c r="U33" t="s">
        <v>317</v>
      </c>
      <c r="V33" t="s">
        <v>585</v>
      </c>
      <c r="W33" t="s">
        <v>586</v>
      </c>
      <c r="X33" t="s">
        <v>589</v>
      </c>
      <c r="Y33" t="s">
        <v>174</v>
      </c>
      <c r="Z33" t="s">
        <v>587</v>
      </c>
      <c r="AB33" t="s">
        <v>590</v>
      </c>
      <c r="AC33" t="s">
        <v>33</v>
      </c>
      <c r="AD33" t="s">
        <v>33</v>
      </c>
      <c r="AF33" t="s">
        <v>591</v>
      </c>
      <c r="AG33" s="3" t="s">
        <v>592</v>
      </c>
      <c r="AH33" t="s">
        <v>588</v>
      </c>
      <c r="AI33" t="s">
        <v>67</v>
      </c>
      <c r="AJ33" t="s">
        <v>316</v>
      </c>
    </row>
    <row r="34" spans="2:37" x14ac:dyDescent="0.35">
      <c r="B34" t="s">
        <v>593</v>
      </c>
      <c r="C34" t="s">
        <v>594</v>
      </c>
      <c r="D34" t="s">
        <v>11</v>
      </c>
      <c r="E34" t="s">
        <v>595</v>
      </c>
      <c r="P34" t="s">
        <v>596</v>
      </c>
      <c r="R34" t="s">
        <v>471</v>
      </c>
      <c r="S34" t="s">
        <v>67</v>
      </c>
      <c r="U34" t="s">
        <v>317</v>
      </c>
      <c r="V34" t="s">
        <v>593</v>
      </c>
      <c r="W34" t="s">
        <v>594</v>
      </c>
      <c r="X34" t="s">
        <v>597</v>
      </c>
      <c r="Y34" t="s">
        <v>89</v>
      </c>
      <c r="Z34" t="s">
        <v>595</v>
      </c>
      <c r="AB34" t="s">
        <v>598</v>
      </c>
      <c r="AC34" t="s">
        <v>32</v>
      </c>
      <c r="AD34" t="s">
        <v>30</v>
      </c>
      <c r="AF34" t="s">
        <v>599</v>
      </c>
      <c r="AG34" s="3" t="s">
        <v>600</v>
      </c>
      <c r="AH34" t="s">
        <v>596</v>
      </c>
      <c r="AI34" t="s">
        <v>67</v>
      </c>
      <c r="AJ34" t="s">
        <v>471</v>
      </c>
    </row>
    <row r="35" spans="2:37" x14ac:dyDescent="0.35">
      <c r="B35" t="s">
        <v>601</v>
      </c>
      <c r="C35" t="s">
        <v>77</v>
      </c>
      <c r="D35" t="s">
        <v>13</v>
      </c>
      <c r="E35" t="s">
        <v>602</v>
      </c>
      <c r="P35" t="s">
        <v>603</v>
      </c>
      <c r="R35" t="s">
        <v>316</v>
      </c>
      <c r="S35" t="s">
        <v>67</v>
      </c>
      <c r="U35" t="s">
        <v>317</v>
      </c>
      <c r="V35" t="s">
        <v>601</v>
      </c>
      <c r="W35" t="s">
        <v>77</v>
      </c>
      <c r="X35" t="s">
        <v>604</v>
      </c>
      <c r="Y35" t="s">
        <v>82</v>
      </c>
      <c r="Z35" t="s">
        <v>602</v>
      </c>
      <c r="AA35" s="3" t="s">
        <v>605</v>
      </c>
      <c r="AB35" t="s">
        <v>606</v>
      </c>
      <c r="AC35" t="s">
        <v>44</v>
      </c>
      <c r="AD35" t="s">
        <v>7</v>
      </c>
      <c r="AE35" t="s">
        <v>607</v>
      </c>
      <c r="AF35" t="s">
        <v>608</v>
      </c>
      <c r="AG35" s="3" t="s">
        <v>609</v>
      </c>
      <c r="AH35" t="s">
        <v>603</v>
      </c>
      <c r="AI35" t="s">
        <v>67</v>
      </c>
      <c r="AJ35" t="s">
        <v>316</v>
      </c>
    </row>
    <row r="36" spans="2:37" x14ac:dyDescent="0.35">
      <c r="B36" t="s">
        <v>610</v>
      </c>
      <c r="C36" t="s">
        <v>611</v>
      </c>
      <c r="D36" t="s">
        <v>0</v>
      </c>
      <c r="E36" t="s">
        <v>612</v>
      </c>
      <c r="P36" t="s">
        <v>613</v>
      </c>
      <c r="R36" t="s">
        <v>316</v>
      </c>
      <c r="S36" t="s">
        <v>67</v>
      </c>
      <c r="U36" t="s">
        <v>317</v>
      </c>
      <c r="V36" t="s">
        <v>610</v>
      </c>
      <c r="W36" t="s">
        <v>611</v>
      </c>
      <c r="X36" t="s">
        <v>614</v>
      </c>
      <c r="Y36" t="s">
        <v>69</v>
      </c>
      <c r="Z36" t="s">
        <v>612</v>
      </c>
      <c r="AA36" s="3" t="s">
        <v>615</v>
      </c>
      <c r="AB36" t="s">
        <v>616</v>
      </c>
      <c r="AC36" t="s">
        <v>37</v>
      </c>
      <c r="AD36" t="s">
        <v>20</v>
      </c>
      <c r="AE36" t="s">
        <v>617</v>
      </c>
      <c r="AF36" t="s">
        <v>0</v>
      </c>
      <c r="AG36" s="3" t="s">
        <v>618</v>
      </c>
      <c r="AH36" t="s">
        <v>613</v>
      </c>
      <c r="AI36" t="s">
        <v>67</v>
      </c>
      <c r="AJ36" t="s">
        <v>316</v>
      </c>
    </row>
    <row r="37" spans="2:37" x14ac:dyDescent="0.35">
      <c r="B37" t="s">
        <v>619</v>
      </c>
      <c r="C37" t="s">
        <v>620</v>
      </c>
      <c r="D37" t="s">
        <v>11</v>
      </c>
      <c r="E37" t="s">
        <v>621</v>
      </c>
      <c r="P37" t="s">
        <v>622</v>
      </c>
      <c r="R37" t="s">
        <v>316</v>
      </c>
      <c r="S37" t="s">
        <v>67</v>
      </c>
      <c r="U37" t="s">
        <v>317</v>
      </c>
      <c r="V37" t="s">
        <v>619</v>
      </c>
      <c r="W37" t="s">
        <v>620</v>
      </c>
      <c r="X37" t="s">
        <v>623</v>
      </c>
      <c r="Y37" t="s">
        <v>624</v>
      </c>
      <c r="Z37" t="s">
        <v>621</v>
      </c>
      <c r="AA37" s="3" t="s">
        <v>625</v>
      </c>
      <c r="AB37" t="s">
        <v>626</v>
      </c>
      <c r="AC37" t="s">
        <v>48</v>
      </c>
      <c r="AD37" t="s">
        <v>4</v>
      </c>
      <c r="AE37" t="s">
        <v>627</v>
      </c>
      <c r="AF37" t="s">
        <v>11</v>
      </c>
      <c r="AG37" s="3" t="s">
        <v>628</v>
      </c>
      <c r="AH37" t="s">
        <v>622</v>
      </c>
      <c r="AI37" t="s">
        <v>67</v>
      </c>
      <c r="AJ37" t="s">
        <v>316</v>
      </c>
    </row>
    <row r="38" spans="2:37" x14ac:dyDescent="0.35">
      <c r="B38" t="s">
        <v>629</v>
      </c>
      <c r="C38" t="s">
        <v>630</v>
      </c>
      <c r="D38" t="s">
        <v>11</v>
      </c>
      <c r="E38" t="s">
        <v>631</v>
      </c>
      <c r="P38" t="s">
        <v>632</v>
      </c>
      <c r="R38" t="s">
        <v>316</v>
      </c>
      <c r="S38" t="s">
        <v>67</v>
      </c>
      <c r="U38" t="s">
        <v>317</v>
      </c>
      <c r="V38" t="s">
        <v>629</v>
      </c>
      <c r="W38" t="s">
        <v>630</v>
      </c>
      <c r="X38" t="s">
        <v>633</v>
      </c>
      <c r="Y38" t="s">
        <v>634</v>
      </c>
      <c r="Z38" t="s">
        <v>631</v>
      </c>
      <c r="AA38" s="3" t="s">
        <v>635</v>
      </c>
      <c r="AB38" t="s">
        <v>636</v>
      </c>
      <c r="AC38" t="s">
        <v>27</v>
      </c>
      <c r="AF38" t="s">
        <v>637</v>
      </c>
      <c r="AG38" s="3" t="s">
        <v>638</v>
      </c>
      <c r="AH38" t="s">
        <v>632</v>
      </c>
      <c r="AI38" t="s">
        <v>67</v>
      </c>
      <c r="AJ38" t="s">
        <v>316</v>
      </c>
    </row>
    <row r="39" spans="2:37" x14ac:dyDescent="0.35">
      <c r="B39" t="s">
        <v>259</v>
      </c>
      <c r="C39" t="s">
        <v>639</v>
      </c>
      <c r="D39" t="s">
        <v>11</v>
      </c>
      <c r="E39" t="s">
        <v>261</v>
      </c>
      <c r="P39" t="s">
        <v>262</v>
      </c>
      <c r="R39" t="s">
        <v>316</v>
      </c>
      <c r="S39" t="s">
        <v>67</v>
      </c>
      <c r="U39" t="s">
        <v>317</v>
      </c>
      <c r="V39" t="s">
        <v>259</v>
      </c>
      <c r="W39" t="s">
        <v>639</v>
      </c>
      <c r="X39" t="s">
        <v>640</v>
      </c>
      <c r="Y39" t="s">
        <v>264</v>
      </c>
      <c r="Z39" t="s">
        <v>261</v>
      </c>
      <c r="AA39" s="3" t="s">
        <v>641</v>
      </c>
      <c r="AB39" t="s">
        <v>642</v>
      </c>
      <c r="AC39" t="s">
        <v>29</v>
      </c>
      <c r="AD39" t="s">
        <v>2</v>
      </c>
      <c r="AE39" t="s">
        <v>265</v>
      </c>
      <c r="AF39" t="s">
        <v>11</v>
      </c>
      <c r="AG39" s="3" t="s">
        <v>643</v>
      </c>
      <c r="AH39" t="s">
        <v>262</v>
      </c>
      <c r="AI39" t="s">
        <v>67</v>
      </c>
      <c r="AJ39" t="s">
        <v>316</v>
      </c>
      <c r="AK39" t="s">
        <v>644</v>
      </c>
    </row>
    <row r="40" spans="2:37" x14ac:dyDescent="0.35">
      <c r="B40" t="s">
        <v>645</v>
      </c>
      <c r="C40" t="s">
        <v>646</v>
      </c>
      <c r="D40" t="s">
        <v>6</v>
      </c>
      <c r="E40" t="s">
        <v>647</v>
      </c>
      <c r="P40" t="s">
        <v>648</v>
      </c>
      <c r="R40" t="s">
        <v>316</v>
      </c>
      <c r="S40" t="s">
        <v>67</v>
      </c>
      <c r="U40" t="s">
        <v>317</v>
      </c>
      <c r="V40" t="s">
        <v>645</v>
      </c>
      <c r="W40" t="s">
        <v>646</v>
      </c>
      <c r="X40" t="s">
        <v>649</v>
      </c>
      <c r="Y40" t="s">
        <v>73</v>
      </c>
      <c r="Z40" t="s">
        <v>647</v>
      </c>
      <c r="AA40" s="3" t="s">
        <v>650</v>
      </c>
      <c r="AB40" t="s">
        <v>651</v>
      </c>
      <c r="AC40" t="s">
        <v>29</v>
      </c>
      <c r="AD40" t="s">
        <v>2</v>
      </c>
      <c r="AE40" t="s">
        <v>652</v>
      </c>
      <c r="AF40" t="s">
        <v>6</v>
      </c>
      <c r="AG40" s="3" t="s">
        <v>653</v>
      </c>
      <c r="AH40" t="s">
        <v>648</v>
      </c>
      <c r="AI40" t="s">
        <v>67</v>
      </c>
      <c r="AJ40" t="s">
        <v>316</v>
      </c>
      <c r="AK40" t="s">
        <v>654</v>
      </c>
    </row>
    <row r="41" spans="2:37" x14ac:dyDescent="0.35">
      <c r="B41" t="s">
        <v>655</v>
      </c>
      <c r="C41" t="s">
        <v>656</v>
      </c>
      <c r="D41" t="s">
        <v>17</v>
      </c>
      <c r="E41" t="s">
        <v>657</v>
      </c>
      <c r="P41" t="s">
        <v>658</v>
      </c>
      <c r="R41" t="s">
        <v>316</v>
      </c>
      <c r="S41" t="s">
        <v>67</v>
      </c>
      <c r="U41" t="s">
        <v>317</v>
      </c>
      <c r="V41" t="s">
        <v>655</v>
      </c>
      <c r="W41" t="s">
        <v>656</v>
      </c>
      <c r="X41" t="s">
        <v>659</v>
      </c>
      <c r="Y41" t="s">
        <v>106</v>
      </c>
      <c r="Z41" t="s">
        <v>657</v>
      </c>
      <c r="AA41" s="3" t="s">
        <v>660</v>
      </c>
      <c r="AB41" t="s">
        <v>661</v>
      </c>
      <c r="AC41" t="s">
        <v>18</v>
      </c>
      <c r="AD41" t="s">
        <v>2</v>
      </c>
      <c r="AE41" t="s">
        <v>662</v>
      </c>
      <c r="AF41" t="s">
        <v>663</v>
      </c>
      <c r="AG41" s="3" t="s">
        <v>664</v>
      </c>
      <c r="AH41" t="s">
        <v>658</v>
      </c>
      <c r="AI41" t="s">
        <v>67</v>
      </c>
      <c r="AJ41" t="s">
        <v>316</v>
      </c>
    </row>
    <row r="42" spans="2:37" x14ac:dyDescent="0.35">
      <c r="B42" t="s">
        <v>100</v>
      </c>
      <c r="C42" t="s">
        <v>665</v>
      </c>
      <c r="D42" t="s">
        <v>13</v>
      </c>
      <c r="E42" t="s">
        <v>666</v>
      </c>
      <c r="P42" t="s">
        <v>667</v>
      </c>
      <c r="R42" t="s">
        <v>316</v>
      </c>
      <c r="S42" t="s">
        <v>67</v>
      </c>
      <c r="U42" t="s">
        <v>317</v>
      </c>
      <c r="V42" t="s">
        <v>100</v>
      </c>
      <c r="W42" t="s">
        <v>665</v>
      </c>
      <c r="X42" t="s">
        <v>668</v>
      </c>
      <c r="Y42" t="s">
        <v>101</v>
      </c>
      <c r="Z42" t="s">
        <v>666</v>
      </c>
      <c r="AB42" t="s">
        <v>669</v>
      </c>
      <c r="AC42" t="s">
        <v>9</v>
      </c>
      <c r="AD42" t="s">
        <v>12</v>
      </c>
      <c r="AE42" t="s">
        <v>670</v>
      </c>
      <c r="AF42" t="s">
        <v>199</v>
      </c>
      <c r="AG42" s="3" t="s">
        <v>671</v>
      </c>
      <c r="AH42" t="s">
        <v>667</v>
      </c>
      <c r="AI42" t="s">
        <v>67</v>
      </c>
      <c r="AJ42" t="s">
        <v>316</v>
      </c>
    </row>
    <row r="43" spans="2:37" x14ac:dyDescent="0.35">
      <c r="B43" t="s">
        <v>672</v>
      </c>
      <c r="C43" t="s">
        <v>673</v>
      </c>
      <c r="D43" t="s">
        <v>0</v>
      </c>
      <c r="E43" t="s">
        <v>674</v>
      </c>
      <c r="P43" t="s">
        <v>675</v>
      </c>
      <c r="R43" t="s">
        <v>316</v>
      </c>
      <c r="S43" t="s">
        <v>67</v>
      </c>
      <c r="U43" t="s">
        <v>317</v>
      </c>
      <c r="V43" t="s">
        <v>672</v>
      </c>
      <c r="W43" t="s">
        <v>673</v>
      </c>
      <c r="X43" t="s">
        <v>676</v>
      </c>
      <c r="Y43" t="s">
        <v>69</v>
      </c>
      <c r="Z43" t="s">
        <v>674</v>
      </c>
      <c r="AA43" s="3" t="s">
        <v>677</v>
      </c>
      <c r="AB43" t="s">
        <v>678</v>
      </c>
      <c r="AC43" t="s">
        <v>37</v>
      </c>
      <c r="AD43" t="s">
        <v>12</v>
      </c>
      <c r="AE43" t="s">
        <v>679</v>
      </c>
      <c r="AF43" t="s">
        <v>0</v>
      </c>
      <c r="AG43" s="3" t="s">
        <v>680</v>
      </c>
      <c r="AH43" t="s">
        <v>675</v>
      </c>
      <c r="AI43" t="s">
        <v>67</v>
      </c>
      <c r="AJ43" t="s">
        <v>316</v>
      </c>
    </row>
    <row r="44" spans="2:37" x14ac:dyDescent="0.35">
      <c r="B44" t="s">
        <v>681</v>
      </c>
      <c r="C44" t="s">
        <v>95</v>
      </c>
      <c r="D44" t="s">
        <v>6</v>
      </c>
      <c r="E44" t="s">
        <v>682</v>
      </c>
      <c r="P44" t="s">
        <v>683</v>
      </c>
      <c r="R44" t="s">
        <v>471</v>
      </c>
      <c r="S44" t="s">
        <v>67</v>
      </c>
      <c r="U44" t="s">
        <v>317</v>
      </c>
      <c r="V44" t="s">
        <v>681</v>
      </c>
      <c r="W44" t="s">
        <v>95</v>
      </c>
      <c r="X44" t="s">
        <v>684</v>
      </c>
      <c r="Y44" t="s">
        <v>69</v>
      </c>
      <c r="Z44" t="s">
        <v>682</v>
      </c>
      <c r="AA44" s="3" t="s">
        <v>685</v>
      </c>
      <c r="AB44" t="s">
        <v>686</v>
      </c>
      <c r="AC44" t="s">
        <v>41</v>
      </c>
      <c r="AD44" t="s">
        <v>5</v>
      </c>
      <c r="AE44" t="s">
        <v>687</v>
      </c>
      <c r="AF44" t="s">
        <v>688</v>
      </c>
      <c r="AG44" s="3" t="s">
        <v>689</v>
      </c>
      <c r="AH44" t="s">
        <v>683</v>
      </c>
      <c r="AI44" t="s">
        <v>67</v>
      </c>
      <c r="AJ44" t="s">
        <v>471</v>
      </c>
    </row>
    <row r="45" spans="2:37" x14ac:dyDescent="0.35">
      <c r="B45" t="s">
        <v>690</v>
      </c>
      <c r="C45" t="s">
        <v>691</v>
      </c>
      <c r="D45" t="s">
        <v>11</v>
      </c>
      <c r="E45" t="s">
        <v>692</v>
      </c>
      <c r="P45" t="s">
        <v>693</v>
      </c>
      <c r="R45" t="s">
        <v>694</v>
      </c>
      <c r="S45" t="s">
        <v>67</v>
      </c>
      <c r="U45" t="s">
        <v>317</v>
      </c>
      <c r="V45" t="s">
        <v>690</v>
      </c>
      <c r="W45" t="s">
        <v>691</v>
      </c>
      <c r="X45" t="s">
        <v>695</v>
      </c>
      <c r="Y45" t="s">
        <v>69</v>
      </c>
      <c r="Z45" t="s">
        <v>692</v>
      </c>
      <c r="AA45" s="3" t="s">
        <v>696</v>
      </c>
      <c r="AB45" t="s">
        <v>697</v>
      </c>
      <c r="AC45" t="s">
        <v>31</v>
      </c>
      <c r="AD45" t="s">
        <v>30</v>
      </c>
      <c r="AE45" t="s">
        <v>698</v>
      </c>
      <c r="AF45" t="s">
        <v>11</v>
      </c>
      <c r="AG45" s="3" t="s">
        <v>699</v>
      </c>
      <c r="AH45" t="s">
        <v>693</v>
      </c>
      <c r="AI45" t="s">
        <v>67</v>
      </c>
      <c r="AJ45" t="s">
        <v>694</v>
      </c>
    </row>
    <row r="46" spans="2:37" x14ac:dyDescent="0.35">
      <c r="B46" t="s">
        <v>700</v>
      </c>
      <c r="C46" t="s">
        <v>701</v>
      </c>
      <c r="D46" t="s">
        <v>22</v>
      </c>
      <c r="E46" t="s">
        <v>702</v>
      </c>
      <c r="P46" t="s">
        <v>703</v>
      </c>
      <c r="R46" t="s">
        <v>316</v>
      </c>
      <c r="S46" t="s">
        <v>67</v>
      </c>
      <c r="U46" t="s">
        <v>317</v>
      </c>
      <c r="V46" t="s">
        <v>700</v>
      </c>
      <c r="W46" t="s">
        <v>701</v>
      </c>
      <c r="X46" t="s">
        <v>704</v>
      </c>
      <c r="Y46" t="s">
        <v>705</v>
      </c>
      <c r="Z46" t="s">
        <v>702</v>
      </c>
      <c r="AB46" t="s">
        <v>706</v>
      </c>
      <c r="AC46" t="s">
        <v>33</v>
      </c>
      <c r="AD46" t="s">
        <v>30</v>
      </c>
      <c r="AF46" t="s">
        <v>707</v>
      </c>
      <c r="AG46" s="3" t="s">
        <v>708</v>
      </c>
      <c r="AH46" t="s">
        <v>703</v>
      </c>
      <c r="AI46" t="s">
        <v>67</v>
      </c>
      <c r="AJ46" t="s">
        <v>316</v>
      </c>
    </row>
    <row r="47" spans="2:37" x14ac:dyDescent="0.35">
      <c r="B47" t="s">
        <v>709</v>
      </c>
      <c r="C47" t="s">
        <v>710</v>
      </c>
      <c r="D47" t="s">
        <v>3</v>
      </c>
      <c r="E47" t="s">
        <v>711</v>
      </c>
      <c r="P47" t="s">
        <v>712</v>
      </c>
      <c r="R47" t="s">
        <v>316</v>
      </c>
      <c r="S47" t="s">
        <v>67</v>
      </c>
      <c r="U47" t="s">
        <v>317</v>
      </c>
      <c r="V47" t="s">
        <v>709</v>
      </c>
      <c r="W47" t="s">
        <v>710</v>
      </c>
      <c r="X47" t="s">
        <v>713</v>
      </c>
      <c r="Y47" t="s">
        <v>498</v>
      </c>
      <c r="Z47" t="s">
        <v>711</v>
      </c>
      <c r="AA47" s="3" t="s">
        <v>714</v>
      </c>
      <c r="AB47" t="s">
        <v>715</v>
      </c>
      <c r="AC47" t="s">
        <v>21</v>
      </c>
      <c r="AD47" t="s">
        <v>33</v>
      </c>
      <c r="AE47" t="s">
        <v>716</v>
      </c>
      <c r="AF47" t="s">
        <v>717</v>
      </c>
      <c r="AG47" s="3" t="s">
        <v>718</v>
      </c>
      <c r="AH47" t="s">
        <v>712</v>
      </c>
      <c r="AI47" t="s">
        <v>67</v>
      </c>
      <c r="AJ47" t="s">
        <v>316</v>
      </c>
    </row>
    <row r="48" spans="2:37" x14ac:dyDescent="0.35">
      <c r="B48" t="s">
        <v>719</v>
      </c>
      <c r="C48" t="s">
        <v>720</v>
      </c>
      <c r="D48" t="s">
        <v>0</v>
      </c>
      <c r="E48" t="s">
        <v>721</v>
      </c>
      <c r="P48" t="s">
        <v>722</v>
      </c>
      <c r="R48" t="s">
        <v>471</v>
      </c>
      <c r="S48" t="s">
        <v>67</v>
      </c>
      <c r="U48" t="s">
        <v>317</v>
      </c>
      <c r="V48" t="s">
        <v>719</v>
      </c>
      <c r="W48" t="s">
        <v>720</v>
      </c>
      <c r="X48" t="s">
        <v>723</v>
      </c>
      <c r="Y48" t="s">
        <v>71</v>
      </c>
      <c r="Z48" t="s">
        <v>721</v>
      </c>
      <c r="AA48" s="3" t="s">
        <v>724</v>
      </c>
      <c r="AB48" t="s">
        <v>725</v>
      </c>
      <c r="AC48" t="s">
        <v>72</v>
      </c>
      <c r="AD48" t="s">
        <v>33</v>
      </c>
      <c r="AE48" t="s">
        <v>726</v>
      </c>
      <c r="AF48" t="s">
        <v>0</v>
      </c>
      <c r="AG48" s="3" t="s">
        <v>727</v>
      </c>
      <c r="AH48" t="s">
        <v>722</v>
      </c>
      <c r="AI48" t="s">
        <v>67</v>
      </c>
      <c r="AJ48" t="s">
        <v>471</v>
      </c>
    </row>
    <row r="49" spans="2:37" x14ac:dyDescent="0.35">
      <c r="B49" t="s">
        <v>88</v>
      </c>
      <c r="C49" t="s">
        <v>728</v>
      </c>
      <c r="D49" t="s">
        <v>11</v>
      </c>
      <c r="E49" t="s">
        <v>729</v>
      </c>
      <c r="P49" t="s">
        <v>730</v>
      </c>
      <c r="R49" t="s">
        <v>471</v>
      </c>
      <c r="S49" t="s">
        <v>67</v>
      </c>
      <c r="U49" t="s">
        <v>317</v>
      </c>
      <c r="V49" t="s">
        <v>88</v>
      </c>
      <c r="W49" t="s">
        <v>728</v>
      </c>
      <c r="X49" t="s">
        <v>731</v>
      </c>
      <c r="Y49" t="s">
        <v>78</v>
      </c>
      <c r="Z49" t="s">
        <v>729</v>
      </c>
      <c r="AA49" s="3" t="s">
        <v>732</v>
      </c>
      <c r="AB49" t="s">
        <v>733</v>
      </c>
      <c r="AC49" t="s">
        <v>39</v>
      </c>
      <c r="AD49" t="s">
        <v>33</v>
      </c>
      <c r="AF49" t="s">
        <v>734</v>
      </c>
      <c r="AG49" s="3" t="s">
        <v>735</v>
      </c>
      <c r="AH49" t="s">
        <v>730</v>
      </c>
      <c r="AI49" t="s">
        <v>67</v>
      </c>
      <c r="AJ49" t="s">
        <v>471</v>
      </c>
    </row>
    <row r="50" spans="2:37" x14ac:dyDescent="0.35">
      <c r="B50" t="s">
        <v>736</v>
      </c>
      <c r="C50" t="s">
        <v>737</v>
      </c>
      <c r="D50" t="s">
        <v>0</v>
      </c>
      <c r="E50" t="s">
        <v>738</v>
      </c>
      <c r="P50" t="s">
        <v>739</v>
      </c>
      <c r="R50" t="s">
        <v>564</v>
      </c>
      <c r="S50" t="s">
        <v>67</v>
      </c>
      <c r="U50" t="s">
        <v>317</v>
      </c>
      <c r="V50" t="s">
        <v>736</v>
      </c>
      <c r="W50" t="s">
        <v>737</v>
      </c>
      <c r="X50" t="s">
        <v>740</v>
      </c>
      <c r="Y50" t="s">
        <v>566</v>
      </c>
      <c r="Z50" t="s">
        <v>738</v>
      </c>
      <c r="AA50" s="3" t="s">
        <v>741</v>
      </c>
      <c r="AB50" t="s">
        <v>742</v>
      </c>
      <c r="AC50" t="s">
        <v>16</v>
      </c>
      <c r="AD50" t="s">
        <v>30</v>
      </c>
      <c r="AF50" t="s">
        <v>0</v>
      </c>
      <c r="AG50" s="3" t="s">
        <v>743</v>
      </c>
      <c r="AH50" t="s">
        <v>739</v>
      </c>
      <c r="AI50" t="s">
        <v>67</v>
      </c>
      <c r="AJ50" t="s">
        <v>564</v>
      </c>
    </row>
    <row r="51" spans="2:37" x14ac:dyDescent="0.35">
      <c r="B51" t="s">
        <v>744</v>
      </c>
      <c r="C51" t="s">
        <v>745</v>
      </c>
      <c r="D51" t="s">
        <v>17</v>
      </c>
      <c r="E51" t="s">
        <v>746</v>
      </c>
      <c r="P51" t="s">
        <v>747</v>
      </c>
      <c r="R51" t="s">
        <v>401</v>
      </c>
      <c r="U51" t="s">
        <v>317</v>
      </c>
      <c r="V51" t="s">
        <v>744</v>
      </c>
      <c r="W51" t="s">
        <v>745</v>
      </c>
      <c r="X51" t="s">
        <v>748</v>
      </c>
      <c r="Y51" t="s">
        <v>403</v>
      </c>
      <c r="Z51" t="s">
        <v>746</v>
      </c>
      <c r="AA51" s="3" t="s">
        <v>749</v>
      </c>
      <c r="AB51" t="s">
        <v>750</v>
      </c>
      <c r="AF51" t="s">
        <v>17</v>
      </c>
      <c r="AG51" s="3" t="s">
        <v>751</v>
      </c>
      <c r="AH51" t="s">
        <v>747</v>
      </c>
      <c r="AJ51" t="s">
        <v>401</v>
      </c>
    </row>
    <row r="52" spans="2:37" x14ac:dyDescent="0.35">
      <c r="B52" t="s">
        <v>752</v>
      </c>
      <c r="C52" t="s">
        <v>753</v>
      </c>
      <c r="D52" t="s">
        <v>6</v>
      </c>
      <c r="E52" t="s">
        <v>754</v>
      </c>
      <c r="P52" t="s">
        <v>755</v>
      </c>
      <c r="R52" t="s">
        <v>316</v>
      </c>
      <c r="S52" t="s">
        <v>67</v>
      </c>
      <c r="U52" t="s">
        <v>317</v>
      </c>
      <c r="V52" t="s">
        <v>752</v>
      </c>
      <c r="W52" t="s">
        <v>753</v>
      </c>
      <c r="X52" t="s">
        <v>756</v>
      </c>
      <c r="Y52" t="s">
        <v>78</v>
      </c>
      <c r="Z52" t="s">
        <v>754</v>
      </c>
      <c r="AA52" s="3" t="s">
        <v>757</v>
      </c>
      <c r="AB52" t="s">
        <v>758</v>
      </c>
      <c r="AC52" t="s">
        <v>759</v>
      </c>
      <c r="AD52" t="s">
        <v>4</v>
      </c>
      <c r="AE52" t="s">
        <v>760</v>
      </c>
      <c r="AF52" t="s">
        <v>6</v>
      </c>
      <c r="AG52" s="3" t="s">
        <v>761</v>
      </c>
      <c r="AH52" t="s">
        <v>755</v>
      </c>
      <c r="AI52" t="s">
        <v>67</v>
      </c>
      <c r="AJ52" t="s">
        <v>316</v>
      </c>
    </row>
    <row r="53" spans="2:37" x14ac:dyDescent="0.35">
      <c r="B53" t="s">
        <v>762</v>
      </c>
      <c r="C53" t="s">
        <v>763</v>
      </c>
      <c r="D53" t="s">
        <v>3</v>
      </c>
      <c r="E53" t="s">
        <v>764</v>
      </c>
      <c r="P53" t="s">
        <v>765</v>
      </c>
      <c r="R53" t="s">
        <v>316</v>
      </c>
      <c r="S53" t="s">
        <v>67</v>
      </c>
      <c r="U53" t="s">
        <v>317</v>
      </c>
      <c r="V53" t="s">
        <v>762</v>
      </c>
      <c r="W53" t="s">
        <v>763</v>
      </c>
      <c r="X53" t="s">
        <v>766</v>
      </c>
      <c r="Y53" t="s">
        <v>78</v>
      </c>
      <c r="Z53" t="s">
        <v>764</v>
      </c>
      <c r="AA53" s="3" t="s">
        <v>767</v>
      </c>
      <c r="AB53" t="s">
        <v>768</v>
      </c>
      <c r="AC53" t="s">
        <v>45</v>
      </c>
      <c r="AD53" t="s">
        <v>30</v>
      </c>
      <c r="AE53" t="s">
        <v>769</v>
      </c>
      <c r="AF53" t="s">
        <v>770</v>
      </c>
      <c r="AG53" s="3" t="s">
        <v>771</v>
      </c>
      <c r="AH53" t="s">
        <v>765</v>
      </c>
      <c r="AI53" t="s">
        <v>67</v>
      </c>
      <c r="AJ53" t="s">
        <v>316</v>
      </c>
      <c r="AK53" t="s">
        <v>772</v>
      </c>
    </row>
    <row r="54" spans="2:37" x14ac:dyDescent="0.35">
      <c r="B54" t="s">
        <v>773</v>
      </c>
      <c r="C54" t="s">
        <v>774</v>
      </c>
      <c r="D54" t="s">
        <v>17</v>
      </c>
      <c r="E54" t="s">
        <v>775</v>
      </c>
      <c r="P54" t="s">
        <v>776</v>
      </c>
      <c r="R54" t="s">
        <v>694</v>
      </c>
      <c r="S54" t="s">
        <v>67</v>
      </c>
      <c r="U54" t="s">
        <v>317</v>
      </c>
      <c r="V54" t="s">
        <v>773</v>
      </c>
      <c r="W54" t="s">
        <v>774</v>
      </c>
      <c r="X54" t="s">
        <v>777</v>
      </c>
      <c r="Y54" t="s">
        <v>778</v>
      </c>
      <c r="Z54" t="s">
        <v>775</v>
      </c>
      <c r="AA54" s="3" t="s">
        <v>779</v>
      </c>
      <c r="AB54" t="s">
        <v>780</v>
      </c>
      <c r="AC54" t="s">
        <v>15</v>
      </c>
      <c r="AD54" t="s">
        <v>2</v>
      </c>
      <c r="AF54" t="s">
        <v>17</v>
      </c>
      <c r="AG54" s="3" t="s">
        <v>781</v>
      </c>
      <c r="AH54" t="s">
        <v>776</v>
      </c>
      <c r="AI54" t="s">
        <v>67</v>
      </c>
      <c r="AJ54" t="s">
        <v>694</v>
      </c>
      <c r="AK54" t="s">
        <v>782</v>
      </c>
    </row>
    <row r="55" spans="2:37" x14ac:dyDescent="0.35">
      <c r="B55" t="s">
        <v>783</v>
      </c>
      <c r="C55" t="s">
        <v>784</v>
      </c>
      <c r="D55" t="s">
        <v>0</v>
      </c>
      <c r="E55" t="s">
        <v>785</v>
      </c>
      <c r="P55" t="s">
        <v>786</v>
      </c>
      <c r="R55" t="s">
        <v>316</v>
      </c>
      <c r="S55" t="s">
        <v>67</v>
      </c>
      <c r="U55" t="s">
        <v>317</v>
      </c>
      <c r="V55" t="s">
        <v>783</v>
      </c>
      <c r="W55" t="s">
        <v>784</v>
      </c>
      <c r="X55" t="s">
        <v>787</v>
      </c>
      <c r="Y55" t="s">
        <v>788</v>
      </c>
      <c r="Z55" t="s">
        <v>785</v>
      </c>
      <c r="AA55" s="3" t="s">
        <v>789</v>
      </c>
      <c r="AB55" t="s">
        <v>790</v>
      </c>
      <c r="AC55" t="s">
        <v>47</v>
      </c>
      <c r="AD55" t="s">
        <v>2</v>
      </c>
      <c r="AE55" t="s">
        <v>791</v>
      </c>
      <c r="AF55" t="s">
        <v>0</v>
      </c>
      <c r="AG55" s="3" t="s">
        <v>792</v>
      </c>
      <c r="AH55" t="s">
        <v>786</v>
      </c>
      <c r="AI55" t="s">
        <v>67</v>
      </c>
      <c r="AJ55" t="s">
        <v>316</v>
      </c>
    </row>
    <row r="56" spans="2:37" x14ac:dyDescent="0.35">
      <c r="B56" t="s">
        <v>793</v>
      </c>
      <c r="C56" t="s">
        <v>93</v>
      </c>
      <c r="D56" t="s">
        <v>6</v>
      </c>
      <c r="E56" t="s">
        <v>794</v>
      </c>
      <c r="P56" t="s">
        <v>795</v>
      </c>
      <c r="R56" t="s">
        <v>316</v>
      </c>
      <c r="S56" t="s">
        <v>67</v>
      </c>
      <c r="U56" t="s">
        <v>317</v>
      </c>
      <c r="V56" t="s">
        <v>793</v>
      </c>
      <c r="W56" t="s">
        <v>93</v>
      </c>
      <c r="X56" t="s">
        <v>796</v>
      </c>
      <c r="Y56" t="s">
        <v>69</v>
      </c>
      <c r="Z56" t="s">
        <v>794</v>
      </c>
      <c r="AA56" s="3" t="s">
        <v>797</v>
      </c>
      <c r="AB56" t="s">
        <v>798</v>
      </c>
      <c r="AC56" t="s">
        <v>41</v>
      </c>
      <c r="AD56" t="s">
        <v>12</v>
      </c>
      <c r="AE56" t="s">
        <v>799</v>
      </c>
      <c r="AF56" t="s">
        <v>800</v>
      </c>
      <c r="AG56" s="3" t="s">
        <v>801</v>
      </c>
      <c r="AH56" t="s">
        <v>795</v>
      </c>
      <c r="AI56" t="s">
        <v>67</v>
      </c>
      <c r="AJ56" t="s">
        <v>316</v>
      </c>
    </row>
    <row r="57" spans="2:37" x14ac:dyDescent="0.35">
      <c r="B57" t="s">
        <v>802</v>
      </c>
      <c r="C57" t="s">
        <v>803</v>
      </c>
      <c r="D57" t="s">
        <v>0</v>
      </c>
      <c r="E57" t="s">
        <v>804</v>
      </c>
      <c r="P57" t="s">
        <v>805</v>
      </c>
      <c r="R57" t="s">
        <v>471</v>
      </c>
      <c r="S57" t="s">
        <v>67</v>
      </c>
      <c r="U57" t="s">
        <v>317</v>
      </c>
      <c r="V57" t="s">
        <v>802</v>
      </c>
      <c r="W57" t="s">
        <v>803</v>
      </c>
      <c r="X57" t="s">
        <v>806</v>
      </c>
      <c r="Y57" t="s">
        <v>807</v>
      </c>
      <c r="Z57" t="s">
        <v>804</v>
      </c>
      <c r="AA57" s="3" t="s">
        <v>808</v>
      </c>
      <c r="AB57" t="s">
        <v>809</v>
      </c>
      <c r="AC57" t="s">
        <v>36</v>
      </c>
      <c r="AF57" t="s">
        <v>810</v>
      </c>
      <c r="AG57" s="3" t="s">
        <v>811</v>
      </c>
      <c r="AH57" t="s">
        <v>805</v>
      </c>
      <c r="AI57" t="s">
        <v>67</v>
      </c>
      <c r="AJ57" t="s">
        <v>471</v>
      </c>
    </row>
    <row r="58" spans="2:37" x14ac:dyDescent="0.35">
      <c r="B58" t="s">
        <v>812</v>
      </c>
      <c r="C58" t="s">
        <v>813</v>
      </c>
      <c r="D58" t="s">
        <v>0</v>
      </c>
      <c r="E58" t="s">
        <v>814</v>
      </c>
      <c r="P58" t="s">
        <v>815</v>
      </c>
      <c r="R58" t="s">
        <v>816</v>
      </c>
      <c r="S58" t="s">
        <v>67</v>
      </c>
      <c r="U58" t="s">
        <v>317</v>
      </c>
      <c r="V58" t="s">
        <v>812</v>
      </c>
      <c r="W58" t="s">
        <v>813</v>
      </c>
      <c r="X58" t="s">
        <v>817</v>
      </c>
      <c r="Y58" t="s">
        <v>108</v>
      </c>
      <c r="Z58" t="s">
        <v>814</v>
      </c>
      <c r="AA58" s="3" t="s">
        <v>818</v>
      </c>
      <c r="AB58" t="s">
        <v>819</v>
      </c>
      <c r="AC58" t="s">
        <v>40</v>
      </c>
      <c r="AD58" t="s">
        <v>20</v>
      </c>
      <c r="AE58" t="s">
        <v>820</v>
      </c>
      <c r="AF58" t="s">
        <v>0</v>
      </c>
      <c r="AG58" s="3" t="s">
        <v>821</v>
      </c>
      <c r="AH58" t="s">
        <v>815</v>
      </c>
      <c r="AI58" t="s">
        <v>67</v>
      </c>
      <c r="AJ58" t="s">
        <v>816</v>
      </c>
    </row>
    <row r="59" spans="2:37" x14ac:dyDescent="0.35">
      <c r="B59" t="s">
        <v>822</v>
      </c>
      <c r="C59" t="s">
        <v>823</v>
      </c>
      <c r="D59" t="s">
        <v>19</v>
      </c>
      <c r="E59" t="s">
        <v>824</v>
      </c>
      <c r="P59" t="s">
        <v>825</v>
      </c>
      <c r="R59" t="s">
        <v>316</v>
      </c>
      <c r="S59" t="s">
        <v>67</v>
      </c>
      <c r="U59" t="s">
        <v>317</v>
      </c>
      <c r="V59" t="s">
        <v>822</v>
      </c>
      <c r="W59" t="s">
        <v>823</v>
      </c>
      <c r="X59" t="s">
        <v>826</v>
      </c>
      <c r="Y59" t="s">
        <v>634</v>
      </c>
      <c r="Z59" t="s">
        <v>824</v>
      </c>
      <c r="AA59" s="3" t="s">
        <v>827</v>
      </c>
      <c r="AB59" t="s">
        <v>828</v>
      </c>
      <c r="AC59" t="s">
        <v>5</v>
      </c>
      <c r="AF59" t="s">
        <v>829</v>
      </c>
      <c r="AG59" s="3" t="s">
        <v>830</v>
      </c>
      <c r="AH59" t="s">
        <v>825</v>
      </c>
      <c r="AI59" t="s">
        <v>67</v>
      </c>
      <c r="AJ59" t="s">
        <v>316</v>
      </c>
    </row>
    <row r="60" spans="2:37" x14ac:dyDescent="0.35">
      <c r="B60" t="s">
        <v>831</v>
      </c>
      <c r="C60" t="s">
        <v>109</v>
      </c>
      <c r="D60" t="s">
        <v>19</v>
      </c>
      <c r="E60" t="s">
        <v>832</v>
      </c>
      <c r="P60" t="s">
        <v>833</v>
      </c>
      <c r="R60" t="s">
        <v>316</v>
      </c>
      <c r="S60" t="s">
        <v>67</v>
      </c>
      <c r="U60" t="s">
        <v>317</v>
      </c>
      <c r="V60" t="s">
        <v>831</v>
      </c>
      <c r="W60" t="s">
        <v>109</v>
      </c>
      <c r="X60" t="s">
        <v>834</v>
      </c>
      <c r="Y60" t="s">
        <v>108</v>
      </c>
      <c r="Z60" t="s">
        <v>832</v>
      </c>
      <c r="AA60" s="3" t="s">
        <v>835</v>
      </c>
      <c r="AB60" t="s">
        <v>836</v>
      </c>
      <c r="AC60" t="s">
        <v>41</v>
      </c>
      <c r="AD60" t="s">
        <v>30</v>
      </c>
      <c r="AE60" t="s">
        <v>837</v>
      </c>
      <c r="AF60" t="s">
        <v>19</v>
      </c>
      <c r="AG60" s="3" t="s">
        <v>838</v>
      </c>
      <c r="AH60" t="s">
        <v>833</v>
      </c>
      <c r="AI60" t="s">
        <v>67</v>
      </c>
      <c r="AJ60" t="s">
        <v>316</v>
      </c>
    </row>
    <row r="61" spans="2:37" x14ac:dyDescent="0.35">
      <c r="B61" t="s">
        <v>839</v>
      </c>
      <c r="C61" t="s">
        <v>840</v>
      </c>
      <c r="D61" t="s">
        <v>13</v>
      </c>
      <c r="E61" t="s">
        <v>841</v>
      </c>
      <c r="P61" t="s">
        <v>842</v>
      </c>
      <c r="R61" t="s">
        <v>316</v>
      </c>
      <c r="S61" t="s">
        <v>67</v>
      </c>
      <c r="U61" t="s">
        <v>317</v>
      </c>
      <c r="V61" t="s">
        <v>839</v>
      </c>
      <c r="W61" t="s">
        <v>840</v>
      </c>
      <c r="X61" t="s">
        <v>843</v>
      </c>
      <c r="Y61" t="s">
        <v>69</v>
      </c>
      <c r="Z61" t="s">
        <v>841</v>
      </c>
      <c r="AA61" s="3" t="s">
        <v>844</v>
      </c>
      <c r="AB61" t="s">
        <v>845</v>
      </c>
      <c r="AC61" t="s">
        <v>26</v>
      </c>
      <c r="AD61" t="s">
        <v>5</v>
      </c>
      <c r="AE61" t="s">
        <v>846</v>
      </c>
      <c r="AF61" t="s">
        <v>168</v>
      </c>
      <c r="AG61" s="3" t="s">
        <v>847</v>
      </c>
      <c r="AH61" t="s">
        <v>842</v>
      </c>
      <c r="AI61" t="s">
        <v>67</v>
      </c>
      <c r="AJ61" t="s">
        <v>316</v>
      </c>
    </row>
    <row r="62" spans="2:37" x14ac:dyDescent="0.35">
      <c r="B62" t="s">
        <v>848</v>
      </c>
      <c r="C62" t="s">
        <v>849</v>
      </c>
      <c r="D62" t="s">
        <v>13</v>
      </c>
      <c r="E62" t="s">
        <v>850</v>
      </c>
      <c r="P62" t="s">
        <v>851</v>
      </c>
      <c r="R62" t="s">
        <v>316</v>
      </c>
      <c r="S62" t="s">
        <v>67</v>
      </c>
      <c r="U62" t="s">
        <v>317</v>
      </c>
      <c r="V62" t="s">
        <v>848</v>
      </c>
      <c r="W62" t="s">
        <v>849</v>
      </c>
      <c r="X62" t="s">
        <v>852</v>
      </c>
      <c r="Y62" t="s">
        <v>94</v>
      </c>
      <c r="Z62" t="s">
        <v>850</v>
      </c>
      <c r="AA62" s="3" t="s">
        <v>853</v>
      </c>
      <c r="AB62" t="s">
        <v>854</v>
      </c>
      <c r="AC62" t="s">
        <v>12</v>
      </c>
      <c r="AD62" t="s">
        <v>30</v>
      </c>
      <c r="AE62" t="s">
        <v>855</v>
      </c>
      <c r="AF62" t="s">
        <v>13</v>
      </c>
      <c r="AG62" s="3" t="s">
        <v>856</v>
      </c>
      <c r="AH62" t="s">
        <v>851</v>
      </c>
      <c r="AI62" t="s">
        <v>67</v>
      </c>
      <c r="AJ62" t="s">
        <v>316</v>
      </c>
    </row>
    <row r="63" spans="2:37" x14ac:dyDescent="0.35">
      <c r="B63" t="s">
        <v>857</v>
      </c>
      <c r="C63" t="s">
        <v>858</v>
      </c>
      <c r="D63" t="s">
        <v>11</v>
      </c>
      <c r="E63" t="s">
        <v>859</v>
      </c>
      <c r="P63" t="s">
        <v>860</v>
      </c>
      <c r="R63" t="s">
        <v>471</v>
      </c>
      <c r="S63" t="s">
        <v>67</v>
      </c>
      <c r="U63" t="s">
        <v>317</v>
      </c>
      <c r="V63" t="s">
        <v>857</v>
      </c>
      <c r="W63" t="s">
        <v>858</v>
      </c>
      <c r="X63" t="s">
        <v>861</v>
      </c>
      <c r="Y63" t="s">
        <v>70</v>
      </c>
      <c r="Z63" t="s">
        <v>859</v>
      </c>
      <c r="AB63" t="s">
        <v>862</v>
      </c>
      <c r="AC63" t="s">
        <v>8</v>
      </c>
      <c r="AD63" t="s">
        <v>7</v>
      </c>
      <c r="AE63" t="s">
        <v>863</v>
      </c>
      <c r="AF63" t="s">
        <v>11</v>
      </c>
      <c r="AG63" s="3" t="s">
        <v>864</v>
      </c>
      <c r="AH63" t="s">
        <v>860</v>
      </c>
      <c r="AI63" t="s">
        <v>67</v>
      </c>
      <c r="AJ63" t="s">
        <v>471</v>
      </c>
    </row>
    <row r="64" spans="2:37" x14ac:dyDescent="0.35">
      <c r="B64" t="s">
        <v>110</v>
      </c>
      <c r="C64" t="s">
        <v>865</v>
      </c>
      <c r="D64" t="s">
        <v>19</v>
      </c>
      <c r="E64" t="s">
        <v>866</v>
      </c>
      <c r="P64" t="s">
        <v>867</v>
      </c>
      <c r="R64" t="s">
        <v>816</v>
      </c>
      <c r="S64" t="s">
        <v>67</v>
      </c>
      <c r="U64" t="s">
        <v>317</v>
      </c>
      <c r="V64" t="s">
        <v>110</v>
      </c>
      <c r="W64" t="s">
        <v>865</v>
      </c>
      <c r="X64" t="s">
        <v>868</v>
      </c>
      <c r="Y64" t="s">
        <v>70</v>
      </c>
      <c r="Z64" t="s">
        <v>866</v>
      </c>
      <c r="AB64" t="s">
        <v>869</v>
      </c>
      <c r="AC64" t="s">
        <v>1</v>
      </c>
      <c r="AD64" t="s">
        <v>33</v>
      </c>
      <c r="AE64" t="s">
        <v>870</v>
      </c>
      <c r="AF64" t="s">
        <v>19</v>
      </c>
      <c r="AG64" s="3" t="s">
        <v>871</v>
      </c>
      <c r="AH64" t="s">
        <v>867</v>
      </c>
      <c r="AI64" t="s">
        <v>67</v>
      </c>
      <c r="AJ64" t="s">
        <v>816</v>
      </c>
    </row>
    <row r="65" spans="2:36" x14ac:dyDescent="0.35">
      <c r="B65" t="s">
        <v>872</v>
      </c>
      <c r="C65" t="s">
        <v>873</v>
      </c>
      <c r="D65" t="s">
        <v>11</v>
      </c>
      <c r="E65" t="s">
        <v>874</v>
      </c>
      <c r="P65" t="s">
        <v>875</v>
      </c>
      <c r="R65" t="s">
        <v>316</v>
      </c>
      <c r="S65" t="s">
        <v>67</v>
      </c>
      <c r="U65" t="s">
        <v>317</v>
      </c>
      <c r="V65" t="s">
        <v>872</v>
      </c>
      <c r="W65" t="s">
        <v>873</v>
      </c>
      <c r="X65" t="s">
        <v>876</v>
      </c>
      <c r="Y65" t="s">
        <v>877</v>
      </c>
      <c r="Z65" t="s">
        <v>874</v>
      </c>
      <c r="AB65" t="s">
        <v>878</v>
      </c>
      <c r="AC65" t="s">
        <v>9</v>
      </c>
      <c r="AD65" t="s">
        <v>33</v>
      </c>
      <c r="AE65" t="s">
        <v>879</v>
      </c>
      <c r="AF65" t="s">
        <v>11</v>
      </c>
      <c r="AG65" s="3" t="s">
        <v>880</v>
      </c>
      <c r="AH65" t="s">
        <v>875</v>
      </c>
      <c r="AI65" t="s">
        <v>67</v>
      </c>
      <c r="AJ65" t="s">
        <v>316</v>
      </c>
    </row>
    <row r="66" spans="2:36" x14ac:dyDescent="0.35">
      <c r="B66" t="s">
        <v>881</v>
      </c>
      <c r="C66" t="s">
        <v>882</v>
      </c>
      <c r="D66" t="s">
        <v>0</v>
      </c>
      <c r="E66" t="s">
        <v>883</v>
      </c>
      <c r="P66" t="s">
        <v>884</v>
      </c>
      <c r="R66" t="s">
        <v>316</v>
      </c>
      <c r="S66" t="s">
        <v>67</v>
      </c>
      <c r="U66" t="s">
        <v>317</v>
      </c>
      <c r="V66" t="s">
        <v>881</v>
      </c>
      <c r="W66" t="s">
        <v>882</v>
      </c>
      <c r="X66" t="s">
        <v>885</v>
      </c>
      <c r="Y66" t="s">
        <v>886</v>
      </c>
      <c r="Z66" t="s">
        <v>883</v>
      </c>
      <c r="AB66" t="s">
        <v>887</v>
      </c>
      <c r="AC66" t="s">
        <v>888</v>
      </c>
      <c r="AD66" t="s">
        <v>2</v>
      </c>
      <c r="AE66" t="s">
        <v>889</v>
      </c>
      <c r="AF66" t="s">
        <v>0</v>
      </c>
      <c r="AG66" s="3" t="s">
        <v>890</v>
      </c>
      <c r="AH66" t="s">
        <v>884</v>
      </c>
      <c r="AI66" t="s">
        <v>67</v>
      </c>
      <c r="AJ66" t="s">
        <v>316</v>
      </c>
    </row>
    <row r="67" spans="2:36" x14ac:dyDescent="0.35">
      <c r="B67" t="s">
        <v>891</v>
      </c>
      <c r="C67" t="s">
        <v>892</v>
      </c>
      <c r="D67" t="s">
        <v>19</v>
      </c>
      <c r="E67" t="s">
        <v>893</v>
      </c>
      <c r="P67" t="s">
        <v>894</v>
      </c>
      <c r="R67" t="s">
        <v>401</v>
      </c>
      <c r="U67" t="s">
        <v>317</v>
      </c>
      <c r="V67" t="s">
        <v>891</v>
      </c>
      <c r="W67" t="s">
        <v>892</v>
      </c>
      <c r="X67" t="s">
        <v>895</v>
      </c>
      <c r="Y67" t="s">
        <v>403</v>
      </c>
      <c r="Z67" t="s">
        <v>893</v>
      </c>
      <c r="AA67" s="3" t="s">
        <v>896</v>
      </c>
      <c r="AB67" t="s">
        <v>897</v>
      </c>
      <c r="AF67" t="s">
        <v>19</v>
      </c>
      <c r="AG67" s="3" t="s">
        <v>898</v>
      </c>
      <c r="AH67" t="s">
        <v>894</v>
      </c>
      <c r="AJ67" t="s">
        <v>401</v>
      </c>
    </row>
    <row r="68" spans="2:36" x14ac:dyDescent="0.35">
      <c r="B68" t="s">
        <v>899</v>
      </c>
      <c r="C68" t="s">
        <v>900</v>
      </c>
      <c r="D68" t="s">
        <v>11</v>
      </c>
      <c r="E68" t="s">
        <v>901</v>
      </c>
      <c r="P68" t="s">
        <v>902</v>
      </c>
      <c r="R68" t="s">
        <v>316</v>
      </c>
      <c r="S68" t="s">
        <v>67</v>
      </c>
      <c r="U68" t="s">
        <v>317</v>
      </c>
      <c r="V68" t="s">
        <v>899</v>
      </c>
      <c r="W68" t="s">
        <v>900</v>
      </c>
      <c r="X68" t="s">
        <v>903</v>
      </c>
      <c r="Y68" t="s">
        <v>78</v>
      </c>
      <c r="Z68" t="s">
        <v>901</v>
      </c>
      <c r="AA68" s="3" t="s">
        <v>904</v>
      </c>
      <c r="AB68" t="s">
        <v>905</v>
      </c>
      <c r="AC68" t="s">
        <v>39</v>
      </c>
      <c r="AD68" t="s">
        <v>12</v>
      </c>
      <c r="AF68" t="s">
        <v>906</v>
      </c>
      <c r="AG68" s="3" t="s">
        <v>907</v>
      </c>
      <c r="AH68" t="s">
        <v>902</v>
      </c>
      <c r="AI68" t="s">
        <v>67</v>
      </c>
      <c r="AJ68" t="s">
        <v>316</v>
      </c>
    </row>
    <row r="69" spans="2:36" x14ac:dyDescent="0.35">
      <c r="B69" t="s">
        <v>908</v>
      </c>
      <c r="C69" t="s">
        <v>909</v>
      </c>
      <c r="D69" t="s">
        <v>17</v>
      </c>
      <c r="E69" t="s">
        <v>910</v>
      </c>
      <c r="P69" t="s">
        <v>911</v>
      </c>
      <c r="R69" t="s">
        <v>471</v>
      </c>
      <c r="S69" t="s">
        <v>67</v>
      </c>
      <c r="U69" t="s">
        <v>317</v>
      </c>
      <c r="V69" t="s">
        <v>908</v>
      </c>
      <c r="W69" t="s">
        <v>909</v>
      </c>
      <c r="X69" t="s">
        <v>912</v>
      </c>
      <c r="Y69" t="s">
        <v>73</v>
      </c>
      <c r="Z69" t="s">
        <v>910</v>
      </c>
      <c r="AA69" s="3" t="s">
        <v>913</v>
      </c>
      <c r="AB69" t="s">
        <v>914</v>
      </c>
      <c r="AC69" t="s">
        <v>47</v>
      </c>
      <c r="AD69" t="s">
        <v>2</v>
      </c>
      <c r="AE69" t="s">
        <v>915</v>
      </c>
      <c r="AF69" t="s">
        <v>17</v>
      </c>
      <c r="AG69" s="3" t="s">
        <v>916</v>
      </c>
      <c r="AH69" t="s">
        <v>911</v>
      </c>
      <c r="AI69" t="s">
        <v>67</v>
      </c>
      <c r="AJ69" t="s">
        <v>471</v>
      </c>
    </row>
    <row r="70" spans="2:36" x14ac:dyDescent="0.35">
      <c r="B70" t="s">
        <v>917</v>
      </c>
      <c r="C70" t="s">
        <v>918</v>
      </c>
      <c r="D70" t="s">
        <v>11</v>
      </c>
      <c r="E70" t="s">
        <v>919</v>
      </c>
      <c r="P70" t="s">
        <v>920</v>
      </c>
      <c r="R70" t="s">
        <v>694</v>
      </c>
      <c r="S70" t="s">
        <v>67</v>
      </c>
      <c r="U70" t="s">
        <v>317</v>
      </c>
      <c r="V70" t="s">
        <v>917</v>
      </c>
      <c r="W70" t="s">
        <v>918</v>
      </c>
      <c r="X70" t="s">
        <v>921</v>
      </c>
      <c r="Y70" t="s">
        <v>69</v>
      </c>
      <c r="Z70" t="s">
        <v>919</v>
      </c>
      <c r="AA70" s="3" t="s">
        <v>922</v>
      </c>
      <c r="AB70" t="s">
        <v>923</v>
      </c>
      <c r="AC70" t="s">
        <v>31</v>
      </c>
      <c r="AD70" t="s">
        <v>10</v>
      </c>
      <c r="AE70" t="s">
        <v>924</v>
      </c>
      <c r="AF70" t="s">
        <v>11</v>
      </c>
      <c r="AG70" s="3" t="s">
        <v>925</v>
      </c>
      <c r="AH70" t="s">
        <v>920</v>
      </c>
      <c r="AI70" t="s">
        <v>67</v>
      </c>
      <c r="AJ70" t="s">
        <v>694</v>
      </c>
    </row>
    <row r="71" spans="2:36" x14ac:dyDescent="0.35">
      <c r="B71" t="s">
        <v>926</v>
      </c>
      <c r="C71" t="s">
        <v>927</v>
      </c>
      <c r="D71" t="s">
        <v>13</v>
      </c>
      <c r="E71" t="s">
        <v>928</v>
      </c>
      <c r="P71" t="s">
        <v>929</v>
      </c>
      <c r="R71" t="s">
        <v>694</v>
      </c>
      <c r="S71" t="s">
        <v>67</v>
      </c>
      <c r="U71" t="s">
        <v>317</v>
      </c>
      <c r="V71" t="s">
        <v>926</v>
      </c>
      <c r="W71" t="s">
        <v>927</v>
      </c>
      <c r="X71" t="s">
        <v>930</v>
      </c>
      <c r="Y71" t="s">
        <v>931</v>
      </c>
      <c r="Z71" t="s">
        <v>928</v>
      </c>
      <c r="AA71" s="3" t="s">
        <v>932</v>
      </c>
      <c r="AB71" t="s">
        <v>933</v>
      </c>
      <c r="AC71" t="s">
        <v>934</v>
      </c>
      <c r="AD71" t="s">
        <v>33</v>
      </c>
      <c r="AE71" t="s">
        <v>935</v>
      </c>
      <c r="AF71" t="s">
        <v>168</v>
      </c>
      <c r="AG71" s="3" t="s">
        <v>936</v>
      </c>
      <c r="AH71" t="s">
        <v>929</v>
      </c>
      <c r="AI71" t="s">
        <v>67</v>
      </c>
      <c r="AJ71" t="s">
        <v>694</v>
      </c>
    </row>
    <row r="72" spans="2:36" x14ac:dyDescent="0.35">
      <c r="B72" t="s">
        <v>937</v>
      </c>
      <c r="C72" t="s">
        <v>938</v>
      </c>
      <c r="D72" t="s">
        <v>22</v>
      </c>
      <c r="E72" t="s">
        <v>939</v>
      </c>
      <c r="P72" t="s">
        <v>940</v>
      </c>
      <c r="R72" t="s">
        <v>401</v>
      </c>
      <c r="S72" t="s">
        <v>67</v>
      </c>
      <c r="U72" t="s">
        <v>317</v>
      </c>
      <c r="V72" t="s">
        <v>937</v>
      </c>
      <c r="W72" t="s">
        <v>938</v>
      </c>
      <c r="X72" t="s">
        <v>941</v>
      </c>
      <c r="Y72" t="s">
        <v>403</v>
      </c>
      <c r="Z72" t="s">
        <v>939</v>
      </c>
      <c r="AA72" s="3" t="s">
        <v>942</v>
      </c>
      <c r="AB72" t="s">
        <v>943</v>
      </c>
      <c r="AF72" t="s">
        <v>22</v>
      </c>
      <c r="AG72" s="3" t="s">
        <v>944</v>
      </c>
      <c r="AH72" t="s">
        <v>940</v>
      </c>
      <c r="AI72" t="s">
        <v>67</v>
      </c>
      <c r="AJ72" t="s">
        <v>401</v>
      </c>
    </row>
    <row r="73" spans="2:36" x14ac:dyDescent="0.35">
      <c r="B73" t="s">
        <v>945</v>
      </c>
      <c r="C73" t="s">
        <v>946</v>
      </c>
      <c r="D73" t="s">
        <v>50</v>
      </c>
      <c r="E73" t="s">
        <v>947</v>
      </c>
      <c r="P73" t="s">
        <v>948</v>
      </c>
      <c r="R73" t="s">
        <v>401</v>
      </c>
      <c r="U73" t="s">
        <v>317</v>
      </c>
      <c r="V73" t="s">
        <v>945</v>
      </c>
      <c r="W73" t="s">
        <v>946</v>
      </c>
      <c r="X73" t="s">
        <v>949</v>
      </c>
      <c r="Y73" t="s">
        <v>403</v>
      </c>
      <c r="Z73" t="s">
        <v>947</v>
      </c>
      <c r="AA73" s="3" t="s">
        <v>950</v>
      </c>
      <c r="AB73" t="s">
        <v>951</v>
      </c>
      <c r="AF73" t="s">
        <v>50</v>
      </c>
      <c r="AG73" s="3" t="s">
        <v>952</v>
      </c>
      <c r="AH73" t="s">
        <v>948</v>
      </c>
      <c r="AJ73" t="s">
        <v>401</v>
      </c>
    </row>
    <row r="74" spans="2:36" x14ac:dyDescent="0.35">
      <c r="B74" t="s">
        <v>953</v>
      </c>
      <c r="C74" t="s">
        <v>954</v>
      </c>
      <c r="D74" t="s">
        <v>955</v>
      </c>
      <c r="E74" t="s">
        <v>956</v>
      </c>
      <c r="P74" t="s">
        <v>957</v>
      </c>
      <c r="R74" t="s">
        <v>958</v>
      </c>
      <c r="U74" t="s">
        <v>317</v>
      </c>
      <c r="V74" t="s">
        <v>953</v>
      </c>
      <c r="W74" t="s">
        <v>954</v>
      </c>
      <c r="X74" t="s">
        <v>959</v>
      </c>
      <c r="Y74" t="s">
        <v>960</v>
      </c>
      <c r="Z74" t="s">
        <v>956</v>
      </c>
      <c r="AB74" t="s">
        <v>961</v>
      </c>
      <c r="AC74" t="s">
        <v>30</v>
      </c>
      <c r="AD74" t="s">
        <v>2</v>
      </c>
      <c r="AE74" t="s">
        <v>4</v>
      </c>
      <c r="AF74" t="s">
        <v>962</v>
      </c>
      <c r="AG74" s="3" t="s">
        <v>963</v>
      </c>
      <c r="AH74" t="s">
        <v>957</v>
      </c>
      <c r="AJ74" t="s">
        <v>958</v>
      </c>
    </row>
    <row r="75" spans="2:36" x14ac:dyDescent="0.35">
      <c r="B75" t="s">
        <v>964</v>
      </c>
      <c r="C75" t="s">
        <v>965</v>
      </c>
      <c r="D75" t="s">
        <v>86</v>
      </c>
      <c r="E75" t="s">
        <v>966</v>
      </c>
      <c r="P75" t="s">
        <v>967</v>
      </c>
      <c r="R75" t="s">
        <v>401</v>
      </c>
      <c r="U75" t="s">
        <v>317</v>
      </c>
      <c r="V75" t="s">
        <v>964</v>
      </c>
      <c r="W75" t="s">
        <v>965</v>
      </c>
      <c r="X75" t="s">
        <v>968</v>
      </c>
      <c r="Y75" t="s">
        <v>403</v>
      </c>
      <c r="Z75" t="s">
        <v>966</v>
      </c>
      <c r="AA75" s="3" t="s">
        <v>969</v>
      </c>
      <c r="AB75" t="s">
        <v>970</v>
      </c>
      <c r="AF75" t="s">
        <v>86</v>
      </c>
      <c r="AG75" s="3" t="s">
        <v>971</v>
      </c>
      <c r="AH75" t="s">
        <v>967</v>
      </c>
      <c r="AJ75" t="s">
        <v>401</v>
      </c>
    </row>
  </sheetData>
  <hyperlinks>
    <hyperlink ref="AA2" r:id="rId1" xr:uid="{00000000-0004-0000-0D00-000000000000}"/>
    <hyperlink ref="AG2" r:id="rId2" xr:uid="{00000000-0004-0000-0D00-000001000000}"/>
    <hyperlink ref="AA3" r:id="rId3" xr:uid="{00000000-0004-0000-0D00-000002000000}"/>
    <hyperlink ref="AG3" r:id="rId4" xr:uid="{00000000-0004-0000-0D00-000003000000}"/>
    <hyperlink ref="AA4" r:id="rId5" xr:uid="{00000000-0004-0000-0D00-000004000000}"/>
    <hyperlink ref="AG4" r:id="rId6" xr:uid="{00000000-0004-0000-0D00-000005000000}"/>
    <hyperlink ref="AA5" r:id="rId7" xr:uid="{00000000-0004-0000-0D00-000006000000}"/>
    <hyperlink ref="AG5" r:id="rId8" xr:uid="{00000000-0004-0000-0D00-000007000000}"/>
    <hyperlink ref="AA6" r:id="rId9" xr:uid="{00000000-0004-0000-0D00-000008000000}"/>
    <hyperlink ref="AG6" r:id="rId10" xr:uid="{00000000-0004-0000-0D00-000009000000}"/>
    <hyperlink ref="AA7" r:id="rId11" xr:uid="{00000000-0004-0000-0D00-00000A000000}"/>
    <hyperlink ref="AG7" r:id="rId12" xr:uid="{00000000-0004-0000-0D00-00000B000000}"/>
    <hyperlink ref="AG8" r:id="rId13" xr:uid="{00000000-0004-0000-0D00-00000C000000}"/>
    <hyperlink ref="AA9" r:id="rId14" xr:uid="{00000000-0004-0000-0D00-00000D000000}"/>
    <hyperlink ref="AG9" r:id="rId15" xr:uid="{00000000-0004-0000-0D00-00000E000000}"/>
    <hyperlink ref="AA10" r:id="rId16" xr:uid="{00000000-0004-0000-0D00-00000F000000}"/>
    <hyperlink ref="AG10" r:id="rId17" xr:uid="{00000000-0004-0000-0D00-000010000000}"/>
    <hyperlink ref="AA11" r:id="rId18" xr:uid="{00000000-0004-0000-0D00-000011000000}"/>
    <hyperlink ref="AG11" r:id="rId19" xr:uid="{00000000-0004-0000-0D00-000012000000}"/>
    <hyperlink ref="AG12" r:id="rId20" xr:uid="{00000000-0004-0000-0D00-000013000000}"/>
    <hyperlink ref="AA13" r:id="rId21" xr:uid="{00000000-0004-0000-0D00-000014000000}"/>
    <hyperlink ref="AG13" r:id="rId22" xr:uid="{00000000-0004-0000-0D00-000015000000}"/>
    <hyperlink ref="AA14" r:id="rId23" xr:uid="{00000000-0004-0000-0D00-000016000000}"/>
    <hyperlink ref="AG14" r:id="rId24" xr:uid="{00000000-0004-0000-0D00-000017000000}"/>
    <hyperlink ref="AA15" r:id="rId25" xr:uid="{00000000-0004-0000-0D00-000018000000}"/>
    <hyperlink ref="AG15" r:id="rId26" xr:uid="{00000000-0004-0000-0D00-000019000000}"/>
    <hyperlink ref="AA16" r:id="rId27" xr:uid="{00000000-0004-0000-0D00-00001A000000}"/>
    <hyperlink ref="AG16" r:id="rId28" xr:uid="{00000000-0004-0000-0D00-00001B000000}"/>
    <hyperlink ref="AA17" r:id="rId29" xr:uid="{00000000-0004-0000-0D00-00001C000000}"/>
    <hyperlink ref="AG17" r:id="rId30" xr:uid="{00000000-0004-0000-0D00-00001D000000}"/>
    <hyperlink ref="AA18" r:id="rId31" xr:uid="{00000000-0004-0000-0D00-00001E000000}"/>
    <hyperlink ref="AG18" r:id="rId32" xr:uid="{00000000-0004-0000-0D00-00001F000000}"/>
    <hyperlink ref="AA19" r:id="rId33" xr:uid="{00000000-0004-0000-0D00-000020000000}"/>
    <hyperlink ref="AG19" r:id="rId34" xr:uid="{00000000-0004-0000-0D00-000021000000}"/>
    <hyperlink ref="AA20" r:id="rId35" xr:uid="{00000000-0004-0000-0D00-000022000000}"/>
    <hyperlink ref="AG20" r:id="rId36" xr:uid="{00000000-0004-0000-0D00-000023000000}"/>
    <hyperlink ref="AA21" r:id="rId37" xr:uid="{00000000-0004-0000-0D00-000024000000}"/>
    <hyperlink ref="AG21" r:id="rId38" xr:uid="{00000000-0004-0000-0D00-000025000000}"/>
    <hyperlink ref="AA22" r:id="rId39" xr:uid="{00000000-0004-0000-0D00-000026000000}"/>
    <hyperlink ref="AG22" r:id="rId40" xr:uid="{00000000-0004-0000-0D00-000027000000}"/>
    <hyperlink ref="AA23" r:id="rId41" xr:uid="{00000000-0004-0000-0D00-000028000000}"/>
    <hyperlink ref="AG23" r:id="rId42" xr:uid="{00000000-0004-0000-0D00-000029000000}"/>
    <hyperlink ref="AA24" r:id="rId43" xr:uid="{00000000-0004-0000-0D00-00002A000000}"/>
    <hyperlink ref="AG24" r:id="rId44" xr:uid="{00000000-0004-0000-0D00-00002B000000}"/>
    <hyperlink ref="AA25" r:id="rId45" xr:uid="{00000000-0004-0000-0D00-00002C000000}"/>
    <hyperlink ref="AG25" r:id="rId46" xr:uid="{00000000-0004-0000-0D00-00002D000000}"/>
    <hyperlink ref="AA26" r:id="rId47" xr:uid="{00000000-0004-0000-0D00-00002E000000}"/>
    <hyperlink ref="AG26" r:id="rId48" xr:uid="{00000000-0004-0000-0D00-00002F000000}"/>
    <hyperlink ref="AA27" r:id="rId49" xr:uid="{00000000-0004-0000-0D00-000030000000}"/>
    <hyperlink ref="AG27" r:id="rId50" xr:uid="{00000000-0004-0000-0D00-000031000000}"/>
    <hyperlink ref="AA28" r:id="rId51" xr:uid="{00000000-0004-0000-0D00-000032000000}"/>
    <hyperlink ref="AG28" r:id="rId52" xr:uid="{00000000-0004-0000-0D00-000033000000}"/>
    <hyperlink ref="AA29" r:id="rId53" xr:uid="{00000000-0004-0000-0D00-000034000000}"/>
    <hyperlink ref="AG29" r:id="rId54" xr:uid="{00000000-0004-0000-0D00-000035000000}"/>
    <hyperlink ref="AA30" r:id="rId55" xr:uid="{00000000-0004-0000-0D00-000036000000}"/>
    <hyperlink ref="AG30" r:id="rId56" xr:uid="{00000000-0004-0000-0D00-000037000000}"/>
    <hyperlink ref="AA31" r:id="rId57" xr:uid="{00000000-0004-0000-0D00-000038000000}"/>
    <hyperlink ref="AG31" r:id="rId58" xr:uid="{00000000-0004-0000-0D00-000039000000}"/>
    <hyperlink ref="AA32" r:id="rId59" xr:uid="{00000000-0004-0000-0D00-00003A000000}"/>
    <hyperlink ref="AG32" r:id="rId60" xr:uid="{00000000-0004-0000-0D00-00003B000000}"/>
    <hyperlink ref="AG33" r:id="rId61" xr:uid="{00000000-0004-0000-0D00-00003C000000}"/>
    <hyperlink ref="AG34" r:id="rId62" xr:uid="{00000000-0004-0000-0D00-00003D000000}"/>
    <hyperlink ref="AA35" r:id="rId63" xr:uid="{00000000-0004-0000-0D00-00003E000000}"/>
    <hyperlink ref="AG35" r:id="rId64" xr:uid="{00000000-0004-0000-0D00-00003F000000}"/>
    <hyperlink ref="AA36" r:id="rId65" xr:uid="{00000000-0004-0000-0D00-000040000000}"/>
    <hyperlink ref="AG36" r:id="rId66" xr:uid="{00000000-0004-0000-0D00-000041000000}"/>
    <hyperlink ref="AA37" r:id="rId67" xr:uid="{00000000-0004-0000-0D00-000042000000}"/>
    <hyperlink ref="AG37" r:id="rId68" xr:uid="{00000000-0004-0000-0D00-000043000000}"/>
    <hyperlink ref="AA38" r:id="rId69" xr:uid="{00000000-0004-0000-0D00-000044000000}"/>
    <hyperlink ref="AG38" r:id="rId70" xr:uid="{00000000-0004-0000-0D00-000045000000}"/>
    <hyperlink ref="AA39" r:id="rId71" xr:uid="{00000000-0004-0000-0D00-000046000000}"/>
    <hyperlink ref="AG39" r:id="rId72" xr:uid="{00000000-0004-0000-0D00-000047000000}"/>
    <hyperlink ref="AA40" r:id="rId73" xr:uid="{00000000-0004-0000-0D00-000048000000}"/>
    <hyperlink ref="AG40" r:id="rId74" xr:uid="{00000000-0004-0000-0D00-000049000000}"/>
    <hyperlink ref="AA41" r:id="rId75" xr:uid="{00000000-0004-0000-0D00-00004A000000}"/>
    <hyperlink ref="AG41" r:id="rId76" xr:uid="{00000000-0004-0000-0D00-00004B000000}"/>
    <hyperlink ref="AG42" r:id="rId77" xr:uid="{00000000-0004-0000-0D00-00004C000000}"/>
    <hyperlink ref="AA43" r:id="rId78" xr:uid="{00000000-0004-0000-0D00-00004D000000}"/>
    <hyperlink ref="AG43" r:id="rId79" xr:uid="{00000000-0004-0000-0D00-00004E000000}"/>
    <hyperlink ref="AA44" r:id="rId80" xr:uid="{00000000-0004-0000-0D00-00004F000000}"/>
    <hyperlink ref="AG44" r:id="rId81" xr:uid="{00000000-0004-0000-0D00-000050000000}"/>
    <hyperlink ref="AA45" r:id="rId82" xr:uid="{00000000-0004-0000-0D00-000051000000}"/>
    <hyperlink ref="AG45" r:id="rId83" xr:uid="{00000000-0004-0000-0D00-000052000000}"/>
    <hyperlink ref="AG46" r:id="rId84" xr:uid="{00000000-0004-0000-0D00-000053000000}"/>
    <hyperlink ref="AA47" r:id="rId85" xr:uid="{00000000-0004-0000-0D00-000054000000}"/>
    <hyperlink ref="AG47" r:id="rId86" xr:uid="{00000000-0004-0000-0D00-000055000000}"/>
    <hyperlink ref="AA48" r:id="rId87" xr:uid="{00000000-0004-0000-0D00-000056000000}"/>
    <hyperlink ref="AG48" r:id="rId88" xr:uid="{00000000-0004-0000-0D00-000057000000}"/>
    <hyperlink ref="AA49" r:id="rId89" xr:uid="{00000000-0004-0000-0D00-000058000000}"/>
    <hyperlink ref="AG49" r:id="rId90" xr:uid="{00000000-0004-0000-0D00-000059000000}"/>
    <hyperlink ref="AA50" r:id="rId91" xr:uid="{00000000-0004-0000-0D00-00005A000000}"/>
    <hyperlink ref="AG50" r:id="rId92" xr:uid="{00000000-0004-0000-0D00-00005B000000}"/>
    <hyperlink ref="AA51" r:id="rId93" xr:uid="{00000000-0004-0000-0D00-00005C000000}"/>
    <hyperlink ref="AG51" r:id="rId94" xr:uid="{00000000-0004-0000-0D00-00005D000000}"/>
    <hyperlink ref="AA52" r:id="rId95" xr:uid="{00000000-0004-0000-0D00-00005E000000}"/>
    <hyperlink ref="AG52" r:id="rId96" xr:uid="{00000000-0004-0000-0D00-00005F000000}"/>
    <hyperlink ref="AA53" r:id="rId97" xr:uid="{00000000-0004-0000-0D00-000060000000}"/>
    <hyperlink ref="AG53" r:id="rId98" xr:uid="{00000000-0004-0000-0D00-000061000000}"/>
    <hyperlink ref="AA54" r:id="rId99" xr:uid="{00000000-0004-0000-0D00-000062000000}"/>
    <hyperlink ref="AG54" r:id="rId100" xr:uid="{00000000-0004-0000-0D00-000063000000}"/>
    <hyperlink ref="AA55" r:id="rId101" xr:uid="{00000000-0004-0000-0D00-000064000000}"/>
    <hyperlink ref="AG55" r:id="rId102" xr:uid="{00000000-0004-0000-0D00-000065000000}"/>
    <hyperlink ref="AA56" r:id="rId103" xr:uid="{00000000-0004-0000-0D00-000066000000}"/>
    <hyperlink ref="AG56" r:id="rId104" xr:uid="{00000000-0004-0000-0D00-000067000000}"/>
    <hyperlink ref="AA57" r:id="rId105" xr:uid="{00000000-0004-0000-0D00-000068000000}"/>
    <hyperlink ref="AG57" r:id="rId106" xr:uid="{00000000-0004-0000-0D00-000069000000}"/>
    <hyperlink ref="AA58" r:id="rId107" xr:uid="{00000000-0004-0000-0D00-00006A000000}"/>
    <hyperlink ref="AG58" r:id="rId108" xr:uid="{00000000-0004-0000-0D00-00006B000000}"/>
    <hyperlink ref="AA59" r:id="rId109" xr:uid="{00000000-0004-0000-0D00-00006C000000}"/>
    <hyperlink ref="AG59" r:id="rId110" xr:uid="{00000000-0004-0000-0D00-00006D000000}"/>
    <hyperlink ref="AA60" r:id="rId111" xr:uid="{00000000-0004-0000-0D00-00006E000000}"/>
    <hyperlink ref="AG60" r:id="rId112" xr:uid="{00000000-0004-0000-0D00-00006F000000}"/>
    <hyperlink ref="AA61" r:id="rId113" xr:uid="{00000000-0004-0000-0D00-000070000000}"/>
    <hyperlink ref="AG61" r:id="rId114" xr:uid="{00000000-0004-0000-0D00-000071000000}"/>
    <hyperlink ref="AA62" r:id="rId115" xr:uid="{00000000-0004-0000-0D00-000072000000}"/>
    <hyperlink ref="AG62" r:id="rId116" xr:uid="{00000000-0004-0000-0D00-000073000000}"/>
    <hyperlink ref="AG63" r:id="rId117" xr:uid="{00000000-0004-0000-0D00-000074000000}"/>
    <hyperlink ref="AG64" r:id="rId118" xr:uid="{00000000-0004-0000-0D00-000075000000}"/>
    <hyperlink ref="AG65" r:id="rId119" xr:uid="{00000000-0004-0000-0D00-000076000000}"/>
    <hyperlink ref="AG66" r:id="rId120" xr:uid="{00000000-0004-0000-0D00-000077000000}"/>
    <hyperlink ref="AA67" r:id="rId121" xr:uid="{00000000-0004-0000-0D00-000078000000}"/>
    <hyperlink ref="AG67" r:id="rId122" xr:uid="{00000000-0004-0000-0D00-000079000000}"/>
    <hyperlink ref="AA68" r:id="rId123" xr:uid="{00000000-0004-0000-0D00-00007A000000}"/>
    <hyperlink ref="AG68" r:id="rId124" xr:uid="{00000000-0004-0000-0D00-00007B000000}"/>
    <hyperlink ref="AA69" r:id="rId125" xr:uid="{00000000-0004-0000-0D00-00007C000000}"/>
    <hyperlink ref="AG69" r:id="rId126" xr:uid="{00000000-0004-0000-0D00-00007D000000}"/>
    <hyperlink ref="AA70" r:id="rId127" xr:uid="{00000000-0004-0000-0D00-00007E000000}"/>
    <hyperlink ref="AG70" r:id="rId128" xr:uid="{00000000-0004-0000-0D00-00007F000000}"/>
    <hyperlink ref="AA71" r:id="rId129" xr:uid="{00000000-0004-0000-0D00-000080000000}"/>
    <hyperlink ref="AG71" r:id="rId130" xr:uid="{00000000-0004-0000-0D00-000081000000}"/>
    <hyperlink ref="AA72" r:id="rId131" xr:uid="{00000000-0004-0000-0D00-000082000000}"/>
    <hyperlink ref="AG72" r:id="rId132" xr:uid="{00000000-0004-0000-0D00-000083000000}"/>
    <hyperlink ref="AA73" r:id="rId133" xr:uid="{00000000-0004-0000-0D00-000084000000}"/>
    <hyperlink ref="AG73" r:id="rId134" xr:uid="{00000000-0004-0000-0D00-000085000000}"/>
    <hyperlink ref="AG74" r:id="rId135" xr:uid="{00000000-0004-0000-0D00-000086000000}"/>
    <hyperlink ref="AA75" r:id="rId136" xr:uid="{00000000-0004-0000-0D00-000087000000}"/>
    <hyperlink ref="AG75" r:id="rId137" xr:uid="{00000000-0004-0000-0D00-000088000000}"/>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ERIC_evaluation</vt:lpstr>
      <vt:lpstr>ERIC_intervention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2026-05-22T22:07:24Z</dcterms:modified>
</cp:coreProperties>
</file>